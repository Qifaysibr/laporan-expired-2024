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33" customWidth="1" min="1" max="1"/>
    <col width="27" customWidth="1" min="2" max="2"/>
    <col width="16" customWidth="1" min="3" max="3"/>
    <col width="38" customWidth="1" min="4" max="4"/>
    <col width="50" customWidth="1" min="5" max="5"/>
    <col width="18" customWidth="1" min="6" max="6"/>
    <col width="50" customWidth="1" min="7" max="7"/>
    <col width="20" customWidth="1" min="8" max="8"/>
    <col width="28" customWidth="1" min="9" max="9"/>
    <col width="12"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DITHARA GRAHA MULTIYASA</t>
        </is>
      </c>
      <c r="B2" t="inlineStr">
        <is>
          <t>Kab. Bogor</t>
        </is>
      </c>
      <c r="C2" t="inlineStr">
        <is>
          <t>0811908238</t>
        </is>
      </c>
      <c r="D2" t="inlineStr">
        <is>
          <t>ditharagrahapt@gmail.com</t>
        </is>
      </c>
      <c r="E2" t="inlineStr">
        <is>
          <t>https://lpjk.pu.go.id/search-badan-usaha-detail/Tk94L3hoeFUvMnNJeVNzY1BYUWdFQT09</t>
        </is>
      </c>
      <c r="F2" t="n">
        <v>2</v>
      </c>
      <c r="G2" t="inlineStr">
        <is>
          <t>AR001, RK001</t>
        </is>
      </c>
      <c r="H2" t="inlineStr">
        <is>
          <t>10 Oktober 2023</t>
        </is>
      </c>
      <c r="I2" s="2" t="n">
        <v>46352</v>
      </c>
      <c r="J2" t="inlineStr">
        <is>
          <t>Disetujui</t>
        </is>
      </c>
      <c r="K2" t="n">
        <v>87</v>
      </c>
      <c r="L2" t="inlineStr">
        <is>
          <t>26 November 2026</t>
        </is>
      </c>
      <c r="M2" t="inlineStr">
        <is>
          <t>Jasa Arsitektural Bangunan Gedung Hunian dan Non Hunian, Jasa Rekayasa Konstruksi Bangunan Gedung Hunian dan Non Hunian</t>
        </is>
      </c>
      <c r="N2" t="inlineStr">
        <is>
          <t>K</t>
        </is>
      </c>
      <c r="O2" t="inlineStr">
        <is>
          <t>20231112</t>
        </is>
      </c>
      <c r="P2" t="inlineStr">
        <is>
          <t>Jawa Barat</t>
        </is>
      </c>
      <c r="Q2" s="3">
        <f>HYPERLINK("https://wa.me/62811908238?text=Selamat siang Bapak/Ibu pimpinan DITHARA GRAHA MULTIYASA,%0A%0ASemoga Bapak/Ibu dalam keadaan baik.%0ABerdasarkan data LPJK, masa berlaku SBU perusahaan Bapak/Ibu akan berakhir sekitar 3 bulan lagi (pada 26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GUNUNG BAJA KONSTRUKSI</t>
        </is>
      </c>
      <c r="B3" t="inlineStr">
        <is>
          <t>Kab. Bekasi</t>
        </is>
      </c>
      <c r="C3" t="inlineStr">
        <is>
          <t>087741607454</t>
        </is>
      </c>
      <c r="D3" t="inlineStr">
        <is>
          <t>sandi.permana@gunungsteel.com</t>
        </is>
      </c>
      <c r="E3" t="inlineStr">
        <is>
          <t>https://lpjk.pu.go.id/search-badan-usaha-detail/aElBWi9LVEhtYWN0VkdqY0ttTnNtZz09</t>
        </is>
      </c>
      <c r="F3" t="n">
        <v>1</v>
      </c>
      <c r="G3" t="inlineStr">
        <is>
          <t>BS002</t>
        </is>
      </c>
      <c r="H3" t="inlineStr">
        <is>
          <t>15 Februari 1995</t>
        </is>
      </c>
      <c r="I3" s="2" t="n">
        <v>46352</v>
      </c>
      <c r="J3" t="inlineStr">
        <is>
          <t>Pencabutan</t>
        </is>
      </c>
      <c r="K3" t="n">
        <v>87</v>
      </c>
      <c r="L3" t="inlineStr">
        <is>
          <t>26 November 2026</t>
        </is>
      </c>
      <c r="M3" t="inlineStr">
        <is>
          <t>Bangunan Sipil Jembatan, Jalan Layang, Fly Over, dan Underpass</t>
        </is>
      </c>
      <c r="N3" t="inlineStr">
        <is>
          <t>B</t>
        </is>
      </c>
      <c r="O3" t="inlineStr">
        <is>
          <t>20231120</t>
        </is>
      </c>
      <c r="P3" t="inlineStr">
        <is>
          <t>Jawa Barat</t>
        </is>
      </c>
      <c r="Q3" s="3">
        <f>HYPERLINK("https://wa.me/6287741607454?text=Selamat siang Bapak/Ibu pimpinan GUNUNG BAJA KONSTRUKSI,%0A%0ASemoga Bapak/Ibu dalam keadaan baik.%0ABerdasarkan data LPJK, masa berlaku SBU perusahaan Bapak/Ibu akan berakhir sekitar 3 bulan lagi (pada 26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ADE MITRA PRIMAH JAYA</t>
        </is>
      </c>
      <c r="B4" t="inlineStr">
        <is>
          <t>Kab. Pelalawan</t>
        </is>
      </c>
      <c r="C4" t="inlineStr">
        <is>
          <t>081363858101</t>
        </is>
      </c>
      <c r="D4" t="inlineStr">
        <is>
          <t>ptademitraprimahjaya@gmail.com</t>
        </is>
      </c>
      <c r="E4" t="inlineStr">
        <is>
          <t>https://lpjk.pu.go.id/search-badan-usaha-detail/YU9jVDRGaTR2eHFtcHZvdm9QTlU1Zz09</t>
        </is>
      </c>
      <c r="F4" t="n">
        <v>1</v>
      </c>
      <c r="G4" t="inlineStr">
        <is>
          <t>PL004</t>
        </is>
      </c>
      <c r="H4" t="inlineStr">
        <is>
          <t>9 Agustus 2021</t>
        </is>
      </c>
      <c r="I4" s="2" t="n">
        <v>46352</v>
      </c>
      <c r="J4" t="inlineStr">
        <is>
          <t>Pembekuan</t>
        </is>
      </c>
      <c r="K4" t="n">
        <v>87</v>
      </c>
      <c r="L4" t="inlineStr">
        <is>
          <t>26 November 2026</t>
        </is>
      </c>
      <c r="M4" t="inlineStr">
        <is>
          <t>Pekerjaan Tanah</t>
        </is>
      </c>
      <c r="N4" t="inlineStr">
        <is>
          <t>Spesialis</t>
        </is>
      </c>
      <c r="O4" t="inlineStr">
        <is>
          <t>20231127</t>
        </is>
      </c>
      <c r="P4" t="inlineStr">
        <is>
          <t>Riau</t>
        </is>
      </c>
      <c r="Q4" t="inlineStr"/>
    </row>
    <row r="5">
      <c r="A5" t="inlineStr">
        <is>
          <t>AGUNG KUSUMA</t>
        </is>
      </c>
      <c r="B5" t="inlineStr">
        <is>
          <t>Kota Palembang</t>
        </is>
      </c>
      <c r="C5" t="inlineStr">
        <is>
          <t>0711444296</t>
        </is>
      </c>
      <c r="D5" t="inlineStr">
        <is>
          <t>agungkusuma2007@gmail.com</t>
        </is>
      </c>
      <c r="E5" t="inlineStr">
        <is>
          <t>https://lpjk.pu.go.id/search-badan-usaha-detail/dlFIeXBKaHlCTDdFbzNoM2tONjlxQT09</t>
        </is>
      </c>
      <c r="F5" t="n">
        <v>2</v>
      </c>
      <c r="G5" t="inlineStr">
        <is>
          <t>BS002</t>
        </is>
      </c>
      <c r="H5" t="inlineStr">
        <is>
          <t>30 Juli 2007</t>
        </is>
      </c>
      <c r="I5" s="2" t="n">
        <v>46352</v>
      </c>
      <c r="J5" t="inlineStr">
        <is>
          <t>Disetujui</t>
        </is>
      </c>
      <c r="K5" t="n">
        <v>87</v>
      </c>
      <c r="L5" t="inlineStr">
        <is>
          <t>26 November 2026</t>
        </is>
      </c>
      <c r="M5" t="inlineStr">
        <is>
          <t>Bangunan Sipil Jembatan, Jalan Layang, Fly Over, dan Underpass</t>
        </is>
      </c>
      <c r="N5" t="inlineStr">
        <is>
          <t>B</t>
        </is>
      </c>
      <c r="O5" t="inlineStr">
        <is>
          <t>20231027</t>
        </is>
      </c>
      <c r="P5" t="inlineStr">
        <is>
          <t>Sumatera Selatan</t>
        </is>
      </c>
      <c r="Q5" t="inlineStr"/>
    </row>
    <row r="6">
      <c r="A6" t="inlineStr">
        <is>
          <t>ARENA KARYA</t>
        </is>
      </c>
      <c r="B6" t="inlineStr">
        <is>
          <t>Kota Banjarmasin</t>
        </is>
      </c>
      <c r="C6" t="inlineStr">
        <is>
          <t>085735904006</t>
        </is>
      </c>
      <c r="D6" t="inlineStr">
        <is>
          <t>cvarenakarya@yahoo.com</t>
        </is>
      </c>
      <c r="E6" t="inlineStr">
        <is>
          <t>https://lpjk.pu.go.id/search-badan-usaha-detail/MmdvU09kNnNjVzRGQmwyVm5lMXdzZz09</t>
        </is>
      </c>
      <c r="F6" t="n">
        <v>1</v>
      </c>
      <c r="G6" t="inlineStr">
        <is>
          <t>BS005</t>
        </is>
      </c>
      <c r="H6" t="inlineStr">
        <is>
          <t>18 September 1987</t>
        </is>
      </c>
      <c r="I6" s="2" t="n">
        <v>46352</v>
      </c>
      <c r="J6" t="inlineStr">
        <is>
          <t>Disetujui</t>
        </is>
      </c>
      <c r="K6" t="n">
        <v>87</v>
      </c>
      <c r="L6" t="inlineStr">
        <is>
          <t>26 November 2026</t>
        </is>
      </c>
      <c r="M6" t="inlineStr">
        <is>
          <t>Konstruksi Bangunan Sipil Pengolahan Air Bersih</t>
        </is>
      </c>
      <c r="N6" t="inlineStr">
        <is>
          <t>K</t>
        </is>
      </c>
      <c r="O6" t="inlineStr">
        <is>
          <t>20231122</t>
        </is>
      </c>
      <c r="P6" t="inlineStr">
        <is>
          <t>Kalimantan Selatan</t>
        </is>
      </c>
      <c r="Q6" t="inlineStr"/>
    </row>
    <row r="7">
      <c r="A7" t="inlineStr">
        <is>
          <t>ARESHA WAHANA BHAKTI</t>
        </is>
      </c>
      <c r="B7" t="inlineStr">
        <is>
          <t>Kota Serang</t>
        </is>
      </c>
      <c r="C7" t="inlineStr">
        <is>
          <t>081313004050</t>
        </is>
      </c>
      <c r="D7" t="inlineStr">
        <is>
          <t>erwindo1505@gmail.com</t>
        </is>
      </c>
      <c r="E7" t="inlineStr">
        <is>
          <t>https://lpjk.pu.go.id/search-badan-usaha-detail/akRFbkhoUGk2V2V6TExMeGRabjJ6dz09</t>
        </is>
      </c>
      <c r="F7" t="n">
        <v>2</v>
      </c>
      <c r="G7" t="inlineStr">
        <is>
          <t>BG006, BG009</t>
        </is>
      </c>
      <c r="H7" t="inlineStr">
        <is>
          <t>27 Oktober 2014</t>
        </is>
      </c>
      <c r="I7" s="2" t="n">
        <v>46352</v>
      </c>
      <c r="J7" t="inlineStr">
        <is>
          <t>Disetujui</t>
        </is>
      </c>
      <c r="K7" t="n">
        <v>87</v>
      </c>
      <c r="L7" t="inlineStr">
        <is>
          <t>26 November 2026</t>
        </is>
      </c>
      <c r="M7" t="inlineStr">
        <is>
          <t>Konstruksi Gedung Lainnya, Konstruksi Gedung Pendidikan</t>
        </is>
      </c>
      <c r="N7" t="inlineStr">
        <is>
          <t>K</t>
        </is>
      </c>
      <c r="O7" t="inlineStr">
        <is>
          <t>20231123, 20231125</t>
        </is>
      </c>
      <c r="P7" t="inlineStr">
        <is>
          <t>Banten</t>
        </is>
      </c>
      <c r="Q7" t="inlineStr"/>
    </row>
    <row r="8">
      <c r="A8" t="inlineStr">
        <is>
          <t>ATLAS ENGINEERING CONSULTANT</t>
        </is>
      </c>
      <c r="B8" t="inlineStr">
        <is>
          <t>Kab. Kotawaringin Barat</t>
        </is>
      </c>
      <c r="C8" t="inlineStr">
        <is>
          <t>08115201080</t>
        </is>
      </c>
      <c r="D8" t="inlineStr">
        <is>
          <t>atlasengineeringconsultant@gmail.com</t>
        </is>
      </c>
      <c r="E8" t="inlineStr">
        <is>
          <t>https://lpjk.pu.go.id/search-badan-usaha-detail/bzVUZVFGNjVTdklsTmF6SDVTRTJSdz09</t>
        </is>
      </c>
      <c r="F8" t="n">
        <v>3</v>
      </c>
      <c r="G8" t="inlineStr">
        <is>
          <t>RK001, RK002, RK003</t>
        </is>
      </c>
      <c r="H8" t="inlineStr">
        <is>
          <t>11 Juli 2023</t>
        </is>
      </c>
      <c r="I8" s="2" t="n">
        <v>46352</v>
      </c>
      <c r="J8" t="inlineStr">
        <is>
          <t>Disetujui</t>
        </is>
      </c>
      <c r="K8" t="n">
        <v>87</v>
      </c>
      <c r="L8" t="inlineStr">
        <is>
          <t>26 November 2026</t>
        </is>
      </c>
      <c r="M8" t="inlineStr">
        <is>
          <t>Jasa Rekayasa Konstruksi Bangunan Gedung Hunian dan Non Hunian, Jasa Rekayasa Pekerjaan Teknik Sipil Sumber Daya Air, Jasa Rekayasa Pekerjaan Teknik Sipil Transportasi</t>
        </is>
      </c>
      <c r="N8" t="inlineStr">
        <is>
          <t>K</t>
        </is>
      </c>
      <c r="O8" t="inlineStr">
        <is>
          <t>20231115</t>
        </is>
      </c>
      <c r="P8" t="inlineStr">
        <is>
          <t>Kalimantan Tengah</t>
        </is>
      </c>
      <c r="Q8" t="inlineStr"/>
    </row>
    <row r="9">
      <c r="A9" t="inlineStr">
        <is>
          <t>AZKA CAHAYA GEMILANG</t>
        </is>
      </c>
      <c r="B9" t="inlineStr">
        <is>
          <t>Kota Palembang</t>
        </is>
      </c>
      <c r="C9" t="inlineStr">
        <is>
          <t>082372357899</t>
        </is>
      </c>
      <c r="D9" t="inlineStr">
        <is>
          <t>ptazkacahayagemilang@gmail.com</t>
        </is>
      </c>
      <c r="E9" t="inlineStr">
        <is>
          <t>https://lpjk.pu.go.id/search-badan-usaha-detail/eGtEN09TR21ud2toYTFoRXh1UzZmZz09</t>
        </is>
      </c>
      <c r="F9" t="n">
        <v>1</v>
      </c>
      <c r="G9" t="inlineStr">
        <is>
          <t>BG006</t>
        </is>
      </c>
      <c r="H9" t="inlineStr">
        <is>
          <t>3 November 2017</t>
        </is>
      </c>
      <c r="I9" s="2" t="n">
        <v>46352</v>
      </c>
      <c r="J9" t="inlineStr">
        <is>
          <t>Disetujui</t>
        </is>
      </c>
      <c r="K9" t="n">
        <v>87</v>
      </c>
      <c r="L9" t="inlineStr">
        <is>
          <t>26 November 2026</t>
        </is>
      </c>
      <c r="M9" t="inlineStr">
        <is>
          <t>Konstruksi Gedung Pendidikan</t>
        </is>
      </c>
      <c r="N9" t="inlineStr">
        <is>
          <t>K</t>
        </is>
      </c>
      <c r="O9" t="inlineStr">
        <is>
          <t>20231102</t>
        </is>
      </c>
      <c r="P9" t="inlineStr">
        <is>
          <t>Sumatera Selatan</t>
        </is>
      </c>
      <c r="Q9" t="inlineStr"/>
    </row>
    <row r="10">
      <c r="A10" t="inlineStr">
        <is>
          <t>BAJA KARYA UTAMA</t>
        </is>
      </c>
      <c r="B10" t="inlineStr">
        <is>
          <t>Kab. Magelang</t>
        </is>
      </c>
      <c r="C10" t="inlineStr">
        <is>
          <t>081328690096</t>
        </is>
      </c>
      <c r="D10" t="inlineStr">
        <is>
          <t>cv.baja.karya.utama@gmail.com</t>
        </is>
      </c>
      <c r="E10" t="inlineStr">
        <is>
          <t>https://lpjk.pu.go.id/search-badan-usaha-detail/eW1YZW9yT2dReUFVQmdTU2N4RGJIUT09</t>
        </is>
      </c>
      <c r="F10" t="n">
        <v>3</v>
      </c>
      <c r="G10" t="inlineStr">
        <is>
          <t>BG002, BG006, BG009</t>
        </is>
      </c>
      <c r="H10" t="inlineStr">
        <is>
          <t>8 Desember 2003</t>
        </is>
      </c>
      <c r="I10" s="2" t="n">
        <v>46352</v>
      </c>
      <c r="J10" t="inlineStr">
        <is>
          <t>Disetujui</t>
        </is>
      </c>
      <c r="K10" t="n">
        <v>87</v>
      </c>
      <c r="L10" t="inlineStr">
        <is>
          <t>26 November 2026</t>
        </is>
      </c>
      <c r="M10" t="inlineStr">
        <is>
          <t>Konstruksi Gedung Lainnya, Konstruksi Gedung Pendidikan, Konstruksi Gedung Perkantoran</t>
        </is>
      </c>
      <c r="N10" t="inlineStr">
        <is>
          <t>K</t>
        </is>
      </c>
      <c r="O10" t="inlineStr">
        <is>
          <t>20231123, 20231124</t>
        </is>
      </c>
      <c r="P10" t="inlineStr">
        <is>
          <t>Jawa Tengah</t>
        </is>
      </c>
      <c r="Q10" t="inlineStr"/>
    </row>
    <row r="11">
      <c r="A11" t="inlineStr">
        <is>
          <t>BAKTI KARTIKA MAHAKAM</t>
        </is>
      </c>
      <c r="B11" t="inlineStr">
        <is>
          <t>Kota Samarinda</t>
        </is>
      </c>
      <c r="C11" t="inlineStr">
        <is>
          <t>085370776161</t>
        </is>
      </c>
      <c r="D11" t="inlineStr">
        <is>
          <t>pt.baktikartikamahakam@gmail.com</t>
        </is>
      </c>
      <c r="E11" t="inlineStr">
        <is>
          <t>https://lpjk.pu.go.id/search-badan-usaha-detail/VWtvckhWNlJnVHc5KzIvYzVoNlcrdz09</t>
        </is>
      </c>
      <c r="F11" t="n">
        <v>1</v>
      </c>
      <c r="G11" t="inlineStr">
        <is>
          <t>BG001</t>
        </is>
      </c>
      <c r="H11" t="inlineStr">
        <is>
          <t>4 November 2021</t>
        </is>
      </c>
      <c r="I11" s="2" t="n">
        <v>46352</v>
      </c>
      <c r="J11" t="inlineStr">
        <is>
          <t>Disetujui</t>
        </is>
      </c>
      <c r="K11" t="n">
        <v>87</v>
      </c>
      <c r="L11" t="inlineStr">
        <is>
          <t>26 November 2026</t>
        </is>
      </c>
      <c r="M11" t="inlineStr">
        <is>
          <t>Konstruksi Gedung Hunian</t>
        </is>
      </c>
      <c r="N11" t="inlineStr">
        <is>
          <t>K</t>
        </is>
      </c>
      <c r="O11" t="inlineStr">
        <is>
          <t>20231124</t>
        </is>
      </c>
      <c r="P11" t="inlineStr">
        <is>
          <t>Kalimantan Timur</t>
        </is>
      </c>
      <c r="Q11" t="inlineStr"/>
    </row>
    <row r="12">
      <c r="A12" t="inlineStr">
        <is>
          <t>BAKTI KARYA</t>
        </is>
      </c>
      <c r="B12" t="inlineStr">
        <is>
          <t>Kab. Lampung Utara</t>
        </is>
      </c>
      <c r="C12" t="inlineStr">
        <is>
          <t>081369761550</t>
        </is>
      </c>
      <c r="D12" t="inlineStr">
        <is>
          <t>cv.baktikary4@gmail.com</t>
        </is>
      </c>
      <c r="E12" t="inlineStr">
        <is>
          <t>https://lpjk.pu.go.id/search-badan-usaha-detail/bDFpWVo3alR4eStxQy9kU2hHT1ZLUT09</t>
        </is>
      </c>
      <c r="F12" t="n">
        <v>1</v>
      </c>
      <c r="G12" t="inlineStr">
        <is>
          <t>BS004</t>
        </is>
      </c>
      <c r="H12" t="inlineStr">
        <is>
          <t>24 Oktober 1985</t>
        </is>
      </c>
      <c r="I12" s="2" t="n">
        <v>46352</v>
      </c>
      <c r="J12" t="inlineStr">
        <is>
          <t>Disetujui</t>
        </is>
      </c>
      <c r="K12" t="n">
        <v>87</v>
      </c>
      <c r="L12" t="inlineStr">
        <is>
          <t>26 November 2026</t>
        </is>
      </c>
      <c r="M12" t="inlineStr">
        <is>
          <t>Konstruksi Jaringan Irigasi dan Drainase</t>
        </is>
      </c>
      <c r="N12" t="inlineStr">
        <is>
          <t>K</t>
        </is>
      </c>
      <c r="O12" t="inlineStr">
        <is>
          <t>20231121</t>
        </is>
      </c>
      <c r="P12" t="inlineStr">
        <is>
          <t>Lampung</t>
        </is>
      </c>
      <c r="Q12" t="inlineStr"/>
    </row>
    <row r="13">
      <c r="A13" t="inlineStr">
        <is>
          <t>BANGUN INDAH</t>
        </is>
      </c>
      <c r="B13" t="inlineStr">
        <is>
          <t>Kab. Gunungkidul</t>
        </is>
      </c>
      <c r="C13" t="inlineStr">
        <is>
          <t>087839882308</t>
        </is>
      </c>
      <c r="D13" t="inlineStr">
        <is>
          <t>bangunindahcv@yahoo.com</t>
        </is>
      </c>
      <c r="E13" t="inlineStr">
        <is>
          <t>https://lpjk.pu.go.id/search-badan-usaha-detail/Z1Yxd2tmVFBzb1AvZ1pDdEpBWVlSUT09</t>
        </is>
      </c>
      <c r="F13" t="n">
        <v>4</v>
      </c>
      <c r="G13" t="inlineStr">
        <is>
          <t>BG006, BG009, BS005, BS006</t>
        </is>
      </c>
      <c r="H13" t="inlineStr">
        <is>
          <t>5 Oktober 2000</t>
        </is>
      </c>
      <c r="I13" s="2" t="n">
        <v>46352</v>
      </c>
      <c r="J13" t="inlineStr">
        <is>
          <t>Disetujui</t>
        </is>
      </c>
      <c r="K13" t="n">
        <v>87</v>
      </c>
      <c r="L13" t="inlineStr">
        <is>
          <t>26 November 2026</t>
        </is>
      </c>
      <c r="M13" t="inlineStr">
        <is>
          <t>Konstruksi Bangunan Sipil Pengolahan Air Bersih, Konstruksi Bangunan Sipil Prasarana dan Sarana Sistem Pengolahan Limbah Padat, Cair, dan Gas, Konstruksi Gedung Lainnya, Konstruksi Gedung Pendidikan</t>
        </is>
      </c>
      <c r="N13" t="inlineStr">
        <is>
          <t>K</t>
        </is>
      </c>
      <c r="O13" t="inlineStr">
        <is>
          <t>20231110, 20231118, 20231122</t>
        </is>
      </c>
      <c r="P13" t="inlineStr">
        <is>
          <t>DI Yogyakarta</t>
        </is>
      </c>
      <c r="Q13" t="inlineStr"/>
    </row>
    <row r="14">
      <c r="A14" t="inlineStr">
        <is>
          <t>BERKAH</t>
        </is>
      </c>
      <c r="B14" t="inlineStr">
        <is>
          <t>Kota Pariaman</t>
        </is>
      </c>
      <c r="C14" t="inlineStr">
        <is>
          <t>085364190091</t>
        </is>
      </c>
      <c r="D14" t="inlineStr">
        <is>
          <t>efendisyamri@gmail.com</t>
        </is>
      </c>
      <c r="E14" t="inlineStr">
        <is>
          <t>https://lpjk.pu.go.id/search-badan-usaha-detail/UlYrUms4QS9SNnJaamR6Qmxick43Zz09</t>
        </is>
      </c>
      <c r="F14" t="n">
        <v>4</v>
      </c>
      <c r="G14" t="inlineStr">
        <is>
          <t>BS001, BS004</t>
        </is>
      </c>
      <c r="H14" t="inlineStr">
        <is>
          <t>3 Februari 2004</t>
        </is>
      </c>
      <c r="I14" s="2" t="n">
        <v>46352</v>
      </c>
      <c r="J14" t="inlineStr">
        <is>
          <t>Disetujui</t>
        </is>
      </c>
      <c r="K14" t="n">
        <v>87</v>
      </c>
      <c r="L14" t="inlineStr">
        <is>
          <t>26 November 2026</t>
        </is>
      </c>
      <c r="M14" t="inlineStr">
        <is>
          <t>Konstruksi Bangunan Sipil Jalan, Konstruksi Jaringan Irigasi dan Drainase</t>
        </is>
      </c>
      <c r="N14" t="inlineStr">
        <is>
          <t>K</t>
        </is>
      </c>
      <c r="O14" t="inlineStr">
        <is>
          <t>20231122</t>
        </is>
      </c>
      <c r="P14" t="inlineStr">
        <is>
          <t>Sumatera Barat</t>
        </is>
      </c>
      <c r="Q14" t="inlineStr"/>
    </row>
    <row r="15">
      <c r="A15" t="inlineStr">
        <is>
          <t>BHAKTI NUSA PERKASA</t>
        </is>
      </c>
      <c r="B15" t="inlineStr">
        <is>
          <t>Kab. Kotawaringin Barat</t>
        </is>
      </c>
      <c r="C15" t="inlineStr">
        <is>
          <t>0811523164</t>
        </is>
      </c>
      <c r="D15" t="inlineStr">
        <is>
          <t>bnp_consultant@yahoo.com.sg</t>
        </is>
      </c>
      <c r="E15" t="inlineStr">
        <is>
          <t>https://lpjk.pu.go.id/search-badan-usaha-detail/UGh5WWNLUzljR2o1c1QzU3lyZ1VXZz09</t>
        </is>
      </c>
      <c r="F15" t="n">
        <v>1</v>
      </c>
      <c r="G15" t="inlineStr">
        <is>
          <t>RK001</t>
        </is>
      </c>
      <c r="H15" t="inlineStr">
        <is>
          <t>19 Januari 2005</t>
        </is>
      </c>
      <c r="I15" s="2" t="n">
        <v>46352</v>
      </c>
      <c r="J15" t="inlineStr">
        <is>
          <t>Disetujui</t>
        </is>
      </c>
      <c r="K15" t="n">
        <v>87</v>
      </c>
      <c r="L15" t="inlineStr">
        <is>
          <t>26 November 2026</t>
        </is>
      </c>
      <c r="M15" t="inlineStr">
        <is>
          <t>Jasa Rekayasa Konstruksi Bangunan Gedung Hunian dan Non Hunian</t>
        </is>
      </c>
      <c r="N15" t="inlineStr">
        <is>
          <t>K</t>
        </is>
      </c>
      <c r="O15" t="inlineStr">
        <is>
          <t>20231115</t>
        </is>
      </c>
      <c r="P15" t="inlineStr">
        <is>
          <t>Kalimantan Tengah</t>
        </is>
      </c>
      <c r="Q15" t="inlineStr"/>
    </row>
    <row r="16">
      <c r="A16" t="inlineStr">
        <is>
          <t>BINTANINDO SUKSES PERKASA</t>
        </is>
      </c>
      <c r="B16" t="inlineStr">
        <is>
          <t>Kab. Bintan</t>
        </is>
      </c>
      <c r="C16" t="inlineStr">
        <is>
          <t>081227775117</t>
        </is>
      </c>
      <c r="D16" t="inlineStr">
        <is>
          <t>bintanindosuksesperkasa@gmail.com</t>
        </is>
      </c>
      <c r="E16" t="inlineStr">
        <is>
          <t>https://lpjk.pu.go.id/search-badan-usaha-detail/eTZ6dzhFYnI0RlJsMVlpbGozeG8xZz09</t>
        </is>
      </c>
      <c r="F16" t="n">
        <v>3</v>
      </c>
      <c r="G16" t="inlineStr">
        <is>
          <t>BG009, BS001, PL003</t>
        </is>
      </c>
      <c r="H16" t="inlineStr">
        <is>
          <t>10 Maret 2014</t>
        </is>
      </c>
      <c r="I16" s="2" t="n">
        <v>46352</v>
      </c>
      <c r="J16" t="inlineStr">
        <is>
          <t>Disetujui</t>
        </is>
      </c>
      <c r="K16" t="n">
        <v>87</v>
      </c>
      <c r="L16" t="inlineStr">
        <is>
          <t>26 November 2026</t>
        </is>
      </c>
      <c r="M16" t="inlineStr">
        <is>
          <t>Konstruksi Bangunan Sipil Jalan, Konstruksi Gedung Lainnya, Penyiapan Lahan Konstruksi</t>
        </is>
      </c>
      <c r="N16" t="inlineStr">
        <is>
          <t>M, Spesialis</t>
        </is>
      </c>
      <c r="O16" t="inlineStr">
        <is>
          <t>20231109, 20231116, 20231123</t>
        </is>
      </c>
      <c r="P16" t="inlineStr">
        <is>
          <t>Kepulauan Riau</t>
        </is>
      </c>
      <c r="Q16" t="inlineStr"/>
    </row>
    <row r="17">
      <c r="A17" t="inlineStr">
        <is>
          <t>CAHAYA BUMI JAYA</t>
        </is>
      </c>
      <c r="B17" t="inlineStr">
        <is>
          <t>Kota Tangerang Selatan</t>
        </is>
      </c>
      <c r="C17" t="inlineStr">
        <is>
          <t>081211688787</t>
        </is>
      </c>
      <c r="D17" t="inlineStr">
        <is>
          <t>cahayabumijaya@yahoo.com</t>
        </is>
      </c>
      <c r="E17" t="inlineStr">
        <is>
          <t>https://lpjk.pu.go.id/search-badan-usaha-detail/am0zeWdwaWRKRldDeWYvekVPZjNpUT09</t>
        </is>
      </c>
      <c r="F17" t="n">
        <v>1</v>
      </c>
      <c r="G17" t="inlineStr">
        <is>
          <t>BS010</t>
        </is>
      </c>
      <c r="H17" t="inlineStr">
        <is>
          <t>22 Juni 2012</t>
        </is>
      </c>
      <c r="I17" s="2" t="n">
        <v>46352</v>
      </c>
      <c r="J17" t="inlineStr">
        <is>
          <t>Disetujui</t>
        </is>
      </c>
      <c r="K17" t="n">
        <v>87</v>
      </c>
      <c r="L17" t="inlineStr">
        <is>
          <t>26 November 2026</t>
        </is>
      </c>
      <c r="M17" t="inlineStr">
        <is>
          <t>Konstruksi Bangunan Prasarana Sumber Daya Air</t>
        </is>
      </c>
      <c r="N17" t="inlineStr">
        <is>
          <t>K</t>
        </is>
      </c>
      <c r="O17" t="inlineStr">
        <is>
          <t>20231127</t>
        </is>
      </c>
      <c r="P17" t="inlineStr">
        <is>
          <t>Banten</t>
        </is>
      </c>
      <c r="Q17" t="inlineStr"/>
    </row>
    <row r="18">
      <c r="A18" t="inlineStr">
        <is>
          <t>CIPTA AVOLUTION DESIGN</t>
        </is>
      </c>
      <c r="B18" t="inlineStr">
        <is>
          <t>Kab. Wonosobo</t>
        </is>
      </c>
      <c r="C18" t="inlineStr">
        <is>
          <t>081393092982</t>
        </is>
      </c>
      <c r="D18" t="inlineStr">
        <is>
          <t>cvciptaavolutiondesign@gmail.com</t>
        </is>
      </c>
      <c r="E18" t="inlineStr">
        <is>
          <t>https://lpjk.pu.go.id/search-badan-usaha-detail/a3FqeStCeGdXWnNwRGtkZzNtOXVVUT09</t>
        </is>
      </c>
      <c r="F18" t="n">
        <v>8</v>
      </c>
      <c r="G18" t="inlineStr">
        <is>
          <t>AR001, AR002, RK001, RK004</t>
        </is>
      </c>
      <c r="H18" t="inlineStr">
        <is>
          <t>20 Juli 2023</t>
        </is>
      </c>
      <c r="I18" s="2" t="n">
        <v>46352</v>
      </c>
      <c r="J18" t="inlineStr">
        <is>
          <t>Disetujui</t>
        </is>
      </c>
      <c r="K18" t="n">
        <v>87</v>
      </c>
      <c r="L18" t="inlineStr">
        <is>
          <t>26 November 2026</t>
        </is>
      </c>
      <c r="M18" t="inlineStr">
        <is>
          <t>Jasa Arsitektural Bangunan Gedung Hunian dan Non Hunian, Jasa Arsitektural Lainnya, Jasa Rekayasa Konstruksi Bangunan Gedung Hunian dan Non Hunian, Jasa Rekayasa Pekerjaan Mekanikal Dalam Bangunan</t>
        </is>
      </c>
      <c r="N18" t="inlineStr">
        <is>
          <t>K</t>
        </is>
      </c>
      <c r="O18" t="inlineStr">
        <is>
          <t>20231102, 20231106</t>
        </is>
      </c>
      <c r="P18" t="inlineStr">
        <is>
          <t>Jawa Tengah</t>
        </is>
      </c>
      <c r="Q18" t="inlineStr"/>
    </row>
    <row r="19">
      <c r="A19" t="inlineStr">
        <is>
          <t>DASA KARYA SUKSES</t>
        </is>
      </c>
      <c r="B19" t="inlineStr">
        <is>
          <t>Kab. Cilacap</t>
        </is>
      </c>
      <c r="C19" t="inlineStr">
        <is>
          <t>081548849021</t>
        </is>
      </c>
      <c r="D19" t="inlineStr">
        <is>
          <t>dasakaryasukses@yahoo.com</t>
        </is>
      </c>
      <c r="E19" t="inlineStr">
        <is>
          <t>https://lpjk.pu.go.id/search-badan-usaha-detail/VVZmeEwrU2hKS3dzTTNlMnM0TVFuQT09</t>
        </is>
      </c>
      <c r="F19" t="n">
        <v>1</v>
      </c>
      <c r="G19" t="inlineStr">
        <is>
          <t>BS001</t>
        </is>
      </c>
      <c r="H19" t="inlineStr">
        <is>
          <t>1 September 2008</t>
        </is>
      </c>
      <c r="I19" s="2" t="n">
        <v>46352</v>
      </c>
      <c r="J19" t="inlineStr">
        <is>
          <t>Disetujui</t>
        </is>
      </c>
      <c r="K19" t="n">
        <v>87</v>
      </c>
      <c r="L19" t="inlineStr">
        <is>
          <t>26 November 2026</t>
        </is>
      </c>
      <c r="M19" t="inlineStr">
        <is>
          <t>Konstruksi Bangunan Sipil Jalan</t>
        </is>
      </c>
      <c r="N19" t="inlineStr">
        <is>
          <t>K</t>
        </is>
      </c>
      <c r="O19" t="inlineStr">
        <is>
          <t>20231121</t>
        </is>
      </c>
      <c r="P19" t="inlineStr">
        <is>
          <t>Jawa Tengah</t>
        </is>
      </c>
      <c r="Q19" t="inlineStr"/>
    </row>
    <row r="20">
      <c r="A20" t="inlineStr">
        <is>
          <t>DEWI FAEYZA ABADI</t>
        </is>
      </c>
      <c r="B20" t="inlineStr">
        <is>
          <t>Kota Palu</t>
        </is>
      </c>
      <c r="C20" t="inlineStr">
        <is>
          <t>081527700872</t>
        </is>
      </c>
      <c r="D20" t="inlineStr">
        <is>
          <t>cvdewifaeyzaabadi@gmail.com</t>
        </is>
      </c>
      <c r="E20" t="inlineStr">
        <is>
          <t>https://lpjk.pu.go.id/search-badan-usaha-detail/LzlPUWhoS2YrMDZScmlsamw5NlAxZz09</t>
        </is>
      </c>
      <c r="F20" t="n">
        <v>2</v>
      </c>
      <c r="G20" t="inlineStr">
        <is>
          <t>BS001, BS010</t>
        </is>
      </c>
      <c r="H20" t="inlineStr">
        <is>
          <t>8 Agustus 2023</t>
        </is>
      </c>
      <c r="I20" s="2" t="n">
        <v>46352</v>
      </c>
      <c r="J20" t="inlineStr">
        <is>
          <t>Disetujui</t>
        </is>
      </c>
      <c r="K20" t="n">
        <v>87</v>
      </c>
      <c r="L20" t="inlineStr">
        <is>
          <t>26 November 2026</t>
        </is>
      </c>
      <c r="M20" t="inlineStr">
        <is>
          <t>Konstruksi Bangunan Prasarana Sumber Daya Air, Konstruksi Bangunan Sipil Jalan</t>
        </is>
      </c>
      <c r="N20" t="inlineStr">
        <is>
          <t>K</t>
        </is>
      </c>
      <c r="O20" t="inlineStr">
        <is>
          <t>20231125, 20231201</t>
        </is>
      </c>
      <c r="P20" t="inlineStr">
        <is>
          <t>Sulawesi Tengah</t>
        </is>
      </c>
      <c r="Q20" t="inlineStr"/>
    </row>
    <row r="21">
      <c r="A21" t="inlineStr">
        <is>
          <t>DIGJAYA MANDIRI TEKNIK</t>
        </is>
      </c>
      <c r="B21" t="inlineStr">
        <is>
          <t>Kab. Ciamis</t>
        </is>
      </c>
      <c r="C21" t="inlineStr">
        <is>
          <t>085157270771</t>
        </is>
      </c>
      <c r="D21" t="inlineStr">
        <is>
          <t>digjaya.project@gmail.com</t>
        </is>
      </c>
      <c r="E21" t="inlineStr">
        <is>
          <t>https://lpjk.pu.go.id/search-badan-usaha-detail/OEtqa0lTWXNXSjhoY3VFMWIxajF4UT09</t>
        </is>
      </c>
      <c r="F21" t="n">
        <v>1</v>
      </c>
      <c r="G21" t="inlineStr">
        <is>
          <t>RK001</t>
        </is>
      </c>
      <c r="H21" t="inlineStr">
        <is>
          <t>19 Agustus 2016</t>
        </is>
      </c>
      <c r="I21" s="2" t="n">
        <v>46352</v>
      </c>
      <c r="J21" t="inlineStr">
        <is>
          <t>Disetujui</t>
        </is>
      </c>
      <c r="K21" t="n">
        <v>87</v>
      </c>
      <c r="L21" t="inlineStr">
        <is>
          <t>26 November 2026</t>
        </is>
      </c>
      <c r="M21" t="inlineStr">
        <is>
          <t>Jasa Rekayasa Konstruksi Bangunan Gedung Hunian dan Non Hunian</t>
        </is>
      </c>
      <c r="N21" t="inlineStr">
        <is>
          <t>M</t>
        </is>
      </c>
      <c r="O21" t="inlineStr">
        <is>
          <t>20231115</t>
        </is>
      </c>
      <c r="P21" t="inlineStr">
        <is>
          <t>Jawa Barat</t>
        </is>
      </c>
      <c r="Q21" t="inlineStr"/>
    </row>
    <row r="22">
      <c r="A22" t="inlineStr">
        <is>
          <t>DUTA BUANA</t>
        </is>
      </c>
      <c r="B22" t="inlineStr">
        <is>
          <t>Kota Surabaya</t>
        </is>
      </c>
      <c r="C22" t="inlineStr">
        <is>
          <t>0318792358</t>
        </is>
      </c>
      <c r="D22" t="inlineStr">
        <is>
          <t>duta_buana_cv@yahoo.com</t>
        </is>
      </c>
      <c r="E22" t="inlineStr">
        <is>
          <t>https://lpjk.pu.go.id/search-badan-usaha-detail/UFZYdmxlbmthSE80VUx0NGlrOG1BQT09</t>
        </is>
      </c>
      <c r="F22" t="n">
        <v>1</v>
      </c>
      <c r="G22" t="inlineStr">
        <is>
          <t>IN004</t>
        </is>
      </c>
      <c r="H22" t="inlineStr">
        <is>
          <t>9 Oktober 1989</t>
        </is>
      </c>
      <c r="I22" s="2" t="n">
        <v>46352</v>
      </c>
      <c r="J22" t="inlineStr">
        <is>
          <t>Pembekuan</t>
        </is>
      </c>
      <c r="K22" t="n">
        <v>87</v>
      </c>
      <c r="L22" t="inlineStr">
        <is>
          <t>26 November 2026</t>
        </is>
      </c>
      <c r="M22" t="inlineStr">
        <is>
          <t>Instalasi Minyak dan Gas</t>
        </is>
      </c>
      <c r="N22" t="inlineStr">
        <is>
          <t>Spesialis</t>
        </is>
      </c>
      <c r="O22" t="inlineStr">
        <is>
          <t>20230823</t>
        </is>
      </c>
      <c r="P22" t="inlineStr">
        <is>
          <t>Jawa Timur</t>
        </is>
      </c>
      <c r="Q22" t="inlineStr"/>
    </row>
    <row r="23">
      <c r="A23" t="inlineStr">
        <is>
          <t>ELANG MAHAKARYA UTAMA</t>
        </is>
      </c>
      <c r="B23" t="inlineStr">
        <is>
          <t>Kota Malang</t>
        </is>
      </c>
      <c r="C23" t="inlineStr">
        <is>
          <t>082256682474</t>
        </is>
      </c>
      <c r="D23" t="inlineStr">
        <is>
          <t>elang_mahakaryautama@yahoo.com</t>
        </is>
      </c>
      <c r="E23" t="inlineStr">
        <is>
          <t>https://lpjk.pu.go.id/search-badan-usaha-detail/TEFvYVRxVE9JUHNQMVlOQlBxaGRXdz09</t>
        </is>
      </c>
      <c r="F23" t="n">
        <v>4</v>
      </c>
      <c r="G23" t="inlineStr">
        <is>
          <t>BG002, BS004</t>
        </is>
      </c>
      <c r="H23" t="inlineStr">
        <is>
          <t>28 Juli 2005</t>
        </is>
      </c>
      <c r="I23" s="2" t="n">
        <v>46352</v>
      </c>
      <c r="J23" t="inlineStr">
        <is>
          <t>Disetujui</t>
        </is>
      </c>
      <c r="K23" t="n">
        <v>87</v>
      </c>
      <c r="L23" t="inlineStr">
        <is>
          <t>26 November 2026</t>
        </is>
      </c>
      <c r="M23" t="inlineStr">
        <is>
          <t>Konstruksi Gedung Perkantoran, Konstruksi Jaringan Irigasi dan Drainase</t>
        </is>
      </c>
      <c r="N23" t="inlineStr">
        <is>
          <t>K</t>
        </is>
      </c>
      <c r="O23" t="inlineStr">
        <is>
          <t>20231110, 20231113</t>
        </is>
      </c>
      <c r="P23" t="inlineStr">
        <is>
          <t>Jawa Timur</t>
        </is>
      </c>
      <c r="Q23" t="inlineStr"/>
    </row>
    <row r="24">
      <c r="A24" t="inlineStr">
        <is>
          <t>ELSA WIDYA PUTRA</t>
        </is>
      </c>
      <c r="B24" t="inlineStr">
        <is>
          <t>Kota Tangerang Selatan</t>
        </is>
      </c>
      <c r="C24" t="inlineStr">
        <is>
          <t>087776656902</t>
        </is>
      </c>
      <c r="D24" t="inlineStr">
        <is>
          <t>elsawidyaputra@gmail.com</t>
        </is>
      </c>
      <c r="E24" t="inlineStr">
        <is>
          <t>https://lpjk.pu.go.id/search-badan-usaha-detail/cndhMEVORHVyVTY3TFRtTy9hdHYyZz09</t>
        </is>
      </c>
      <c r="F24" t="n">
        <v>1</v>
      </c>
      <c r="G24" t="inlineStr">
        <is>
          <t>BG009</t>
        </is>
      </c>
      <c r="H24" t="inlineStr">
        <is>
          <t>14 November 2023</t>
        </is>
      </c>
      <c r="I24" s="2" t="n">
        <v>46352</v>
      </c>
      <c r="J24" t="inlineStr">
        <is>
          <t>Disetujui</t>
        </is>
      </c>
      <c r="K24" t="n">
        <v>87</v>
      </c>
      <c r="L24" t="inlineStr">
        <is>
          <t>26 November 2026</t>
        </is>
      </c>
      <c r="M24" t="inlineStr">
        <is>
          <t>Konstruksi Gedung Lainnya</t>
        </is>
      </c>
      <c r="N24" t="inlineStr">
        <is>
          <t>K</t>
        </is>
      </c>
      <c r="O24" t="inlineStr">
        <is>
          <t>20231121</t>
        </is>
      </c>
      <c r="P24" t="inlineStr">
        <is>
          <t>Banten</t>
        </is>
      </c>
      <c r="Q24" t="inlineStr"/>
    </row>
    <row r="25">
      <c r="A25" t="inlineStr">
        <is>
          <t>ERZA PUTRA CONSULTAN</t>
        </is>
      </c>
      <c r="B25" t="inlineStr">
        <is>
          <t>Kab. Bojonegoro</t>
        </is>
      </c>
      <c r="C25" t="inlineStr">
        <is>
          <t>085236661793</t>
        </is>
      </c>
      <c r="D25" t="inlineStr">
        <is>
          <t>cv.erzaputraconsultan@gmail.com</t>
        </is>
      </c>
      <c r="E25" t="inlineStr">
        <is>
          <t>https://lpjk.pu.go.id/search-badan-usaha-detail/V0NDRGJTTDJIQ2FKNmVtOEdEQUE1UT09</t>
        </is>
      </c>
      <c r="F25" t="n">
        <v>3</v>
      </c>
      <c r="G25" t="inlineStr">
        <is>
          <t>RK001, RK002, RK003</t>
        </is>
      </c>
      <c r="H25" t="inlineStr">
        <is>
          <t>24 September 2019</t>
        </is>
      </c>
      <c r="I25" s="2" t="n">
        <v>46352</v>
      </c>
      <c r="J25" t="inlineStr">
        <is>
          <t>Disetujui</t>
        </is>
      </c>
      <c r="K25" t="n">
        <v>87</v>
      </c>
      <c r="L25" t="inlineStr">
        <is>
          <t>26 November 2026</t>
        </is>
      </c>
      <c r="M25" t="inlineStr">
        <is>
          <t>Jasa Rekayasa Konstruksi Bangunan Gedung Hunian dan Non Hunian, Jasa Rekayasa Pekerjaan Teknik Sipil Sumber Daya Air, Jasa Rekayasa Pekerjaan Teknik Sipil Transportasi</t>
        </is>
      </c>
      <c r="N25" t="inlineStr">
        <is>
          <t>K</t>
        </is>
      </c>
      <c r="O25" t="inlineStr">
        <is>
          <t>20231116</t>
        </is>
      </c>
      <c r="P25" t="inlineStr">
        <is>
          <t>Jawa Timur</t>
        </is>
      </c>
      <c r="Q25" t="inlineStr"/>
    </row>
    <row r="26">
      <c r="A26" t="inlineStr">
        <is>
          <t>GANENDRA PERKASA ABADI</t>
        </is>
      </c>
      <c r="B26" t="inlineStr">
        <is>
          <t>Kab. Malang</t>
        </is>
      </c>
      <c r="C26" t="inlineStr">
        <is>
          <t>081252604977</t>
        </is>
      </c>
      <c r="D26" t="inlineStr">
        <is>
          <t>ganendraperkasabadi@gmail.com</t>
        </is>
      </c>
      <c r="E26" t="inlineStr">
        <is>
          <t>https://lpjk.pu.go.id/search-badan-usaha-detail/WENrbHg1bXFhS2s4Snl6V0cxVnB1Zz09</t>
        </is>
      </c>
      <c r="F26" t="n">
        <v>1</v>
      </c>
      <c r="G26" t="inlineStr">
        <is>
          <t>BS010</t>
        </is>
      </c>
      <c r="H26" t="inlineStr">
        <is>
          <t>16 Maret 2023</t>
        </is>
      </c>
      <c r="I26" s="2" t="n">
        <v>46352</v>
      </c>
      <c r="J26" t="inlineStr">
        <is>
          <t>Disetujui</t>
        </is>
      </c>
      <c r="K26" t="n">
        <v>87</v>
      </c>
      <c r="L26" t="inlineStr">
        <is>
          <t>26 November 2026</t>
        </is>
      </c>
      <c r="M26" t="inlineStr">
        <is>
          <t>Konstruksi Bangunan Prasarana Sumber Daya Air</t>
        </is>
      </c>
      <c r="N26" t="inlineStr">
        <is>
          <t>K</t>
        </is>
      </c>
      <c r="O26" t="inlineStr">
        <is>
          <t>20231127</t>
        </is>
      </c>
      <c r="P26" t="inlineStr">
        <is>
          <t>Jawa Timur</t>
        </is>
      </c>
      <c r="Q26" t="inlineStr"/>
    </row>
    <row r="27">
      <c r="A27" t="inlineStr">
        <is>
          <t>GARIS DINAMIS</t>
        </is>
      </c>
      <c r="B27" t="inlineStr">
        <is>
          <t>Kab. Lima Puluh Kota</t>
        </is>
      </c>
      <c r="C27" t="inlineStr">
        <is>
          <t>081374751313</t>
        </is>
      </c>
      <c r="D27" t="inlineStr">
        <is>
          <t>garisdinamiscv@gmail.com</t>
        </is>
      </c>
      <c r="E27" t="inlineStr">
        <is>
          <t>https://lpjk.pu.go.id/search-badan-usaha-detail/VndZbEgvY01vaXUyd0s4MHpEU0x0UT09</t>
        </is>
      </c>
      <c r="F27" t="n">
        <v>4</v>
      </c>
      <c r="G27" t="inlineStr">
        <is>
          <t>RK001, RK002, RK003, RK005</t>
        </is>
      </c>
      <c r="H27" t="inlineStr">
        <is>
          <t>17 November 2023</t>
        </is>
      </c>
      <c r="I27" s="2" t="n">
        <v>46352</v>
      </c>
      <c r="J27" t="inlineStr">
        <is>
          <t>Disetujui</t>
        </is>
      </c>
      <c r="K27" t="n">
        <v>87</v>
      </c>
      <c r="L27" t="inlineStr">
        <is>
          <t>26 November 2026</t>
        </is>
      </c>
      <c r="M27" t="inlineStr">
        <is>
          <t>Jasa Rekayasa Konstruksi Bangunan Gedung Hunian dan Non Hunian, Jasa Rekayasa Lainnya, Jasa Rekayasa Pekerjaan Teknik Sipil Sumber Daya Air, Jasa Rekayasa Pekerjaan Teknik Sipil Transportasi</t>
        </is>
      </c>
      <c r="N27" t="inlineStr">
        <is>
          <t>K</t>
        </is>
      </c>
      <c r="O27" t="inlineStr">
        <is>
          <t>20231121</t>
        </is>
      </c>
      <c r="P27" t="inlineStr">
        <is>
          <t>Sumatera Barat</t>
        </is>
      </c>
      <c r="Q27" t="inlineStr"/>
    </row>
    <row r="28">
      <c r="A28" t="inlineStr">
        <is>
          <t>GLOBAL KALINDA TEKNIKA</t>
        </is>
      </c>
      <c r="B28" t="inlineStr">
        <is>
          <t>Kab. Jember</t>
        </is>
      </c>
      <c r="C28" t="inlineStr">
        <is>
          <t>03158251621</t>
        </is>
      </c>
      <c r="D28" t="inlineStr">
        <is>
          <t>globalkalindateknika@gmail.com</t>
        </is>
      </c>
      <c r="E28" t="inlineStr">
        <is>
          <t>https://lpjk.pu.go.id/search-badan-usaha-detail/RFZjbVgvWEYyOGV4RFZPc0tOdWxzZz09</t>
        </is>
      </c>
      <c r="F28" t="n">
        <v>2</v>
      </c>
      <c r="G28" t="inlineStr">
        <is>
          <t>BG005, BG006</t>
        </is>
      </c>
      <c r="H28" t="inlineStr">
        <is>
          <t>1 Oktober 2010</t>
        </is>
      </c>
      <c r="I28" s="2" t="n">
        <v>46352</v>
      </c>
      <c r="J28" t="inlineStr">
        <is>
          <t>Pembekuan</t>
        </is>
      </c>
      <c r="K28" t="n">
        <v>87</v>
      </c>
      <c r="L28" t="inlineStr">
        <is>
          <t>26 November 2026</t>
        </is>
      </c>
      <c r="M28" t="inlineStr">
        <is>
          <t>Konstruksi Gedung Kesehatan, Konstruksi Gedung Pendidikan</t>
        </is>
      </c>
      <c r="N28" t="inlineStr">
        <is>
          <t>M</t>
        </is>
      </c>
      <c r="O28" t="inlineStr">
        <is>
          <t>20231127, 20231129</t>
        </is>
      </c>
      <c r="P28" t="inlineStr">
        <is>
          <t>Jawa Timur</t>
        </is>
      </c>
      <c r="Q28" t="inlineStr"/>
    </row>
    <row r="29">
      <c r="A29" t="inlineStr">
        <is>
          <t>HAN AWAL</t>
        </is>
      </c>
      <c r="B29" t="inlineStr">
        <is>
          <t>Kota Tangerang Selatan</t>
        </is>
      </c>
      <c r="C29" t="inlineStr">
        <is>
          <t>0217458922</t>
        </is>
      </c>
      <c r="D29" t="inlineStr">
        <is>
          <t>han.awal2@gmail.com</t>
        </is>
      </c>
      <c r="E29" t="inlineStr">
        <is>
          <t>https://lpjk.pu.go.id/search-badan-usaha-detail/cGNpakZUSm95RFdwVVlNdHRNNklhZz09</t>
        </is>
      </c>
      <c r="F29" t="n">
        <v>1</v>
      </c>
      <c r="G29" t="inlineStr">
        <is>
          <t>AR002</t>
        </is>
      </c>
      <c r="H29" t="inlineStr">
        <is>
          <t>10 Juli 1970</t>
        </is>
      </c>
      <c r="I29" s="2" t="n">
        <v>46352</v>
      </c>
      <c r="J29" t="inlineStr">
        <is>
          <t>Disetujui</t>
        </is>
      </c>
      <c r="K29" t="n">
        <v>87</v>
      </c>
      <c r="L29" t="inlineStr">
        <is>
          <t>26 November 2026</t>
        </is>
      </c>
      <c r="M29" t="inlineStr">
        <is>
          <t>Jasa Arsitektural Lainnya</t>
        </is>
      </c>
      <c r="N29" t="inlineStr">
        <is>
          <t>K</t>
        </is>
      </c>
      <c r="O29" t="inlineStr">
        <is>
          <t>20231122</t>
        </is>
      </c>
      <c r="P29" t="inlineStr">
        <is>
          <t>Banten</t>
        </is>
      </c>
      <c r="Q29" t="inlineStr"/>
    </row>
    <row r="30">
      <c r="A30" t="inlineStr">
        <is>
          <t>IDEA BINACIPTA DESIGN</t>
        </is>
      </c>
      <c r="B30" t="inlineStr">
        <is>
          <t>Kab. Sumbawa</t>
        </is>
      </c>
      <c r="C30" t="inlineStr">
        <is>
          <t>085238655754</t>
        </is>
      </c>
      <c r="D30" t="inlineStr">
        <is>
          <t>ideabcd.cv@gmail.com</t>
        </is>
      </c>
      <c r="E30" t="inlineStr">
        <is>
          <t>https://lpjk.pu.go.id/search-badan-usaha-detail/dXZheHViYkErOU5TZGN5aVB0MmM2UT09</t>
        </is>
      </c>
      <c r="F30" t="n">
        <v>1</v>
      </c>
      <c r="G30" t="inlineStr">
        <is>
          <t>RK001</t>
        </is>
      </c>
      <c r="H30" t="inlineStr">
        <is>
          <t>9 Juni 2020</t>
        </is>
      </c>
      <c r="I30" s="2" t="n">
        <v>46352</v>
      </c>
      <c r="J30" t="inlineStr">
        <is>
          <t>Disetujui</t>
        </is>
      </c>
      <c r="K30" t="n">
        <v>87</v>
      </c>
      <c r="L30" t="inlineStr">
        <is>
          <t>26 November 2026</t>
        </is>
      </c>
      <c r="M30" t="inlineStr">
        <is>
          <t>Jasa Rekayasa Konstruksi Bangunan Gedung Hunian dan Non Hunian</t>
        </is>
      </c>
      <c r="N30" t="inlineStr">
        <is>
          <t>K</t>
        </is>
      </c>
      <c r="O30" t="inlineStr">
        <is>
          <t>20230620</t>
        </is>
      </c>
      <c r="P30" t="inlineStr">
        <is>
          <t>Nusa Tenggara Barat</t>
        </is>
      </c>
      <c r="Q30" t="inlineStr"/>
    </row>
    <row r="31">
      <c r="A31" t="inlineStr">
        <is>
          <t>JAYA BERSAUDARA GROUP</t>
        </is>
      </c>
      <c r="B31" t="inlineStr">
        <is>
          <t>Kab. Kutai Kartanegara</t>
        </is>
      </c>
      <c r="C31" t="inlineStr">
        <is>
          <t>081350401094</t>
        </is>
      </c>
      <c r="D31" t="inlineStr">
        <is>
          <t>jbs.meranti@gmail.com</t>
        </is>
      </c>
      <c r="E31" t="inlineStr">
        <is>
          <t>https://lpjk.pu.go.id/search-badan-usaha-detail/RmwrNkxVWVFEL2hmVTF0RFprVW13QT09</t>
        </is>
      </c>
      <c r="F31" t="n">
        <v>3</v>
      </c>
      <c r="G31" t="inlineStr">
        <is>
          <t>BG009, BS001, BS004</t>
        </is>
      </c>
      <c r="H31" t="inlineStr">
        <is>
          <t>21 Februari 2020</t>
        </is>
      </c>
      <c r="I31" s="2" t="n">
        <v>46352</v>
      </c>
      <c r="J31" t="inlineStr">
        <is>
          <t>Disetujui</t>
        </is>
      </c>
      <c r="K31" t="n">
        <v>87</v>
      </c>
      <c r="L31" t="inlineStr">
        <is>
          <t>26 November 2026</t>
        </is>
      </c>
      <c r="M31" t="inlineStr">
        <is>
          <t>Konstruksi Bangunan Sipil Jalan, Konstruksi Gedung Lainnya, Konstruksi Jaringan Irigasi dan Drainase</t>
        </is>
      </c>
      <c r="N31" t="inlineStr">
        <is>
          <t>K</t>
        </is>
      </c>
      <c r="O31" t="inlineStr">
        <is>
          <t>20231126</t>
        </is>
      </c>
      <c r="P31" t="inlineStr">
        <is>
          <t>Kalimantan Timur</t>
        </is>
      </c>
      <c r="Q31" t="inlineStr"/>
    </row>
    <row r="32">
      <c r="A32" t="inlineStr">
        <is>
          <t>JEMBAR UTAMA</t>
        </is>
      </c>
      <c r="B32" t="inlineStr">
        <is>
          <t>Kab. Tangerang</t>
        </is>
      </c>
      <c r="C32" t="inlineStr">
        <is>
          <t>0215531480</t>
        </is>
      </c>
      <c r="D32" t="inlineStr">
        <is>
          <t>pt.jembar.utama@gmail.com</t>
        </is>
      </c>
      <c r="E32" t="inlineStr">
        <is>
          <t>https://lpjk.pu.go.id/search-badan-usaha-detail/eUVuTzJLSXphcWxsYzh2RjkyOWYxZz09</t>
        </is>
      </c>
      <c r="F32" t="n">
        <v>2</v>
      </c>
      <c r="G32" t="inlineStr">
        <is>
          <t>BG001, BG008</t>
        </is>
      </c>
      <c r="H32" t="inlineStr">
        <is>
          <t>6 Desember 2013</t>
        </is>
      </c>
      <c r="I32" s="2" t="n">
        <v>46352</v>
      </c>
      <c r="J32" t="inlineStr">
        <is>
          <t>Disetujui</t>
        </is>
      </c>
      <c r="K32" t="n">
        <v>87</v>
      </c>
      <c r="L32" t="inlineStr">
        <is>
          <t>26 November 2026</t>
        </is>
      </c>
      <c r="M32" t="inlineStr">
        <is>
          <t>Konstruksi Gedung Hunian, Konstruksi Gedung Tempat Hiburan dan Olahraga</t>
        </is>
      </c>
      <c r="N32" t="inlineStr">
        <is>
          <t>M</t>
        </is>
      </c>
      <c r="O32" t="inlineStr">
        <is>
          <t>20231126, 20231127</t>
        </is>
      </c>
      <c r="P32" t="inlineStr">
        <is>
          <t>Banten</t>
        </is>
      </c>
      <c r="Q32" t="inlineStr"/>
    </row>
    <row r="33">
      <c r="A33" t="inlineStr">
        <is>
          <t>JOFANA PUTRA MANDIRI</t>
        </is>
      </c>
      <c r="B33" t="inlineStr">
        <is>
          <t>Kota Tasikmalaya</t>
        </is>
      </c>
      <c r="C33" t="inlineStr">
        <is>
          <t>081389070464</t>
        </is>
      </c>
      <c r="D33" t="inlineStr">
        <is>
          <t>jofanaputramandiri@gmail.com</t>
        </is>
      </c>
      <c r="E33" t="inlineStr">
        <is>
          <t>https://lpjk.pu.go.id/search-badan-usaha-detail/bXlHT0Ryb1p5ZWxRNzZ3T2Z3UURIQT09</t>
        </is>
      </c>
      <c r="F33" t="n">
        <v>2</v>
      </c>
      <c r="G33" t="inlineStr">
        <is>
          <t>BS001, BS004</t>
        </is>
      </c>
      <c r="H33" t="inlineStr">
        <is>
          <t>9 November 2023</t>
        </is>
      </c>
      <c r="I33" s="2" t="n">
        <v>46352</v>
      </c>
      <c r="J33" t="inlineStr">
        <is>
          <t>Disetujui</t>
        </is>
      </c>
      <c r="K33" t="n">
        <v>87</v>
      </c>
      <c r="L33" t="inlineStr">
        <is>
          <t>26 November 2026</t>
        </is>
      </c>
      <c r="M33" t="inlineStr">
        <is>
          <t>Konstruksi Bangunan Sipil Jalan, Konstruksi Jaringan Irigasi dan Drainase</t>
        </is>
      </c>
      <c r="N33" t="inlineStr">
        <is>
          <t>K</t>
        </is>
      </c>
      <c r="O33" t="inlineStr">
        <is>
          <t>20231125</t>
        </is>
      </c>
      <c r="P33" t="inlineStr">
        <is>
          <t>Jawa Barat</t>
        </is>
      </c>
      <c r="Q33" t="inlineStr"/>
    </row>
    <row r="34">
      <c r="A34" t="inlineStr">
        <is>
          <t>KARYA MAJU KONSTRUKSI</t>
        </is>
      </c>
      <c r="B34" t="inlineStr">
        <is>
          <t>Kota Samarinda</t>
        </is>
      </c>
      <c r="C34" t="inlineStr">
        <is>
          <t>081262040600</t>
        </is>
      </c>
      <c r="D34" t="inlineStr">
        <is>
          <t>ptkaryamajukonstruksi@gmail.com</t>
        </is>
      </c>
      <c r="E34" t="inlineStr">
        <is>
          <t>https://lpjk.pu.go.id/search-badan-usaha-detail/T2pSMXQzYzB3b2FxN1RMV1g0eTBjdz09</t>
        </is>
      </c>
      <c r="F34" t="n">
        <v>1</v>
      </c>
      <c r="G34" t="inlineStr">
        <is>
          <t>BG009</t>
        </is>
      </c>
      <c r="H34" t="inlineStr">
        <is>
          <t>15 Desember 2022</t>
        </is>
      </c>
      <c r="I34" s="2" t="n">
        <v>46352</v>
      </c>
      <c r="J34" t="inlineStr">
        <is>
          <t>Disetujui</t>
        </is>
      </c>
      <c r="K34" t="n">
        <v>87</v>
      </c>
      <c r="L34" t="inlineStr">
        <is>
          <t>26 November 2026</t>
        </is>
      </c>
      <c r="M34" t="inlineStr">
        <is>
          <t>Konstruksi Gedung Lainnya</t>
        </is>
      </c>
      <c r="N34" t="inlineStr">
        <is>
          <t>K</t>
        </is>
      </c>
      <c r="O34" t="inlineStr">
        <is>
          <t>20231120</t>
        </is>
      </c>
      <c r="P34" t="inlineStr">
        <is>
          <t>Kalimantan Timur</t>
        </is>
      </c>
      <c r="Q34" t="inlineStr"/>
    </row>
    <row r="35">
      <c r="A35" t="inlineStr">
        <is>
          <t>KARYA MANDIRI</t>
        </is>
      </c>
      <c r="B35" t="inlineStr">
        <is>
          <t>Kab. Tuban</t>
        </is>
      </c>
      <c r="C35" t="inlineStr">
        <is>
          <t>081332718399</t>
        </is>
      </c>
      <c r="D35" t="inlineStr">
        <is>
          <t>ckaryamandiri123@yahoo.com</t>
        </is>
      </c>
      <c r="E35" t="inlineStr">
        <is>
          <t>https://lpjk.pu.go.id/search-badan-usaha-detail/Y2J6RUFCdmE4Y1pEMGFkWmZQempqZz09</t>
        </is>
      </c>
      <c r="F35" t="n">
        <v>3</v>
      </c>
      <c r="G35" t="inlineStr">
        <is>
          <t>BG005, BG006, BS001</t>
        </is>
      </c>
      <c r="H35" t="inlineStr">
        <is>
          <t>3 Maret 2017</t>
        </is>
      </c>
      <c r="I35" s="2" t="n">
        <v>46352</v>
      </c>
      <c r="J35" t="inlineStr">
        <is>
          <t>Disetujui</t>
        </is>
      </c>
      <c r="K35" t="n">
        <v>87</v>
      </c>
      <c r="L35" t="inlineStr">
        <is>
          <t>26 November 2026</t>
        </is>
      </c>
      <c r="M35" t="inlineStr">
        <is>
          <t>Konstruksi Bangunan Sipil Jalan, Konstruksi Gedung Kesehatan, Konstruksi Gedung Pendidikan</t>
        </is>
      </c>
      <c r="N35" t="inlineStr">
        <is>
          <t>K</t>
        </is>
      </c>
      <c r="O35" t="inlineStr">
        <is>
          <t>20231122, 20231123</t>
        </is>
      </c>
      <c r="P35" t="inlineStr">
        <is>
          <t>Jawa Timur</t>
        </is>
      </c>
      <c r="Q35" t="inlineStr"/>
    </row>
    <row r="36">
      <c r="A36" t="inlineStr">
        <is>
          <t>KARYA UHS INDONESIA</t>
        </is>
      </c>
      <c r="B36" t="inlineStr">
        <is>
          <t>Kota Adm. Jakarta Selatan</t>
        </is>
      </c>
      <c r="C36" t="inlineStr">
        <is>
          <t>02150812002</t>
        </is>
      </c>
      <c r="D36" t="inlineStr">
        <is>
          <t>uhsindonesia@gmail.com</t>
        </is>
      </c>
      <c r="E36" t="inlineStr">
        <is>
          <t>https://lpjk.pu.go.id/search-badan-usaha-detail/ZERJT0liYktaQmFvbWZIWlNGQjNFUT09</t>
        </is>
      </c>
      <c r="F36" t="n">
        <v>4</v>
      </c>
      <c r="G36" t="inlineStr">
        <is>
          <t>BG002, BG005, BG006, BG009</t>
        </is>
      </c>
      <c r="H36" t="inlineStr">
        <is>
          <t>22 September 2021</t>
        </is>
      </c>
      <c r="I36" s="2" t="n">
        <v>46352</v>
      </c>
      <c r="J36" t="inlineStr">
        <is>
          <t>Pencabutan</t>
        </is>
      </c>
      <c r="K36" t="n">
        <v>87</v>
      </c>
      <c r="L36" t="inlineStr">
        <is>
          <t>26 November 2026</t>
        </is>
      </c>
      <c r="M36" t="inlineStr">
        <is>
          <t>Konstruksi Gedung Kesehatan, Konstruksi Gedung Lainnya, Konstruksi Gedung Pendidikan, Konstruksi Gedung Perkantoran</t>
        </is>
      </c>
      <c r="N36" t="inlineStr">
        <is>
          <t>K</t>
        </is>
      </c>
      <c r="O36" t="inlineStr">
        <is>
          <t>20231127</t>
        </is>
      </c>
      <c r="P36" t="inlineStr">
        <is>
          <t>DKI Jakarta</t>
        </is>
      </c>
      <c r="Q36" t="inlineStr"/>
    </row>
    <row r="37">
      <c r="A37" t="inlineStr">
        <is>
          <t>KENCANA</t>
        </is>
      </c>
      <c r="B37" t="inlineStr">
        <is>
          <t>Kab. Blitar</t>
        </is>
      </c>
      <c r="C37" t="inlineStr">
        <is>
          <t>081331379233</t>
        </is>
      </c>
      <c r="D37" t="inlineStr">
        <is>
          <t>kantorkencana@gmail.com</t>
        </is>
      </c>
      <c r="E37" t="inlineStr">
        <is>
          <t>https://lpjk.pu.go.id/search-badan-usaha-detail/RGYxWXhuWTRNSGRZb1gzRk5sUHNrdz09</t>
        </is>
      </c>
      <c r="F37" t="n">
        <v>2</v>
      </c>
      <c r="G37" t="inlineStr">
        <is>
          <t>BS001, BS004</t>
        </is>
      </c>
      <c r="H37" t="inlineStr">
        <is>
          <t>27 April 2015</t>
        </is>
      </c>
      <c r="I37" s="2" t="n">
        <v>46352</v>
      </c>
      <c r="J37" t="inlineStr">
        <is>
          <t>Disetujui</t>
        </is>
      </c>
      <c r="K37" t="n">
        <v>87</v>
      </c>
      <c r="L37" t="inlineStr">
        <is>
          <t>26 November 2026</t>
        </is>
      </c>
      <c r="M37" t="inlineStr">
        <is>
          <t>Konstruksi Bangunan Sipil Jalan, Konstruksi Jaringan Irigasi dan Drainase</t>
        </is>
      </c>
      <c r="N37" t="inlineStr">
        <is>
          <t>K</t>
        </is>
      </c>
      <c r="O37" t="inlineStr">
        <is>
          <t>20231110, 20231127</t>
        </is>
      </c>
      <c r="P37" t="inlineStr">
        <is>
          <t>Jawa Timur</t>
        </is>
      </c>
      <c r="Q37" t="inlineStr"/>
    </row>
    <row r="38">
      <c r="A38" t="inlineStr">
        <is>
          <t>LUMBUNG BERKAT INDONESIA</t>
        </is>
      </c>
      <c r="B38" t="inlineStr">
        <is>
          <t>Kota Manado</t>
        </is>
      </c>
      <c r="C38" t="inlineStr">
        <is>
          <t>085241716181</t>
        </is>
      </c>
      <c r="D38" t="inlineStr">
        <is>
          <t>bungberkati@yahoo.com</t>
        </is>
      </c>
      <c r="E38" t="inlineStr">
        <is>
          <t>https://lpjk.pu.go.id/search-badan-usaha-detail/OGRsTkFxMEZvVnIzYUNPdk9Ec0VSQT09</t>
        </is>
      </c>
      <c r="F38" t="n">
        <v>1</v>
      </c>
      <c r="G38" t="inlineStr">
        <is>
          <t>BS001</t>
        </is>
      </c>
      <c r="H38" t="inlineStr">
        <is>
          <t>29 Januari 2010</t>
        </is>
      </c>
      <c r="I38" s="2" t="n">
        <v>46352</v>
      </c>
      <c r="J38" t="inlineStr">
        <is>
          <t>Pembekuan</t>
        </is>
      </c>
      <c r="K38" t="n">
        <v>87</v>
      </c>
      <c r="L38" t="inlineStr">
        <is>
          <t>26 November 2026</t>
        </is>
      </c>
      <c r="M38" t="inlineStr">
        <is>
          <t>Konstruksi Bangunan Sipil Jalan</t>
        </is>
      </c>
      <c r="N38" t="inlineStr">
        <is>
          <t>M</t>
        </is>
      </c>
      <c r="O38" t="inlineStr">
        <is>
          <t>20231121</t>
        </is>
      </c>
      <c r="P38" t="inlineStr">
        <is>
          <t>Sulawesi Utara</t>
        </is>
      </c>
      <c r="Q38" t="inlineStr"/>
    </row>
    <row r="39">
      <c r="A39" t="inlineStr">
        <is>
          <t>MALAYA CIPTA NUSA</t>
        </is>
      </c>
      <c r="B39" t="inlineStr">
        <is>
          <t>Kab. Batanghari</t>
        </is>
      </c>
      <c r="C39" t="inlineStr">
        <is>
          <t>085266238993</t>
        </is>
      </c>
      <c r="D39" t="inlineStr">
        <is>
          <t>septa.tvrijambi@gmail.com</t>
        </is>
      </c>
      <c r="E39" t="inlineStr">
        <is>
          <t>https://lpjk.pu.go.id/search-badan-usaha-detail/SHVlZUpVNldMcE9aVEl2Wk4yaWpKUT09</t>
        </is>
      </c>
      <c r="F39" t="n">
        <v>1</v>
      </c>
      <c r="G39" t="inlineStr">
        <is>
          <t>BG004</t>
        </is>
      </c>
      <c r="H39" t="inlineStr">
        <is>
          <t>4 Juni 2020</t>
        </is>
      </c>
      <c r="I39" s="2" t="n">
        <v>46352</v>
      </c>
      <c r="J39" t="inlineStr">
        <is>
          <t>Disetujui</t>
        </is>
      </c>
      <c r="K39" t="n">
        <v>87</v>
      </c>
      <c r="L39" t="inlineStr">
        <is>
          <t>26 November 2026</t>
        </is>
      </c>
      <c r="M39" t="inlineStr">
        <is>
          <t>Konstruksi Gedung Perbelanjaan</t>
        </is>
      </c>
      <c r="N39" t="inlineStr">
        <is>
          <t>K</t>
        </is>
      </c>
      <c r="O39" t="inlineStr">
        <is>
          <t>20231123</t>
        </is>
      </c>
      <c r="P39" t="inlineStr">
        <is>
          <t>Jambi</t>
        </is>
      </c>
      <c r="Q39" t="inlineStr"/>
    </row>
    <row r="40">
      <c r="A40" t="inlineStr">
        <is>
          <t>MANDIRI BANGUN SUKSES SEJAHTERA</t>
        </is>
      </c>
      <c r="B40" t="inlineStr">
        <is>
          <t>Kota Adm. Jakarta Barat</t>
        </is>
      </c>
      <c r="C40" t="inlineStr">
        <is>
          <t>02122586371</t>
        </is>
      </c>
      <c r="D40" t="inlineStr">
        <is>
          <t>pt.mbssjakartabarat@gmail.com</t>
        </is>
      </c>
      <c r="E40" t="inlineStr">
        <is>
          <t>https://lpjk.pu.go.id/search-badan-usaha-detail/QmI2NExpTUt1MzNMODFQU2pTM1QvQT09</t>
        </is>
      </c>
      <c r="F40" t="n">
        <v>5</v>
      </c>
      <c r="G40" t="inlineStr">
        <is>
          <t>IN001, IN007, IN008, PB003, PB004</t>
        </is>
      </c>
      <c r="H40" t="inlineStr">
        <is>
          <t>18 September 2012</t>
        </is>
      </c>
      <c r="I40" s="2" t="n">
        <v>46352</v>
      </c>
      <c r="J40" t="inlineStr">
        <is>
          <t>Disetujui</t>
        </is>
      </c>
      <c r="K40" t="n">
        <v>87</v>
      </c>
      <c r="L40" t="inlineStr">
        <is>
          <t>26 November 2026</t>
        </is>
      </c>
      <c r="M40" t="inlineStr">
        <is>
          <t>Dekorasi Interior, Instalasi Mekanikal, Instalasi Pendingin Dan Ventilasi Udara, Instalasi Saluran Air (Plambing), Pengerjaan Lantai, Dinding, Peralatan Saniter dan Plafon</t>
        </is>
      </c>
      <c r="N40" t="inlineStr">
        <is>
          <t>Spesialis</t>
        </is>
      </c>
      <c r="O40" t="inlineStr">
        <is>
          <t>20231125</t>
        </is>
      </c>
      <c r="P40" t="inlineStr">
        <is>
          <t>DKI Jakarta</t>
        </is>
      </c>
      <c r="Q40" t="inlineStr"/>
    </row>
    <row r="41">
      <c r="A41" t="inlineStr">
        <is>
          <t>MANDIRI KARYA KONSULTAN</t>
        </is>
      </c>
      <c r="B41" t="inlineStr">
        <is>
          <t>Kab. Bojonegoro</t>
        </is>
      </c>
      <c r="C41" t="inlineStr">
        <is>
          <t>085540226047</t>
        </is>
      </c>
      <c r="D41" t="inlineStr">
        <is>
          <t>mandirikaryakonsultan@gmail.com</t>
        </is>
      </c>
      <c r="E41" t="inlineStr">
        <is>
          <t>https://lpjk.pu.go.id/search-badan-usaha-detail/UDJiN3NXRVRCZk1xbStoK1hEV1gxdz09</t>
        </is>
      </c>
      <c r="F41" t="n">
        <v>1</v>
      </c>
      <c r="G41" t="inlineStr">
        <is>
          <t>RK002</t>
        </is>
      </c>
      <c r="H41" t="inlineStr">
        <is>
          <t>22 Oktober 2019</t>
        </is>
      </c>
      <c r="I41" s="2" t="n">
        <v>46352</v>
      </c>
      <c r="J41" t="inlineStr">
        <is>
          <t>Disetujui</t>
        </is>
      </c>
      <c r="K41" t="n">
        <v>87</v>
      </c>
      <c r="L41" t="inlineStr">
        <is>
          <t>26 November 2026</t>
        </is>
      </c>
      <c r="M41" t="inlineStr">
        <is>
          <t>Jasa Rekayasa Pekerjaan Teknik Sipil Sumber Daya Air</t>
        </is>
      </c>
      <c r="N41" t="inlineStr">
        <is>
          <t>K</t>
        </is>
      </c>
      <c r="O41" t="inlineStr">
        <is>
          <t>20231114</t>
        </is>
      </c>
      <c r="P41" t="inlineStr">
        <is>
          <t>Jawa Timur</t>
        </is>
      </c>
      <c r="Q41" t="inlineStr"/>
    </row>
    <row r="42">
      <c r="A42" t="inlineStr">
        <is>
          <t>MEDYA MULIA</t>
        </is>
      </c>
      <c r="B42" t="inlineStr">
        <is>
          <t>Kab. Banjarnegara</t>
        </is>
      </c>
      <c r="C42" t="inlineStr">
        <is>
          <t>08122789338</t>
        </is>
      </c>
      <c r="D42" t="inlineStr">
        <is>
          <t>medyamulia@gmail.com</t>
        </is>
      </c>
      <c r="E42" t="inlineStr">
        <is>
          <t>https://lpjk.pu.go.id/search-badan-usaha-detail/WmlpM1ovUnhsOXRvcTRpcExrU1p0dz09</t>
        </is>
      </c>
      <c r="F42" t="n">
        <v>7</v>
      </c>
      <c r="G42" t="inlineStr">
        <is>
          <t>BG001, BG002, BG005, BG006, BG009, BS001, BS004</t>
        </is>
      </c>
      <c r="H42" t="inlineStr">
        <is>
          <t>10 Oktober 2015</t>
        </is>
      </c>
      <c r="I42" s="2" t="n">
        <v>46352</v>
      </c>
      <c r="J42" t="inlineStr">
        <is>
          <t>Disetujui</t>
        </is>
      </c>
      <c r="K42" t="n">
        <v>87</v>
      </c>
      <c r="L42" t="inlineStr">
        <is>
          <t>26 November 2026</t>
        </is>
      </c>
      <c r="M42" t="inlineStr">
        <is>
          <t>Konstruksi Bangunan Sipil Jalan, Konstruksi Gedung Hunian, Konstruksi Gedung Kesehatan, Konstruksi Gedung Lainnya, Konstruksi Gedung Pendidikan, Konstruksi Gedung Perkantoran, Konstruksi Jaringan Irigasi dan Drainase</t>
        </is>
      </c>
      <c r="N42" t="inlineStr">
        <is>
          <t>K</t>
        </is>
      </c>
      <c r="O42" t="inlineStr">
        <is>
          <t>20231122, 20231123</t>
        </is>
      </c>
      <c r="P42" t="inlineStr">
        <is>
          <t>Jawa Tengah</t>
        </is>
      </c>
      <c r="Q42" t="inlineStr"/>
    </row>
    <row r="43">
      <c r="A43" t="inlineStr">
        <is>
          <t>MINATO</t>
        </is>
      </c>
      <c r="B43" t="inlineStr">
        <is>
          <t>Kota Prabumulih</t>
        </is>
      </c>
      <c r="C43" t="inlineStr">
        <is>
          <t>0811847171</t>
        </is>
      </c>
      <c r="D43" t="inlineStr">
        <is>
          <t>ptminatoprabu@gmail.com</t>
        </is>
      </c>
      <c r="E43" t="inlineStr">
        <is>
          <t>https://lpjk.pu.go.id/search-badan-usaha-detail/SXFLOHF4SjF0cnRmVDBYN1JaMklWdz09</t>
        </is>
      </c>
      <c r="F43" t="n">
        <v>1</v>
      </c>
      <c r="G43" t="inlineStr">
        <is>
          <t>IN004</t>
        </is>
      </c>
      <c r="H43" t="inlineStr">
        <is>
          <t>31 Desember 2022</t>
        </is>
      </c>
      <c r="I43" s="2" t="n">
        <v>46352</v>
      </c>
      <c r="J43" t="inlineStr">
        <is>
          <t>Pembekuan</t>
        </is>
      </c>
      <c r="K43" t="n">
        <v>87</v>
      </c>
      <c r="L43" t="inlineStr">
        <is>
          <t>26 November 2026</t>
        </is>
      </c>
      <c r="M43" t="inlineStr">
        <is>
          <t>Instalasi Minyak dan Gas</t>
        </is>
      </c>
      <c r="N43" t="inlineStr">
        <is>
          <t>Spesialis</t>
        </is>
      </c>
      <c r="O43" t="inlineStr">
        <is>
          <t>20231127</t>
        </is>
      </c>
      <c r="P43" t="inlineStr">
        <is>
          <t>Sumatera Selatan</t>
        </is>
      </c>
      <c r="Q43" t="inlineStr"/>
    </row>
    <row r="44">
      <c r="A44" t="inlineStr">
        <is>
          <t>MUKTI JAYA</t>
        </is>
      </c>
      <c r="B44" t="inlineStr">
        <is>
          <t>Kab. Garut</t>
        </is>
      </c>
      <c r="C44" t="inlineStr">
        <is>
          <t>081222203453</t>
        </is>
      </c>
      <c r="D44" t="inlineStr">
        <is>
          <t>muktijayacvgrt@gmail.com</t>
        </is>
      </c>
      <c r="E44" t="inlineStr">
        <is>
          <t>https://lpjk.pu.go.id/search-badan-usaha-detail/M2pyb2RWdFpTUUpQREFodmt6OGRJUT09</t>
        </is>
      </c>
      <c r="F44" t="n">
        <v>1</v>
      </c>
      <c r="G44" t="inlineStr">
        <is>
          <t>BS004</t>
        </is>
      </c>
      <c r="H44" t="inlineStr">
        <is>
          <t>27 Oktober 2022</t>
        </is>
      </c>
      <c r="I44" s="2" t="n">
        <v>46352</v>
      </c>
      <c r="J44" t="inlineStr">
        <is>
          <t>Disetujui</t>
        </is>
      </c>
      <c r="K44" t="n">
        <v>87</v>
      </c>
      <c r="L44" t="inlineStr">
        <is>
          <t>26 November 2026</t>
        </is>
      </c>
      <c r="M44" t="inlineStr">
        <is>
          <t>Konstruksi Jaringan Irigasi dan Drainase</t>
        </is>
      </c>
      <c r="N44" t="inlineStr">
        <is>
          <t>K</t>
        </is>
      </c>
      <c r="O44" t="inlineStr">
        <is>
          <t>20231127</t>
        </is>
      </c>
      <c r="P44" t="inlineStr">
        <is>
          <t>Jawa Barat</t>
        </is>
      </c>
      <c r="Q44" t="inlineStr"/>
    </row>
    <row r="45">
      <c r="A45" t="inlineStr">
        <is>
          <t>MULTIKARYA INTERPLAN KONSULTAN</t>
        </is>
      </c>
      <c r="B45" t="inlineStr">
        <is>
          <t>Kota Padang</t>
        </is>
      </c>
      <c r="C45" t="inlineStr">
        <is>
          <t>075140451</t>
        </is>
      </c>
      <c r="D45" t="inlineStr">
        <is>
          <t>pt.multikaryainterplan@gmail.com</t>
        </is>
      </c>
      <c r="E45" t="inlineStr">
        <is>
          <t>https://lpjk.pu.go.id/search-badan-usaha-detail/NitIcWhqYU5ET1VJOGRjbVU1NGV3UT09</t>
        </is>
      </c>
      <c r="F45" t="n">
        <v>16</v>
      </c>
      <c r="G45" t="inlineStr">
        <is>
          <t>AL001, AL002, AL003, AR001, AR002, AR003, RK001, RK003</t>
        </is>
      </c>
      <c r="H45" t="inlineStr">
        <is>
          <t>2 Februari 2007</t>
        </is>
      </c>
      <c r="I45" s="2" t="n">
        <v>46352</v>
      </c>
      <c r="J45" t="inlineStr">
        <is>
          <t>Disetujui</t>
        </is>
      </c>
      <c r="K45" t="n">
        <v>87</v>
      </c>
      <c r="L45" t="inlineStr">
        <is>
          <t>26 November 2026</t>
        </is>
      </c>
      <c r="M45" t="inlineStr">
        <is>
          <t>Jasa Arsitektural Bangunan Gedung Hunian dan Non Hunian, Jasa Arsitektural Lainnya, Jasa Desain Interior pada Bangunan Gedung dan Bangunan Sipil, Jasa Pengembangan Pemanfaatan Ruang, Jasa Pengembangan Perkotaan, Jasa Pengembangan Wilayah, Jasa Rekayasa Konstruksi Bangunan Gedung Hunian dan Non Hunian, Jasa Rekayasa Pekerjaan Teknik Sipil Transportasi</t>
        </is>
      </c>
      <c r="N45" t="inlineStr">
        <is>
          <t>K</t>
        </is>
      </c>
      <c r="O45" t="inlineStr">
        <is>
          <t>20230911, 20231027, 20231030</t>
        </is>
      </c>
      <c r="P45" t="inlineStr">
        <is>
          <t>Sumatera Barat</t>
        </is>
      </c>
      <c r="Q45" t="inlineStr"/>
    </row>
    <row r="46">
      <c r="A46" t="inlineStr">
        <is>
          <t>MUTIARA PERSADA</t>
        </is>
      </c>
      <c r="B46" t="inlineStr">
        <is>
          <t>Kab. Blora</t>
        </is>
      </c>
      <c r="C46" t="inlineStr">
        <is>
          <t>081325681666</t>
        </is>
      </c>
      <c r="D46" t="inlineStr">
        <is>
          <t>cv.mutiarapersada15@gmail.com</t>
        </is>
      </c>
      <c r="E46" t="inlineStr">
        <is>
          <t>https://lpjk.pu.go.id/search-badan-usaha-detail/bk9DWUtyU0dyLyswTWw4RTVqOFR4QT09</t>
        </is>
      </c>
      <c r="F46" t="n">
        <v>4</v>
      </c>
      <c r="G46" t="inlineStr">
        <is>
          <t>BG002, BG009</t>
        </is>
      </c>
      <c r="H46" t="inlineStr">
        <is>
          <t>5 Januari 2009</t>
        </is>
      </c>
      <c r="I46" s="2" t="n">
        <v>46352</v>
      </c>
      <c r="J46" t="inlineStr">
        <is>
          <t>Disetujui</t>
        </is>
      </c>
      <c r="K46" t="n">
        <v>87</v>
      </c>
      <c r="L46" t="inlineStr">
        <is>
          <t>26 November 2026</t>
        </is>
      </c>
      <c r="M46" t="inlineStr">
        <is>
          <t>Konstruksi Gedung Lainnya, Konstruksi Gedung Perkantoran</t>
        </is>
      </c>
      <c r="N46" t="inlineStr">
        <is>
          <t>K</t>
        </is>
      </c>
      <c r="O46" t="inlineStr">
        <is>
          <t>20231106, 20231116</t>
        </is>
      </c>
      <c r="P46" t="inlineStr">
        <is>
          <t>Jawa Tengah</t>
        </is>
      </c>
      <c r="Q46" t="inlineStr"/>
    </row>
    <row r="47">
      <c r="A47" t="inlineStr">
        <is>
          <t>NABILA YUDO ANDANI</t>
        </is>
      </c>
      <c r="B47" t="inlineStr">
        <is>
          <t>Kab. Berau</t>
        </is>
      </c>
      <c r="C47" t="inlineStr">
        <is>
          <t>081253074795</t>
        </is>
      </c>
      <c r="D47" t="inlineStr">
        <is>
          <t>cvnabilayudoandani@gmail.com</t>
        </is>
      </c>
      <c r="E47" t="inlineStr">
        <is>
          <t>https://lpjk.pu.go.id/search-badan-usaha-detail/eEdEUnd4TGE4NGtvbFFmT1J1YzZDdz09</t>
        </is>
      </c>
      <c r="F47" t="n">
        <v>2</v>
      </c>
      <c r="G47" t="inlineStr">
        <is>
          <t>BS001</t>
        </is>
      </c>
      <c r="H47" t="inlineStr">
        <is>
          <t>13 November 2023</t>
        </is>
      </c>
      <c r="I47" s="2" t="n">
        <v>46352</v>
      </c>
      <c r="J47" t="inlineStr">
        <is>
          <t>Disetujui</t>
        </is>
      </c>
      <c r="K47" t="n">
        <v>87</v>
      </c>
      <c r="L47" t="inlineStr">
        <is>
          <t>26 November 2026</t>
        </is>
      </c>
      <c r="M47" t="inlineStr">
        <is>
          <t>Konstruksi Bangunan Sipil Jalan</t>
        </is>
      </c>
      <c r="N47" t="inlineStr">
        <is>
          <t>K</t>
        </is>
      </c>
      <c r="O47" t="inlineStr">
        <is>
          <t>20231122</t>
        </is>
      </c>
      <c r="P47" t="inlineStr">
        <is>
          <t>Kalimantan Timur</t>
        </is>
      </c>
      <c r="Q47" t="inlineStr"/>
    </row>
    <row r="48">
      <c r="A48" t="inlineStr">
        <is>
          <t>NATAWIJAYA</t>
        </is>
      </c>
      <c r="B48" t="inlineStr">
        <is>
          <t>Kab. Tasikmalaya</t>
        </is>
      </c>
      <c r="C48" t="inlineStr">
        <is>
          <t>082319132345</t>
        </is>
      </c>
      <c r="D48" t="inlineStr">
        <is>
          <t>cvnatawijaya2020@gmail.com</t>
        </is>
      </c>
      <c r="E48" t="inlineStr">
        <is>
          <t>https://lpjk.pu.go.id/search-badan-usaha-detail/WGZraDAyRWZyczh3c1ZSSGxIQ1BBQT09</t>
        </is>
      </c>
      <c r="F48" t="n">
        <v>2</v>
      </c>
      <c r="G48" t="inlineStr">
        <is>
          <t>BG006, BS004</t>
        </is>
      </c>
      <c r="H48" t="inlineStr">
        <is>
          <t>14 November 2019</t>
        </is>
      </c>
      <c r="I48" s="2" t="n">
        <v>46352</v>
      </c>
      <c r="J48" t="inlineStr">
        <is>
          <t>Disetujui</t>
        </is>
      </c>
      <c r="K48" t="n">
        <v>87</v>
      </c>
      <c r="L48" t="inlineStr">
        <is>
          <t>26 November 2026</t>
        </is>
      </c>
      <c r="M48" t="inlineStr">
        <is>
          <t>Konstruksi Gedung Pendidikan, Konstruksi Jaringan Irigasi dan Drainase</t>
        </is>
      </c>
      <c r="N48" t="inlineStr">
        <is>
          <t>K</t>
        </is>
      </c>
      <c r="O48" t="inlineStr">
        <is>
          <t>20231124, 20231125</t>
        </is>
      </c>
      <c r="P48" t="inlineStr">
        <is>
          <t>Jawa Barat</t>
        </is>
      </c>
      <c r="Q48" t="inlineStr"/>
    </row>
    <row r="49">
      <c r="A49" t="inlineStr">
        <is>
          <t>NUGRAHA ADI RAYA</t>
        </is>
      </c>
      <c r="B49" t="inlineStr">
        <is>
          <t>Kota Sukabumi</t>
        </is>
      </c>
      <c r="C49" t="inlineStr">
        <is>
          <t>081320699729</t>
        </is>
      </c>
      <c r="D49" t="inlineStr">
        <is>
          <t>nugrahadiraya@gmail.com</t>
        </is>
      </c>
      <c r="E49" t="inlineStr">
        <is>
          <t>https://lpjk.pu.go.id/search-badan-usaha-detail/cG9RZkdqMEpFVHRibUYxQk1lbFMzUT09</t>
        </is>
      </c>
      <c r="F49" t="n">
        <v>1</v>
      </c>
      <c r="G49" t="inlineStr">
        <is>
          <t>BG009</t>
        </is>
      </c>
      <c r="H49" t="inlineStr">
        <is>
          <t>15 Agustus 1989</t>
        </is>
      </c>
      <c r="I49" s="2" t="n">
        <v>46352</v>
      </c>
      <c r="J49" t="inlineStr">
        <is>
          <t>Pencabutan</t>
        </is>
      </c>
      <c r="K49" t="n">
        <v>87</v>
      </c>
      <c r="L49" t="inlineStr">
        <is>
          <t>26 November 2026</t>
        </is>
      </c>
      <c r="M49" t="inlineStr">
        <is>
          <t>Konstruksi Gedung Lainnya</t>
        </is>
      </c>
      <c r="N49" t="inlineStr">
        <is>
          <t>B</t>
        </is>
      </c>
      <c r="O49" t="inlineStr">
        <is>
          <t>20231123</t>
        </is>
      </c>
      <c r="P49" t="inlineStr">
        <is>
          <t>Jawa Barat</t>
        </is>
      </c>
      <c r="Q49" t="inlineStr"/>
    </row>
    <row r="50">
      <c r="A50" t="inlineStr">
        <is>
          <t>PANDAWA CONSULINDO</t>
        </is>
      </c>
      <c r="B50" t="inlineStr">
        <is>
          <t>Kab. Magetan</t>
        </is>
      </c>
      <c r="C50" t="inlineStr">
        <is>
          <t>081335106400</t>
        </is>
      </c>
      <c r="D50" t="inlineStr">
        <is>
          <t>pandawacons4@gmail.com</t>
        </is>
      </c>
      <c r="E50" t="inlineStr">
        <is>
          <t>https://lpjk.pu.go.id/search-badan-usaha-detail/aHhrM0ppVnlSbE5XdzB0MGFBZXM1Zz09</t>
        </is>
      </c>
      <c r="F50" t="n">
        <v>4</v>
      </c>
      <c r="G50" t="inlineStr">
        <is>
          <t>RK002, RK003</t>
        </is>
      </c>
      <c r="H50" t="inlineStr">
        <is>
          <t>25 Juli 2022</t>
        </is>
      </c>
      <c r="I50" s="2" t="n">
        <v>46352</v>
      </c>
      <c r="J50" t="inlineStr">
        <is>
          <t>Disetujui</t>
        </is>
      </c>
      <c r="K50" t="n">
        <v>87</v>
      </c>
      <c r="L50" t="inlineStr">
        <is>
          <t>26 November 2026</t>
        </is>
      </c>
      <c r="M50" t="inlineStr">
        <is>
          <t>Jasa Rekayasa Pekerjaan Teknik Sipil Sumber Daya Air, Jasa Rekayasa Pekerjaan Teknik Sipil Transportasi</t>
        </is>
      </c>
      <c r="N50" t="inlineStr">
        <is>
          <t>K</t>
        </is>
      </c>
      <c r="O50" t="inlineStr">
        <is>
          <t>20231116</t>
        </is>
      </c>
      <c r="P50" t="inlineStr">
        <is>
          <t>Jawa Timur</t>
        </is>
      </c>
      <c r="Q50" t="inlineStr"/>
    </row>
    <row r="51">
      <c r="A51" t="inlineStr">
        <is>
          <t>PATRA ANUGRAH BAKTI</t>
        </is>
      </c>
      <c r="B51" t="inlineStr">
        <is>
          <t>Kota Samarinda</t>
        </is>
      </c>
      <c r="C51" t="inlineStr">
        <is>
          <t>08125406817</t>
        </is>
      </c>
      <c r="D51" t="inlineStr">
        <is>
          <t>patra.anugrahbakti@yahoo.com</t>
        </is>
      </c>
      <c r="E51" t="inlineStr">
        <is>
          <t>https://lpjk.pu.go.id/search-badan-usaha-detail/SkF1RjVmRGpxQkg3T1ExakI5K1hlZz09</t>
        </is>
      </c>
      <c r="F51" t="n">
        <v>1</v>
      </c>
      <c r="G51" t="inlineStr">
        <is>
          <t>BS004</t>
        </is>
      </c>
      <c r="H51" t="inlineStr">
        <is>
          <t>16 Desember 2010</t>
        </is>
      </c>
      <c r="I51" s="2" t="n">
        <v>46352</v>
      </c>
      <c r="J51" t="inlineStr">
        <is>
          <t>Disetujui</t>
        </is>
      </c>
      <c r="K51" t="n">
        <v>87</v>
      </c>
      <c r="L51" t="inlineStr">
        <is>
          <t>26 November 2026</t>
        </is>
      </c>
      <c r="M51" t="inlineStr">
        <is>
          <t>Konstruksi Jaringan Irigasi dan Drainase</t>
        </is>
      </c>
      <c r="N51" t="inlineStr">
        <is>
          <t>M</t>
        </is>
      </c>
      <c r="O51" t="inlineStr">
        <is>
          <t>20231124</t>
        </is>
      </c>
      <c r="P51" t="inlineStr">
        <is>
          <t>Kalimantan Timur</t>
        </is>
      </c>
      <c r="Q51" t="inlineStr"/>
    </row>
    <row r="52">
      <c r="A52" t="inlineStr">
        <is>
          <t>PATRA DINAMIKA KONSTRUKSI</t>
        </is>
      </c>
      <c r="B52" t="inlineStr">
        <is>
          <t>Kota Adm. Jakarta Barat</t>
        </is>
      </c>
      <c r="C52" t="inlineStr">
        <is>
          <t>0215671503</t>
        </is>
      </c>
      <c r="D52" t="inlineStr">
        <is>
          <t>a.daylami70@gmail.com</t>
        </is>
      </c>
      <c r="E52" t="inlineStr">
        <is>
          <t>https://lpjk.pu.go.id/search-badan-usaha-detail/WE9NSlpad2RMaHM5c3FybzNkdTQ3Zz09</t>
        </is>
      </c>
      <c r="F52" t="n">
        <v>1</v>
      </c>
      <c r="G52" t="inlineStr">
        <is>
          <t>BS013</t>
        </is>
      </c>
      <c r="H52" t="inlineStr">
        <is>
          <t>12 September 2023</t>
        </is>
      </c>
      <c r="I52" s="2" t="n">
        <v>46352</v>
      </c>
      <c r="J52" t="inlineStr">
        <is>
          <t>Pencabutan</t>
        </is>
      </c>
      <c r="K52" t="n">
        <v>87</v>
      </c>
      <c r="L52" t="inlineStr">
        <is>
          <t>26 November 2026</t>
        </is>
      </c>
      <c r="M52" t="inlineStr">
        <is>
          <t>Konstruksi Bangunan Sipil Minyak dan Gas Bumi</t>
        </is>
      </c>
      <c r="N52" t="inlineStr">
        <is>
          <t>B</t>
        </is>
      </c>
      <c r="O52" t="inlineStr">
        <is>
          <t>20231121</t>
        </is>
      </c>
      <c r="P52" t="inlineStr">
        <is>
          <t>DKI Jakarta</t>
        </is>
      </c>
      <c r="Q52" t="inlineStr"/>
    </row>
    <row r="53">
      <c r="A53" t="inlineStr">
        <is>
          <t>PELANGI INDONESIA</t>
        </is>
      </c>
      <c r="B53" t="inlineStr">
        <is>
          <t>Kab. Serdang Bedagai</t>
        </is>
      </c>
      <c r="C53" t="inlineStr">
        <is>
          <t>08126432145</t>
        </is>
      </c>
      <c r="D53" t="inlineStr">
        <is>
          <t>pelangiindonesia501@yahoo.co.id</t>
        </is>
      </c>
      <c r="E53" t="inlineStr">
        <is>
          <t>https://lpjk.pu.go.id/search-badan-usaha-detail/OHQxd2NUQXhEdlErWlZpRFNBZ3VXdz09</t>
        </is>
      </c>
      <c r="F53" t="n">
        <v>4</v>
      </c>
      <c r="G53" t="inlineStr">
        <is>
          <t>BG005, BG006, BG009, BS004</t>
        </is>
      </c>
      <c r="H53" t="inlineStr">
        <is>
          <t>4 Februari 2014</t>
        </is>
      </c>
      <c r="I53" s="2" t="n">
        <v>46352</v>
      </c>
      <c r="J53" t="inlineStr">
        <is>
          <t>Disetujui</t>
        </is>
      </c>
      <c r="K53" t="n">
        <v>87</v>
      </c>
      <c r="L53" t="inlineStr">
        <is>
          <t>26 November 2026</t>
        </is>
      </c>
      <c r="M53" t="inlineStr">
        <is>
          <t>Konstruksi Gedung Kesehatan, Konstruksi Gedung Lainnya, Konstruksi Gedung Pendidikan, Konstruksi Jaringan Irigasi dan Drainase</t>
        </is>
      </c>
      <c r="N53" t="inlineStr">
        <is>
          <t>K</t>
        </is>
      </c>
      <c r="O53" t="inlineStr">
        <is>
          <t>20231125</t>
        </is>
      </c>
      <c r="P53" t="inlineStr">
        <is>
          <t>Sumatera Utara</t>
        </is>
      </c>
      <c r="Q53" t="inlineStr"/>
    </row>
    <row r="54">
      <c r="A54" t="inlineStr">
        <is>
          <t>PRAMITA ADHIPRAMANA</t>
        </is>
      </c>
      <c r="B54" t="inlineStr">
        <is>
          <t>Kab. Berau</t>
        </is>
      </c>
      <c r="C54" t="inlineStr">
        <is>
          <t>08125543944</t>
        </is>
      </c>
      <c r="D54" t="inlineStr">
        <is>
          <t>pramita.adhipramana@yahoo.com</t>
        </is>
      </c>
      <c r="E54" t="inlineStr">
        <is>
          <t>https://lpjk.pu.go.id/search-badan-usaha-detail/bE1DUVluQVFOMEVvK2tzMlJXNklnQT09</t>
        </is>
      </c>
      <c r="F54" t="n">
        <v>1</v>
      </c>
      <c r="G54" t="inlineStr">
        <is>
          <t>BG009</t>
        </is>
      </c>
      <c r="H54" t="inlineStr">
        <is>
          <t>31 Mei 2013</t>
        </is>
      </c>
      <c r="I54" s="2" t="n">
        <v>46352</v>
      </c>
      <c r="J54" t="inlineStr">
        <is>
          <t>Pencabutan</t>
        </is>
      </c>
      <c r="K54" t="n">
        <v>87</v>
      </c>
      <c r="L54" t="inlineStr">
        <is>
          <t>26 November 2026</t>
        </is>
      </c>
      <c r="M54" t="inlineStr">
        <is>
          <t>Konstruksi Gedung Lainnya</t>
        </is>
      </c>
      <c r="N54" t="inlineStr">
        <is>
          <t>K</t>
        </is>
      </c>
      <c r="O54" t="inlineStr">
        <is>
          <t>20231121</t>
        </is>
      </c>
      <c r="P54" t="inlineStr">
        <is>
          <t>Kalimantan Timur</t>
        </is>
      </c>
      <c r="Q54" t="inlineStr"/>
    </row>
    <row r="55">
      <c r="A55" t="inlineStr">
        <is>
          <t>PRIMA JAYA PANTAI BARAT</t>
        </is>
      </c>
      <c r="B55" t="inlineStr">
        <is>
          <t>Kab. Mandailing Natal</t>
        </is>
      </c>
      <c r="C55" t="inlineStr">
        <is>
          <t>081270429815</t>
        </is>
      </c>
      <c r="D55" t="inlineStr">
        <is>
          <t>cvprimajayapantaibarat@gmail.com</t>
        </is>
      </c>
      <c r="E55" t="inlineStr">
        <is>
          <t>https://lpjk.pu.go.id/search-badan-usaha-detail/NEVrdU8wRUlKTkM5S2JuZzZINE50dz09</t>
        </is>
      </c>
      <c r="F55" t="n">
        <v>2</v>
      </c>
      <c r="G55" t="inlineStr">
        <is>
          <t>BS001, BS002</t>
        </is>
      </c>
      <c r="H55" t="inlineStr">
        <is>
          <t>12 Oktober 2023</t>
        </is>
      </c>
      <c r="I55" s="2" t="n">
        <v>46352</v>
      </c>
      <c r="J55" t="inlineStr">
        <is>
          <t>Disetujui</t>
        </is>
      </c>
      <c r="K55" t="n">
        <v>87</v>
      </c>
      <c r="L55" t="inlineStr">
        <is>
          <t>26 November 2026</t>
        </is>
      </c>
      <c r="M55" t="inlineStr">
        <is>
          <t>Bangunan Sipil Jembatan, Jalan Layang, Fly Over, dan Underpass, Konstruksi Bangunan Sipil Jalan</t>
        </is>
      </c>
      <c r="N55" t="inlineStr">
        <is>
          <t>K</t>
        </is>
      </c>
      <c r="O55" t="inlineStr">
        <is>
          <t>20231123</t>
        </is>
      </c>
      <c r="P55" t="inlineStr">
        <is>
          <t>Sumatera Utara</t>
        </is>
      </c>
      <c r="Q55" t="inlineStr"/>
    </row>
    <row r="56">
      <c r="A56" t="inlineStr">
        <is>
          <t>PURNABAKTI MANDIRI LESTARI</t>
        </is>
      </c>
      <c r="B56" t="inlineStr">
        <is>
          <t>Kota Adm. Jakarta Selatan</t>
        </is>
      </c>
      <c r="C56" t="inlineStr">
        <is>
          <t>0215225311</t>
        </is>
      </c>
      <c r="D56" t="inlineStr">
        <is>
          <t>pt.purnabaktilestarimandri@gmail.com</t>
        </is>
      </c>
      <c r="E56" t="inlineStr">
        <is>
          <t>https://lpjk.pu.go.id/search-badan-usaha-detail/b2p2dFJZRmorMnhwVFdBZG5WZjgwQT09</t>
        </is>
      </c>
      <c r="F56" t="n">
        <v>4</v>
      </c>
      <c r="G56" t="inlineStr">
        <is>
          <t>BG002, BG004, BG008, BG009</t>
        </is>
      </c>
      <c r="H56" t="inlineStr">
        <is>
          <t>12 Mei 2014</t>
        </is>
      </c>
      <c r="I56" s="2" t="n">
        <v>46352</v>
      </c>
      <c r="J56" t="inlineStr">
        <is>
          <t>Disetujui</t>
        </is>
      </c>
      <c r="K56" t="n">
        <v>87</v>
      </c>
      <c r="L56" t="inlineStr">
        <is>
          <t>26 November 2026</t>
        </is>
      </c>
      <c r="M56" t="inlineStr">
        <is>
          <t>Konstruksi Gedung Lainnya, Konstruksi Gedung Perbelanjaan, Konstruksi Gedung Perkantoran, Konstruksi Gedung Tempat Hiburan dan Olahraga</t>
        </is>
      </c>
      <c r="N56" t="inlineStr">
        <is>
          <t>K</t>
        </is>
      </c>
      <c r="O56" t="inlineStr">
        <is>
          <t>20231120</t>
        </is>
      </c>
      <c r="P56" t="inlineStr">
        <is>
          <t>DKI Jakarta</t>
        </is>
      </c>
      <c r="Q56" t="inlineStr"/>
    </row>
    <row r="57">
      <c r="A57" t="inlineStr">
        <is>
          <t>QUANTUM CELEBES ABADI</t>
        </is>
      </c>
      <c r="B57" t="inlineStr">
        <is>
          <t>Kota Makassar</t>
        </is>
      </c>
      <c r="C57" t="inlineStr">
        <is>
          <t>082291042333</t>
        </is>
      </c>
      <c r="D57" t="inlineStr">
        <is>
          <t>khr_bri@yahoo.co.id</t>
        </is>
      </c>
      <c r="E57" t="inlineStr">
        <is>
          <t>https://lpjk.pu.go.id/search-badan-usaha-detail/dldIQ3ZvN0F1aFgrSlpiaTYrT00xUT09</t>
        </is>
      </c>
      <c r="F57" t="n">
        <v>1</v>
      </c>
      <c r="G57" t="inlineStr">
        <is>
          <t>BS001</t>
        </is>
      </c>
      <c r="H57" t="inlineStr">
        <is>
          <t>21 Juli 2023</t>
        </is>
      </c>
      <c r="I57" s="2" t="n">
        <v>46352</v>
      </c>
      <c r="J57" t="inlineStr">
        <is>
          <t>Disetujui</t>
        </is>
      </c>
      <c r="K57" t="n">
        <v>87</v>
      </c>
      <c r="L57" t="inlineStr">
        <is>
          <t>26 November 2026</t>
        </is>
      </c>
      <c r="M57" t="inlineStr">
        <is>
          <t>Konstruksi Bangunan Sipil Jalan</t>
        </is>
      </c>
      <c r="N57" t="inlineStr">
        <is>
          <t>K</t>
        </is>
      </c>
      <c r="O57" t="inlineStr">
        <is>
          <t>20231127</t>
        </is>
      </c>
      <c r="P57" t="inlineStr">
        <is>
          <t>Sulawesi Selatan</t>
        </is>
      </c>
      <c r="Q57" t="inlineStr"/>
    </row>
    <row r="58">
      <c r="A58" t="inlineStr">
        <is>
          <t>RAFI &amp; ZAKI KONSULTAN</t>
        </is>
      </c>
      <c r="B58" t="inlineStr">
        <is>
          <t>Kota Surabaya</t>
        </is>
      </c>
      <c r="C58" t="inlineStr">
        <is>
          <t>0812 1653 7837</t>
        </is>
      </c>
      <c r="D58" t="inlineStr">
        <is>
          <t>cv.rafi_zakikonsultan@yahoo.com</t>
        </is>
      </c>
      <c r="E58" t="inlineStr">
        <is>
          <t>https://lpjk.pu.go.id/search-badan-usaha-detail/K3F3UXUwcnRWWmhpaWtkYUxxbSs0QT09</t>
        </is>
      </c>
      <c r="F58" t="n">
        <v>1</v>
      </c>
      <c r="G58" t="inlineStr">
        <is>
          <t>RK003</t>
        </is>
      </c>
      <c r="H58" t="inlineStr">
        <is>
          <t>30 Agustus 2018</t>
        </is>
      </c>
      <c r="I58" s="2" t="n">
        <v>46352</v>
      </c>
      <c r="J58" t="inlineStr">
        <is>
          <t>Disetujui</t>
        </is>
      </c>
      <c r="K58" t="n">
        <v>87</v>
      </c>
      <c r="L58" t="inlineStr">
        <is>
          <t>26 November 2026</t>
        </is>
      </c>
      <c r="M58" t="inlineStr">
        <is>
          <t>Jasa Rekayasa Pekerjaan Teknik Sipil Transportasi</t>
        </is>
      </c>
      <c r="N58" t="inlineStr">
        <is>
          <t>K</t>
        </is>
      </c>
      <c r="O58" t="inlineStr">
        <is>
          <t>20231116</t>
        </is>
      </c>
      <c r="P58" t="inlineStr">
        <is>
          <t>Jawa Timur</t>
        </is>
      </c>
      <c r="Q58" t="inlineStr"/>
    </row>
    <row r="59">
      <c r="A59" t="inlineStr">
        <is>
          <t>RAJA MUKTI</t>
        </is>
      </c>
      <c r="B59" t="inlineStr">
        <is>
          <t>Kota Bandung</t>
        </is>
      </c>
      <c r="C59" t="inlineStr">
        <is>
          <t>085320139939</t>
        </is>
      </c>
      <c r="D59" t="inlineStr">
        <is>
          <t>cvrajamukti@gmail.com</t>
        </is>
      </c>
      <c r="E59" t="inlineStr">
        <is>
          <t>https://lpjk.pu.go.id/search-badan-usaha-detail/OTJhTDg2aDFBUUpVTVVDZXJPOVBQUT09</t>
        </is>
      </c>
      <c r="F59" t="n">
        <v>2</v>
      </c>
      <c r="G59" t="inlineStr">
        <is>
          <t>BG005, BG006</t>
        </is>
      </c>
      <c r="H59" t="inlineStr">
        <is>
          <t>26 Juli 2023</t>
        </is>
      </c>
      <c r="I59" s="2" t="n">
        <v>46352</v>
      </c>
      <c r="J59" t="inlineStr">
        <is>
          <t>Pencabutan</t>
        </is>
      </c>
      <c r="K59" t="n">
        <v>87</v>
      </c>
      <c r="L59" t="inlineStr">
        <is>
          <t>26 November 2026</t>
        </is>
      </c>
      <c r="M59" t="inlineStr">
        <is>
          <t>Konstruksi Gedung Kesehatan, Konstruksi Gedung Pendidikan</t>
        </is>
      </c>
      <c r="N59" t="inlineStr">
        <is>
          <t>K</t>
        </is>
      </c>
      <c r="O59" t="inlineStr">
        <is>
          <t>20231124</t>
        </is>
      </c>
      <c r="P59" t="inlineStr">
        <is>
          <t>Jawa Barat</t>
        </is>
      </c>
      <c r="Q59" t="inlineStr"/>
    </row>
    <row r="60">
      <c r="A60" t="inlineStr">
        <is>
          <t>RAJAWALI MITRA PERSADA</t>
        </is>
      </c>
      <c r="B60" t="inlineStr">
        <is>
          <t>Kab. Jayapura</t>
        </is>
      </c>
      <c r="C60" t="inlineStr">
        <is>
          <t>08127790970</t>
        </is>
      </c>
      <c r="D60" t="inlineStr">
        <is>
          <t>Rajawalimitra.p@gmail.com</t>
        </is>
      </c>
      <c r="E60" t="inlineStr">
        <is>
          <t>https://lpjk.pu.go.id/search-badan-usaha-detail/VmZMem1PWFFEK2FUZFJKYVF0eldXZz09</t>
        </is>
      </c>
      <c r="F60" t="n">
        <v>2</v>
      </c>
      <c r="G60" t="inlineStr">
        <is>
          <t>BS001</t>
        </is>
      </c>
      <c r="H60" t="inlineStr">
        <is>
          <t>31 Mei 2012</t>
        </is>
      </c>
      <c r="I60" s="2" t="n">
        <v>46352</v>
      </c>
      <c r="J60" t="inlineStr">
        <is>
          <t>Disetujui</t>
        </is>
      </c>
      <c r="K60" t="n">
        <v>87</v>
      </c>
      <c r="L60" t="inlineStr">
        <is>
          <t>26 November 2026</t>
        </is>
      </c>
      <c r="M60" t="inlineStr">
        <is>
          <t>Konstruksi Bangunan Sipil Jalan</t>
        </is>
      </c>
      <c r="N60" t="inlineStr">
        <is>
          <t>M</t>
        </is>
      </c>
      <c r="O60" t="inlineStr">
        <is>
          <t>20231120</t>
        </is>
      </c>
      <c r="P60" t="inlineStr">
        <is>
          <t>Papua</t>
        </is>
      </c>
      <c r="Q60" t="inlineStr"/>
    </row>
    <row r="61">
      <c r="A61" t="inlineStr">
        <is>
          <t>RANCANG BANGUN KREASI INTERIOR</t>
        </is>
      </c>
      <c r="B61" t="inlineStr">
        <is>
          <t>Kota Makassar</t>
        </is>
      </c>
      <c r="C61" t="inlineStr">
        <is>
          <t>081818182727</t>
        </is>
      </c>
      <c r="D61" t="inlineStr">
        <is>
          <t>rb.interior.pt@gmail.com</t>
        </is>
      </c>
      <c r="E61" t="inlineStr">
        <is>
          <t>https://lpjk.pu.go.id/search-badan-usaha-detail/MGdsTzZ2TnFFOWtBVitoR3lWNWh0Zz09</t>
        </is>
      </c>
      <c r="F61" t="n">
        <v>2</v>
      </c>
      <c r="G61" t="inlineStr">
        <is>
          <t>PB004</t>
        </is>
      </c>
      <c r="H61" t="inlineStr">
        <is>
          <t>10 November 2023</t>
        </is>
      </c>
      <c r="I61" s="2" t="n">
        <v>46352</v>
      </c>
      <c r="J61" t="inlineStr">
        <is>
          <t>Pembekuan</t>
        </is>
      </c>
      <c r="K61" t="n">
        <v>87</v>
      </c>
      <c r="L61" t="inlineStr">
        <is>
          <t>26 November 2026</t>
        </is>
      </c>
      <c r="M61" t="inlineStr">
        <is>
          <t>Dekorasi Interior</t>
        </is>
      </c>
      <c r="N61" t="inlineStr">
        <is>
          <t>Spesialis</t>
        </is>
      </c>
      <c r="O61" t="inlineStr">
        <is>
          <t>20231116</t>
        </is>
      </c>
      <c r="P61" t="inlineStr">
        <is>
          <t>Sulawesi Selatan</t>
        </is>
      </c>
      <c r="Q61" t="inlineStr"/>
    </row>
    <row r="62">
      <c r="A62" t="inlineStr">
        <is>
          <t>RISMAWAN ABADI TEKNIK</t>
        </is>
      </c>
      <c r="B62" t="inlineStr">
        <is>
          <t>Kota Sukabumi</t>
        </is>
      </c>
      <c r="C62" t="inlineStr">
        <is>
          <t>082118562552</t>
        </is>
      </c>
      <c r="D62" t="inlineStr">
        <is>
          <t>riswandi78.rr@gmail.com</t>
        </is>
      </c>
      <c r="E62" t="inlineStr">
        <is>
          <t>https://lpjk.pu.go.id/search-badan-usaha-detail/MTdtYi9Tb0tzeFNiS2p5VDdUVUQyZz09</t>
        </is>
      </c>
      <c r="F62" t="n">
        <v>2</v>
      </c>
      <c r="G62" t="inlineStr">
        <is>
          <t>KK016</t>
        </is>
      </c>
      <c r="H62" t="inlineStr">
        <is>
          <t>3 Maret 2023</t>
        </is>
      </c>
      <c r="I62" s="2" t="n">
        <v>46352</v>
      </c>
      <c r="J62" t="inlineStr">
        <is>
          <t>Disetujui</t>
        </is>
      </c>
      <c r="K62" t="n">
        <v>87</v>
      </c>
      <c r="L62" t="inlineStr">
        <is>
          <t>26 November 2026</t>
        </is>
      </c>
      <c r="M62" t="inlineStr">
        <is>
          <t>Pemasangan Kerangka Baja</t>
        </is>
      </c>
      <c r="N62" t="inlineStr">
        <is>
          <t>Spesialis</t>
        </is>
      </c>
      <c r="O62" t="inlineStr">
        <is>
          <t>20231103</t>
        </is>
      </c>
      <c r="P62" t="inlineStr">
        <is>
          <t>Jawa Barat</t>
        </is>
      </c>
      <c r="Q62" t="inlineStr"/>
    </row>
    <row r="63">
      <c r="A63" t="inlineStr">
        <is>
          <t>ROCKSENSE INTI GEMILANG</t>
        </is>
      </c>
      <c r="B63" t="inlineStr">
        <is>
          <t>Kota Bandung</t>
        </is>
      </c>
      <c r="C63" t="inlineStr">
        <is>
          <t>081313199062</t>
        </is>
      </c>
      <c r="D63" t="inlineStr">
        <is>
          <t>rig@rig-rocksense.com</t>
        </is>
      </c>
      <c r="E63" t="inlineStr">
        <is>
          <t>https://lpjk.pu.go.id/search-badan-usaha-detail/S1JWa1lLcnc1a2UwYWJZRVJrOXNuUT09</t>
        </is>
      </c>
      <c r="F63" t="n">
        <v>1</v>
      </c>
      <c r="G63" t="inlineStr">
        <is>
          <t>PL005</t>
        </is>
      </c>
      <c r="H63" t="inlineStr">
        <is>
          <t>22 November 2019</t>
        </is>
      </c>
      <c r="I63" s="2" t="n">
        <v>46352</v>
      </c>
      <c r="J63" t="inlineStr">
        <is>
          <t>Disetujui</t>
        </is>
      </c>
      <c r="K63" t="n">
        <v>87</v>
      </c>
      <c r="L63" t="inlineStr">
        <is>
          <t>26 November 2026</t>
        </is>
      </c>
      <c r="M63" t="inlineStr">
        <is>
          <t>Pembuatan/Pengeboran Sumur Air Tanah</t>
        </is>
      </c>
      <c r="N63" t="inlineStr">
        <is>
          <t>Spesialis</t>
        </is>
      </c>
      <c r="O63" t="inlineStr">
        <is>
          <t>20231025</t>
        </is>
      </c>
      <c r="P63" t="inlineStr">
        <is>
          <t>Jawa Barat</t>
        </is>
      </c>
      <c r="Q63" t="inlineStr"/>
    </row>
    <row r="64">
      <c r="A64" t="inlineStr">
        <is>
          <t>SALIMPERET JAYA ABADI</t>
        </is>
      </c>
      <c r="B64" t="inlineStr">
        <is>
          <t>Kota Manado</t>
        </is>
      </c>
      <c r="C64" t="inlineStr">
        <is>
          <t>082195120078</t>
        </is>
      </c>
      <c r="D64" t="inlineStr">
        <is>
          <t>salimperetjayaabadi@gmail.com</t>
        </is>
      </c>
      <c r="E64" t="inlineStr">
        <is>
          <t>https://lpjk.pu.go.id/search-badan-usaha-detail/T1lmYVVTU2JTS2dxTmtzOWUwZmJaUT09</t>
        </is>
      </c>
      <c r="F64" t="n">
        <v>4</v>
      </c>
      <c r="G64" t="inlineStr">
        <is>
          <t>BG002, BG005, BG009, BS001</t>
        </is>
      </c>
      <c r="H64" t="inlineStr">
        <is>
          <t>23 Mei 2023</t>
        </is>
      </c>
      <c r="I64" s="2" t="n">
        <v>46352</v>
      </c>
      <c r="J64" t="inlineStr">
        <is>
          <t>Disetujui</t>
        </is>
      </c>
      <c r="K64" t="n">
        <v>87</v>
      </c>
      <c r="L64" t="inlineStr">
        <is>
          <t>26 November 2026</t>
        </is>
      </c>
      <c r="M64" t="inlineStr">
        <is>
          <t>Konstruksi Bangunan Sipil Jalan, Konstruksi Gedung Kesehatan, Konstruksi Gedung Lainnya, Konstruksi Gedung Perkantoran</t>
        </is>
      </c>
      <c r="N64" t="inlineStr">
        <is>
          <t>K</t>
        </is>
      </c>
      <c r="O64" t="inlineStr">
        <is>
          <t>20231123</t>
        </is>
      </c>
      <c r="P64" t="inlineStr">
        <is>
          <t>Sulawesi Utara</t>
        </is>
      </c>
      <c r="Q64" t="inlineStr"/>
    </row>
    <row r="65">
      <c r="A65" t="inlineStr">
        <is>
          <t>SAMADYA PILAR KONSTRUKSI</t>
        </is>
      </c>
      <c r="B65" t="inlineStr">
        <is>
          <t>Kab. Serang</t>
        </is>
      </c>
      <c r="C65" t="inlineStr">
        <is>
          <t>087871024452</t>
        </is>
      </c>
      <c r="D65" t="inlineStr">
        <is>
          <t>Samadyakonstruksi@gmail.com</t>
        </is>
      </c>
      <c r="E65" t="inlineStr">
        <is>
          <t>https://lpjk.pu.go.id/search-badan-usaha-detail/ejRaL0dVY2ZzanhySkxGYkpsYit4UT09</t>
        </is>
      </c>
      <c r="F65" t="n">
        <v>1</v>
      </c>
      <c r="G65" t="inlineStr">
        <is>
          <t>BG009</t>
        </is>
      </c>
      <c r="H65" t="inlineStr">
        <is>
          <t>12 September 2020</t>
        </is>
      </c>
      <c r="I65" s="2" t="n">
        <v>46352</v>
      </c>
      <c r="J65" t="inlineStr">
        <is>
          <t>Disetujui</t>
        </is>
      </c>
      <c r="K65" t="n">
        <v>87</v>
      </c>
      <c r="L65" t="inlineStr">
        <is>
          <t>26 November 2026</t>
        </is>
      </c>
      <c r="M65" t="inlineStr">
        <is>
          <t>Konstruksi Gedung Lainnya</t>
        </is>
      </c>
      <c r="N65" t="inlineStr">
        <is>
          <t>K</t>
        </is>
      </c>
      <c r="O65" t="inlineStr">
        <is>
          <t>20231117</t>
        </is>
      </c>
      <c r="P65" t="inlineStr">
        <is>
          <t>Banten</t>
        </is>
      </c>
      <c r="Q65" t="inlineStr"/>
    </row>
    <row r="66">
      <c r="A66" t="inlineStr">
        <is>
          <t>SEKAWAN JAYA UTAMA</t>
        </is>
      </c>
      <c r="B66" t="inlineStr">
        <is>
          <t>Kab. Jembrana</t>
        </is>
      </c>
      <c r="C66" t="inlineStr">
        <is>
          <t>085303620071</t>
        </is>
      </c>
      <c r="D66" t="inlineStr">
        <is>
          <t>sekawanjayautama.ngr@gmail.com</t>
        </is>
      </c>
      <c r="E66" t="inlineStr">
        <is>
          <t>https://lpjk.pu.go.id/search-badan-usaha-detail/SksxaTZOcDVpd2ZnZFBxU3lhOXlrZz09</t>
        </is>
      </c>
      <c r="F66" t="n">
        <v>6</v>
      </c>
      <c r="G66" t="inlineStr">
        <is>
          <t>BG001, BG002, BG004</t>
        </is>
      </c>
      <c r="H66" t="inlineStr">
        <is>
          <t>24 Februari 2003</t>
        </is>
      </c>
      <c r="I66" s="2" t="n">
        <v>46352</v>
      </c>
      <c r="J66" t="inlineStr">
        <is>
          <t>Disetujui</t>
        </is>
      </c>
      <c r="K66" t="n">
        <v>87</v>
      </c>
      <c r="L66" t="inlineStr">
        <is>
          <t>26 November 2026</t>
        </is>
      </c>
      <c r="M66" t="inlineStr">
        <is>
          <t>Konstruksi Gedung Hunian, Konstruksi Gedung Perbelanjaan, Konstruksi Gedung Perkantoran</t>
        </is>
      </c>
      <c r="N66" t="inlineStr">
        <is>
          <t>K</t>
        </is>
      </c>
      <c r="O66" t="inlineStr">
        <is>
          <t>20231121</t>
        </is>
      </c>
      <c r="P66" t="inlineStr">
        <is>
          <t>Bali</t>
        </is>
      </c>
      <c r="Q66" t="inlineStr"/>
    </row>
    <row r="67">
      <c r="A67" t="inlineStr">
        <is>
          <t>SEMBILAN SEMBILAN</t>
        </is>
      </c>
      <c r="B67" t="inlineStr">
        <is>
          <t>Kab. Demak</t>
        </is>
      </c>
      <c r="C67" t="inlineStr">
        <is>
          <t>082323947999</t>
        </is>
      </c>
      <c r="D67" t="inlineStr">
        <is>
          <t>cvsembilansembilan@yahoo.co.id</t>
        </is>
      </c>
      <c r="E67" t="inlineStr">
        <is>
          <t>https://lpjk.pu.go.id/search-badan-usaha-detail/SVpBajRERUp6RkdQeDlJNjlGOVk4dz09</t>
        </is>
      </c>
      <c r="F67" t="n">
        <v>1</v>
      </c>
      <c r="G67" t="inlineStr">
        <is>
          <t>BS001</t>
        </is>
      </c>
      <c r="H67" t="inlineStr">
        <is>
          <t>22 Juni 2012</t>
        </is>
      </c>
      <c r="I67" s="2" t="n">
        <v>46352</v>
      </c>
      <c r="J67" t="inlineStr">
        <is>
          <t>Disetujui</t>
        </is>
      </c>
      <c r="K67" t="n">
        <v>87</v>
      </c>
      <c r="L67" t="inlineStr">
        <is>
          <t>26 November 2026</t>
        </is>
      </c>
      <c r="M67" t="inlineStr">
        <is>
          <t>Konstruksi Bangunan Sipil Jalan</t>
        </is>
      </c>
      <c r="N67" t="inlineStr">
        <is>
          <t>K</t>
        </is>
      </c>
      <c r="O67" t="inlineStr">
        <is>
          <t>20231122</t>
        </is>
      </c>
      <c r="P67" t="inlineStr">
        <is>
          <t>Jawa Tengah</t>
        </is>
      </c>
      <c r="Q67" t="inlineStr"/>
    </row>
    <row r="68">
      <c r="A68" t="inlineStr">
        <is>
          <t>SIDO BANGUN KARYA</t>
        </is>
      </c>
      <c r="B68" t="inlineStr">
        <is>
          <t>Kab. Nunukan</t>
        </is>
      </c>
      <c r="C68" t="inlineStr">
        <is>
          <t>082153994108</t>
        </is>
      </c>
      <c r="D68" t="inlineStr">
        <is>
          <t>sidoperkasa@gmail.com</t>
        </is>
      </c>
      <c r="E68" t="inlineStr">
        <is>
          <t>https://lpjk.pu.go.id/search-badan-usaha-detail/dUdXQXRTTlVEMzVnK1lJeUlDMUFBZz09</t>
        </is>
      </c>
      <c r="F68" t="n">
        <v>1</v>
      </c>
      <c r="G68" t="inlineStr">
        <is>
          <t>BS001</t>
        </is>
      </c>
      <c r="H68" t="inlineStr">
        <is>
          <t>14 Oktober 2019</t>
        </is>
      </c>
      <c r="I68" s="2" t="n">
        <v>46352</v>
      </c>
      <c r="J68" t="inlineStr">
        <is>
          <t>Disetujui</t>
        </is>
      </c>
      <c r="K68" t="n">
        <v>87</v>
      </c>
      <c r="L68" t="inlineStr">
        <is>
          <t>26 November 2026</t>
        </is>
      </c>
      <c r="M68" t="inlineStr">
        <is>
          <t>Konstruksi Bangunan Sipil Jalan</t>
        </is>
      </c>
      <c r="N68" t="inlineStr">
        <is>
          <t>K</t>
        </is>
      </c>
      <c r="O68" t="inlineStr">
        <is>
          <t>20231122</t>
        </is>
      </c>
      <c r="P68" t="inlineStr">
        <is>
          <t>Kalimantan Utara</t>
        </is>
      </c>
      <c r="Q68" t="inlineStr"/>
    </row>
    <row r="69">
      <c r="A69" t="inlineStr">
        <is>
          <t>SOPO NGIRO</t>
        </is>
      </c>
      <c r="B69" t="inlineStr">
        <is>
          <t>Kab. Magelang</t>
        </is>
      </c>
      <c r="C69" t="inlineStr">
        <is>
          <t>085725824373</t>
        </is>
      </c>
      <c r="D69" t="inlineStr">
        <is>
          <t>sopongiromagelang@yahoo.com</t>
        </is>
      </c>
      <c r="E69" t="inlineStr">
        <is>
          <t>https://lpjk.pu.go.id/search-badan-usaha-detail/ckNBTlhiaHU5WllkRERjUVhIVmwvUT09</t>
        </is>
      </c>
      <c r="F69" t="n">
        <v>1</v>
      </c>
      <c r="G69" t="inlineStr">
        <is>
          <t>BG009</t>
        </is>
      </c>
      <c r="H69" t="inlineStr">
        <is>
          <t>22 Januari 2011</t>
        </is>
      </c>
      <c r="I69" s="2" t="n">
        <v>46352</v>
      </c>
      <c r="J69" t="inlineStr">
        <is>
          <t>Disetujui</t>
        </is>
      </c>
      <c r="K69" t="n">
        <v>87</v>
      </c>
      <c r="L69" t="inlineStr">
        <is>
          <t>26 November 2026</t>
        </is>
      </c>
      <c r="M69" t="inlineStr">
        <is>
          <t>Konstruksi Gedung Lainnya</t>
        </is>
      </c>
      <c r="N69" t="inlineStr">
        <is>
          <t>K</t>
        </is>
      </c>
      <c r="O69" t="inlineStr">
        <is>
          <t>20231120</t>
        </is>
      </c>
      <c r="P69" t="inlineStr">
        <is>
          <t>Jawa Tengah</t>
        </is>
      </c>
      <c r="Q69" t="inlineStr"/>
    </row>
    <row r="70">
      <c r="A70" t="inlineStr">
        <is>
          <t>SUMBER PELITA TEHNIK</t>
        </is>
      </c>
      <c r="B70" t="inlineStr">
        <is>
          <t>Kota Balikpapan</t>
        </is>
      </c>
      <c r="C70" t="inlineStr">
        <is>
          <t>08125504032</t>
        </is>
      </c>
      <c r="D70" t="inlineStr">
        <is>
          <t>pelita.sumber@yahoo.com</t>
        </is>
      </c>
      <c r="E70" t="inlineStr">
        <is>
          <t>https://lpjk.pu.go.id/search-badan-usaha-detail/ODJBTm1wTExaZHZZbDRTNnRLd2dTdz09</t>
        </is>
      </c>
      <c r="F70" t="n">
        <v>1</v>
      </c>
      <c r="G70" t="inlineStr">
        <is>
          <t>BG003</t>
        </is>
      </c>
      <c r="H70" t="inlineStr">
        <is>
          <t>12 Desember 2012</t>
        </is>
      </c>
      <c r="I70" s="2" t="n">
        <v>46352</v>
      </c>
      <c r="J70" t="inlineStr">
        <is>
          <t>Disetujui</t>
        </is>
      </c>
      <c r="K70" t="n">
        <v>87</v>
      </c>
      <c r="L70" t="inlineStr">
        <is>
          <t>26 November 2026</t>
        </is>
      </c>
      <c r="M70" t="inlineStr">
        <is>
          <t>Konstruksi Gedung Industri</t>
        </is>
      </c>
      <c r="N70" t="inlineStr">
        <is>
          <t>K</t>
        </is>
      </c>
      <c r="O70" t="inlineStr">
        <is>
          <t>20231127</t>
        </is>
      </c>
      <c r="P70" t="inlineStr">
        <is>
          <t>Kalimantan Timur</t>
        </is>
      </c>
      <c r="Q70" t="inlineStr"/>
    </row>
    <row r="71">
      <c r="A71" t="inlineStr">
        <is>
          <t>TATA GUNA PATRIA</t>
        </is>
      </c>
      <c r="B71" t="inlineStr">
        <is>
          <t>Kota Adm. Jakarta Selatan</t>
        </is>
      </c>
      <c r="C71" t="inlineStr">
        <is>
          <t>02175916012</t>
        </is>
      </c>
      <c r="D71" t="inlineStr">
        <is>
          <t>tata@cbn.net.id</t>
        </is>
      </c>
      <c r="E71" t="inlineStr">
        <is>
          <t>https://lpjk.pu.go.id/search-badan-usaha-detail/azJ4OHhFVzhRWDYxaElCSVpzV2VhZz09</t>
        </is>
      </c>
      <c r="F71" t="n">
        <v>2</v>
      </c>
      <c r="G71" t="inlineStr">
        <is>
          <t>RK002, RK003</t>
        </is>
      </c>
      <c r="H71" t="inlineStr">
        <is>
          <t>21 Februari 1989</t>
        </is>
      </c>
      <c r="I71" s="2" t="n">
        <v>46352</v>
      </c>
      <c r="J71" t="inlineStr">
        <is>
          <t>Disetujui</t>
        </is>
      </c>
      <c r="K71" t="n">
        <v>87</v>
      </c>
      <c r="L71" t="inlineStr">
        <is>
          <t>26 November 2026</t>
        </is>
      </c>
      <c r="M71" t="inlineStr">
        <is>
          <t>Jasa Rekayasa Pekerjaan Teknik Sipil Sumber Daya Air, Jasa Rekayasa Pekerjaan Teknik Sipil Transportasi</t>
        </is>
      </c>
      <c r="N71" t="inlineStr">
        <is>
          <t>B</t>
        </is>
      </c>
      <c r="O71" t="inlineStr">
        <is>
          <t>20231121</t>
        </is>
      </c>
      <c r="P71" t="inlineStr">
        <is>
          <t>DKI Jakarta</t>
        </is>
      </c>
      <c r="Q71" t="inlineStr"/>
    </row>
    <row r="72">
      <c r="A72" t="inlineStr">
        <is>
          <t>TIRTA RIZKI</t>
        </is>
      </c>
      <c r="B72" t="inlineStr">
        <is>
          <t>Kota Medan</t>
        </is>
      </c>
      <c r="C72" t="inlineStr">
        <is>
          <t>082366376469</t>
        </is>
      </c>
      <c r="D72" t="inlineStr">
        <is>
          <t>tirtarizki02@gmail.com</t>
        </is>
      </c>
      <c r="E72" t="inlineStr">
        <is>
          <t>https://lpjk.pu.go.id/search-badan-usaha-detail/dTI1Y3VIRlZLckV0Y3NtZWs2NHN4QT09</t>
        </is>
      </c>
      <c r="F72" t="n">
        <v>1</v>
      </c>
      <c r="G72" t="inlineStr">
        <is>
          <t>BS005</t>
        </is>
      </c>
      <c r="H72" t="inlineStr">
        <is>
          <t>3 Oktober 2017</t>
        </is>
      </c>
      <c r="I72" s="2" t="n">
        <v>46352</v>
      </c>
      <c r="J72" t="inlineStr">
        <is>
          <t>Disetujui</t>
        </is>
      </c>
      <c r="K72" t="n">
        <v>87</v>
      </c>
      <c r="L72" t="inlineStr">
        <is>
          <t>26 November 2026</t>
        </is>
      </c>
      <c r="M72" t="inlineStr">
        <is>
          <t>Konstruksi Bangunan Sipil Pengolahan Air Bersih</t>
        </is>
      </c>
      <c r="N72" t="inlineStr">
        <is>
          <t>K</t>
        </is>
      </c>
      <c r="O72" t="inlineStr">
        <is>
          <t>20231123</t>
        </is>
      </c>
      <c r="P72" t="inlineStr">
        <is>
          <t>Sumatera Utara</t>
        </is>
      </c>
      <c r="Q72" t="inlineStr"/>
    </row>
    <row r="73">
      <c r="A73" t="inlineStr">
        <is>
          <t>TRANGGANA</t>
        </is>
      </c>
      <c r="B73" t="inlineStr">
        <is>
          <t>Kota Pekanbaru</t>
        </is>
      </c>
      <c r="C73" t="inlineStr">
        <is>
          <t>0761556334</t>
        </is>
      </c>
      <c r="D73" t="inlineStr">
        <is>
          <t>ctranggana@yahoo.co.id</t>
        </is>
      </c>
      <c r="E73" t="inlineStr">
        <is>
          <t>https://lpjk.pu.go.id/search-badan-usaha-detail/VTNBRWVZWEMwZVpIc0c2Tll0Y0JGZz09</t>
        </is>
      </c>
      <c r="F73" t="n">
        <v>1</v>
      </c>
      <c r="G73" t="inlineStr">
        <is>
          <t>BG009</t>
        </is>
      </c>
      <c r="H73" t="inlineStr">
        <is>
          <t>20 Mei 2013</t>
        </is>
      </c>
      <c r="I73" s="2" t="n">
        <v>46352</v>
      </c>
      <c r="J73" t="inlineStr">
        <is>
          <t>Disetujui</t>
        </is>
      </c>
      <c r="K73" t="n">
        <v>87</v>
      </c>
      <c r="L73" t="inlineStr">
        <is>
          <t>26 November 2026</t>
        </is>
      </c>
      <c r="M73" t="inlineStr">
        <is>
          <t>Konstruksi Gedung Lainnya</t>
        </is>
      </c>
      <c r="N73" t="inlineStr">
        <is>
          <t>K</t>
        </is>
      </c>
      <c r="O73" t="inlineStr">
        <is>
          <t>20231123</t>
        </is>
      </c>
      <c r="P73" t="inlineStr">
        <is>
          <t>Riau</t>
        </is>
      </c>
      <c r="Q73" t="inlineStr"/>
    </row>
    <row r="74">
      <c r="A74" t="inlineStr">
        <is>
          <t>TRIA PROPERTINDO MPATNAM</t>
        </is>
      </c>
      <c r="B74" t="inlineStr">
        <is>
          <t>Kota Palopo</t>
        </is>
      </c>
      <c r="C74" t="inlineStr">
        <is>
          <t>081902608875</t>
        </is>
      </c>
      <c r="D74" t="inlineStr">
        <is>
          <t>triapropertindompatnam@gmail.com</t>
        </is>
      </c>
      <c r="E74" t="inlineStr">
        <is>
          <t>https://lpjk.pu.go.id/search-badan-usaha-detail/eU9TbDA3OXkvNGk2ZVJLaHBDU20vUT09</t>
        </is>
      </c>
      <c r="F74" t="n">
        <v>1</v>
      </c>
      <c r="G74" t="inlineStr">
        <is>
          <t>BS001</t>
        </is>
      </c>
      <c r="H74" t="inlineStr">
        <is>
          <t>31 Januari 2023</t>
        </is>
      </c>
      <c r="I74" s="2" t="n">
        <v>46352</v>
      </c>
      <c r="J74" t="inlineStr">
        <is>
          <t>Disetujui</t>
        </is>
      </c>
      <c r="K74" t="n">
        <v>87</v>
      </c>
      <c r="L74" t="inlineStr">
        <is>
          <t>26 November 2026</t>
        </is>
      </c>
      <c r="M74" t="inlineStr">
        <is>
          <t>Konstruksi Bangunan Sipil Jalan</t>
        </is>
      </c>
      <c r="N74" t="inlineStr">
        <is>
          <t>K</t>
        </is>
      </c>
      <c r="O74" t="inlineStr">
        <is>
          <t>20231127</t>
        </is>
      </c>
      <c r="P74" t="inlineStr">
        <is>
          <t>Sulawesi Selatan</t>
        </is>
      </c>
      <c r="Q74" t="inlineStr"/>
    </row>
    <row r="75">
      <c r="A75" t="inlineStr">
        <is>
          <t>TUAN MUDA</t>
        </is>
      </c>
      <c r="B75" t="inlineStr">
        <is>
          <t>Kab. Kayong Utara</t>
        </is>
      </c>
      <c r="C75" t="inlineStr">
        <is>
          <t>089694142003</t>
        </is>
      </c>
      <c r="D75" t="inlineStr">
        <is>
          <t>mudatuancv@gmail.com</t>
        </is>
      </c>
      <c r="E75" t="inlineStr">
        <is>
          <t>https://lpjk.pu.go.id/search-badan-usaha-detail/bDR0a1pVUWtKRGMvNW56L3FZY2UvZz09</t>
        </is>
      </c>
      <c r="F75" t="n">
        <v>2</v>
      </c>
      <c r="G75" t="inlineStr">
        <is>
          <t>BS001, BS004</t>
        </is>
      </c>
      <c r="H75" t="inlineStr">
        <is>
          <t>13 Juli 2020</t>
        </is>
      </c>
      <c r="I75" s="2" t="n">
        <v>46352</v>
      </c>
      <c r="J75" t="inlineStr">
        <is>
          <t>Pencabutan</t>
        </is>
      </c>
      <c r="K75" t="n">
        <v>87</v>
      </c>
      <c r="L75" t="inlineStr">
        <is>
          <t>26 November 2026</t>
        </is>
      </c>
      <c r="M75" t="inlineStr">
        <is>
          <t>Konstruksi Bangunan Sipil Jalan, Konstruksi Jaringan Irigasi dan Drainase</t>
        </is>
      </c>
      <c r="N75" t="inlineStr">
        <is>
          <t>K</t>
        </is>
      </c>
      <c r="O75" t="inlineStr">
        <is>
          <t>20230926, 20231126</t>
        </is>
      </c>
      <c r="P75" t="inlineStr">
        <is>
          <t>Kalimantan Barat</t>
        </is>
      </c>
      <c r="Q75" t="inlineStr"/>
    </row>
    <row r="76">
      <c r="A76" t="inlineStr">
        <is>
          <t>USHAKINDO JAYA KONSULTAN</t>
        </is>
      </c>
      <c r="B76" t="inlineStr">
        <is>
          <t>Kota Bandung</t>
        </is>
      </c>
      <c r="C76" t="inlineStr">
        <is>
          <t>0227237065</t>
        </is>
      </c>
      <c r="D76" t="inlineStr">
        <is>
          <t>ushakindo@yahoo.com</t>
        </is>
      </c>
      <c r="E76" t="inlineStr">
        <is>
          <t>https://lpjk.pu.go.id/search-badan-usaha-detail/alJWNWlNTWNnbk5XMVdRWXJacmhmZz09</t>
        </is>
      </c>
      <c r="F76" t="n">
        <v>1</v>
      </c>
      <c r="G76" t="inlineStr">
        <is>
          <t>IT003</t>
        </is>
      </c>
      <c r="H76" t="inlineStr">
        <is>
          <t>7 Oktober 1985</t>
        </is>
      </c>
      <c r="I76" s="2" t="n">
        <v>46352</v>
      </c>
      <c r="J76" t="inlineStr">
        <is>
          <t>Disetujui</t>
        </is>
      </c>
      <c r="K76" t="n">
        <v>87</v>
      </c>
      <c r="L76" t="inlineStr">
        <is>
          <t>26 November 2026</t>
        </is>
      </c>
      <c r="M76" t="inlineStr">
        <is>
          <t>Jasa Konsultansi Ilmiah dan Teknis Permukaan Tanah dan Pembuatan Peta</t>
        </is>
      </c>
      <c r="N76" t="inlineStr">
        <is>
          <t>Spesialis</t>
        </is>
      </c>
      <c r="O76" t="inlineStr">
        <is>
          <t>20231114</t>
        </is>
      </c>
      <c r="P76" t="inlineStr">
        <is>
          <t>Jawa Barat</t>
        </is>
      </c>
      <c r="Q76" t="inlineStr"/>
    </row>
    <row r="77">
      <c r="A77" t="inlineStr">
        <is>
          <t>WAHANA GUNA MANDIRI</t>
        </is>
      </c>
      <c r="B77" t="inlineStr">
        <is>
          <t>Kota Bandung</t>
        </is>
      </c>
      <c r="C77" t="inlineStr">
        <is>
          <t>0227835921</t>
        </is>
      </c>
      <c r="D77" t="inlineStr">
        <is>
          <t>ptwahanagunamandirinew@gmail.com</t>
        </is>
      </c>
      <c r="E77" t="inlineStr">
        <is>
          <t>https://lpjk.pu.go.id/search-badan-usaha-detail/U25MNkVBTFRPWW9zNzkvVVVnV2xKdz09</t>
        </is>
      </c>
      <c r="F77" t="n">
        <v>1</v>
      </c>
      <c r="G77" t="inlineStr">
        <is>
          <t>RT002</t>
        </is>
      </c>
      <c r="H77" t="inlineStr">
        <is>
          <t>29 November 2021</t>
        </is>
      </c>
      <c r="I77" s="2" t="n">
        <v>46352</v>
      </c>
      <c r="J77" t="inlineStr">
        <is>
          <t>Disetujui</t>
        </is>
      </c>
      <c r="K77" t="n">
        <v>87</v>
      </c>
      <c r="L77" t="inlineStr">
        <is>
          <t>26 November 2026</t>
        </is>
      </c>
      <c r="M77" t="inlineStr">
        <is>
          <t>Jasa Rekayasa Konstruksi Pembangkit, Jaringan Transmisi, Gardu Induk, dan Distribusi Tenaga Listrik</t>
        </is>
      </c>
      <c r="N77" t="inlineStr">
        <is>
          <t>M</t>
        </is>
      </c>
      <c r="O77" t="inlineStr">
        <is>
          <t>20231023</t>
        </is>
      </c>
      <c r="P77" t="inlineStr">
        <is>
          <t>Jawa Barat</t>
        </is>
      </c>
      <c r="Q77" t="inlineStr"/>
    </row>
    <row r="78">
      <c r="A78" t="inlineStr">
        <is>
          <t>WIRA AMBARA ANGKASA</t>
        </is>
      </c>
      <c r="B78" t="inlineStr">
        <is>
          <t>Kab. Sidoarjo</t>
        </is>
      </c>
      <c r="C78" t="inlineStr">
        <is>
          <t>081287898877</t>
        </is>
      </c>
      <c r="D78" t="inlineStr">
        <is>
          <t>ptwiraambaraangkasa@gmail.com</t>
        </is>
      </c>
      <c r="E78" t="inlineStr">
        <is>
          <t>https://lpjk.pu.go.id/search-badan-usaha-detail/TUJPendINkZVbDViZitLdHlNd09RUT09</t>
        </is>
      </c>
      <c r="F78" t="n">
        <v>2</v>
      </c>
      <c r="G78" t="inlineStr">
        <is>
          <t>BG001, BG009</t>
        </is>
      </c>
      <c r="H78" t="inlineStr">
        <is>
          <t>16 Agustus 2023</t>
        </is>
      </c>
      <c r="I78" s="2" t="n">
        <v>46352</v>
      </c>
      <c r="J78" t="inlineStr">
        <is>
          <t>Disetujui</t>
        </is>
      </c>
      <c r="K78" t="n">
        <v>87</v>
      </c>
      <c r="L78" t="inlineStr">
        <is>
          <t>26 November 2026</t>
        </is>
      </c>
      <c r="M78" t="inlineStr">
        <is>
          <t>Konstruksi Gedung Hunian, Konstruksi Gedung Lainnya</t>
        </is>
      </c>
      <c r="N78" t="inlineStr">
        <is>
          <t>K</t>
        </is>
      </c>
      <c r="O78" t="inlineStr">
        <is>
          <t>20231126</t>
        </is>
      </c>
      <c r="P78" t="inlineStr">
        <is>
          <t>Jawa Timur</t>
        </is>
      </c>
      <c r="Q78" t="inlineStr"/>
    </row>
    <row r="79">
      <c r="A79" t="inlineStr">
        <is>
          <t>YUMAR MUSTIKA JAYA</t>
        </is>
      </c>
      <c r="B79" t="inlineStr">
        <is>
          <t>Kota Balikpapan</t>
        </is>
      </c>
      <c r="C79" t="inlineStr">
        <is>
          <t>085752915351</t>
        </is>
      </c>
      <c r="D79" t="inlineStr">
        <is>
          <t>yumarmustikajaya@gmail.com</t>
        </is>
      </c>
      <c r="E79" t="inlineStr">
        <is>
          <t>https://lpjk.pu.go.id/search-badan-usaha-detail/RmZ1N0tYN2N5ZGNrN1pUeTFUd2hZUT09</t>
        </is>
      </c>
      <c r="F79" t="n">
        <v>1</v>
      </c>
      <c r="G79" t="inlineStr">
        <is>
          <t>BG005</t>
        </is>
      </c>
      <c r="H79" t="inlineStr">
        <is>
          <t>7 Juni 2023</t>
        </is>
      </c>
      <c r="I79" s="2" t="n">
        <v>46352</v>
      </c>
      <c r="J79" t="inlineStr">
        <is>
          <t>Disetujui</t>
        </is>
      </c>
      <c r="K79" t="n">
        <v>87</v>
      </c>
      <c r="L79" t="inlineStr">
        <is>
          <t>26 November 2026</t>
        </is>
      </c>
      <c r="M79" t="inlineStr">
        <is>
          <t>Konstruksi Gedung Kesehatan</t>
        </is>
      </c>
      <c r="N79" t="inlineStr">
        <is>
          <t>K</t>
        </is>
      </c>
      <c r="O79" t="inlineStr">
        <is>
          <t>20231126</t>
        </is>
      </c>
      <c r="P79" t="inlineStr">
        <is>
          <t>Kalimantan Timur</t>
        </is>
      </c>
      <c r="Q79" t="inlineStr"/>
    </row>
    <row r="80">
      <c r="A80" t="inlineStr">
        <is>
          <t>ZEKON INDONESIA</t>
        </is>
      </c>
      <c r="B80" t="inlineStr">
        <is>
          <t>Kota Bandung</t>
        </is>
      </c>
      <c r="C80" t="inlineStr">
        <is>
          <t>02263722092</t>
        </is>
      </c>
      <c r="D80" t="inlineStr">
        <is>
          <t>info@zekon.co.id</t>
        </is>
      </c>
      <c r="E80" t="inlineStr">
        <is>
          <t>https://lpjk.pu.go.id/search-badan-usaha-detail/OEFDZ283NHdESlh1N2ZYY1BrcE1Ydz09</t>
        </is>
      </c>
      <c r="F80" t="n">
        <v>2</v>
      </c>
      <c r="G80" t="inlineStr">
        <is>
          <t>BG002, BG008</t>
        </is>
      </c>
      <c r="H80" t="inlineStr">
        <is>
          <t>8 Juli 2013</t>
        </is>
      </c>
      <c r="I80" s="2" t="n">
        <v>46352</v>
      </c>
      <c r="J80" t="inlineStr">
        <is>
          <t>Disetujui</t>
        </is>
      </c>
      <c r="K80" t="n">
        <v>87</v>
      </c>
      <c r="L80" t="inlineStr">
        <is>
          <t>26 November 2026</t>
        </is>
      </c>
      <c r="M80" t="inlineStr">
        <is>
          <t>Konstruksi Gedung Perkantoran, Konstruksi Gedung Tempat Hiburan dan Olahraga</t>
        </is>
      </c>
      <c r="N80" t="inlineStr">
        <is>
          <t>K</t>
        </is>
      </c>
      <c r="O80" t="inlineStr">
        <is>
          <t>20231124</t>
        </is>
      </c>
      <c r="P80" t="inlineStr">
        <is>
          <t>Jawa Barat</t>
        </is>
      </c>
      <c r="Q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6"/>
  <sheetViews>
    <sheetView workbookViewId="0">
      <selection activeCell="A1" sqref="A1"/>
    </sheetView>
  </sheetViews>
  <sheetFormatPr baseColWidth="8" defaultRowHeight="15"/>
  <cols>
    <col width="30" customWidth="1" min="1" max="1"/>
    <col width="27" customWidth="1" min="2" max="2"/>
    <col width="16" customWidth="1" min="3" max="3"/>
    <col width="40"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ANUGRAH ANANDA</t>
        </is>
      </c>
      <c r="B2" t="inlineStr">
        <is>
          <t>Kab. Bekasi</t>
        </is>
      </c>
      <c r="C2" t="inlineStr">
        <is>
          <t>0895372219444</t>
        </is>
      </c>
      <c r="D2" t="inlineStr">
        <is>
          <t>anugrahananda@emailsaya.com</t>
        </is>
      </c>
      <c r="E2" t="inlineStr">
        <is>
          <t>https://lpjk.pu.go.id/search-badan-usaha-detail/aGVxYjFjSFdub3VJZXB3UWsyRmRiQT09</t>
        </is>
      </c>
      <c r="F2" t="n">
        <v>2</v>
      </c>
      <c r="G2" t="inlineStr">
        <is>
          <t>BG005</t>
        </is>
      </c>
      <c r="H2" t="inlineStr">
        <is>
          <t>20 September 2002</t>
        </is>
      </c>
      <c r="I2" s="2" t="n">
        <v>46325</v>
      </c>
      <c r="J2" t="inlineStr">
        <is>
          <t>Disetujui</t>
        </is>
      </c>
      <c r="K2" t="n">
        <v>60</v>
      </c>
      <c r="L2" t="inlineStr">
        <is>
          <t>30 Oktober 2026</t>
        </is>
      </c>
      <c r="M2" t="inlineStr">
        <is>
          <t>Konstruksi Gedung Kesehatan</t>
        </is>
      </c>
      <c r="N2" t="inlineStr">
        <is>
          <t>K</t>
        </is>
      </c>
      <c r="O2" t="inlineStr">
        <is>
          <t>20231027</t>
        </is>
      </c>
      <c r="P2" t="inlineStr">
        <is>
          <t>Jawa Barat</t>
        </is>
      </c>
      <c r="Q2" s="3">
        <f>HYPERLINK("https://wa.me/62895372219444?text=*[PENGINGAT MASA BERLAKU SBU ANUGRAH ANANDA]*%0A%0AYth. Pimpinan ANUGRAH ANANDA,%0AMohon izin menginformasikan status SBU Anda di sistem LPJK:%0A%0A📄 SBU: BG005%0A📅 Expired: 30 Oktober 2026 (60 Hari Lagi)%0A%0AKami tim PT. ESDEA Assistance Management siap men-support proses perpanjangan segera agar administrasi proyek tidak terhambat%0A%0AApakah boleh saya bantu siapkan estimasi biaya dan waktu pengerjaannya?.", "Hubungi")</f>
        <v/>
      </c>
    </row>
    <row r="3">
      <c r="A3" t="inlineStr">
        <is>
          <t>AYRIN RIZKY PERSADA</t>
        </is>
      </c>
      <c r="B3" t="inlineStr">
        <is>
          <t>Kab. Bogor</t>
        </is>
      </c>
      <c r="C3" t="inlineStr">
        <is>
          <t>081383223999</t>
        </is>
      </c>
      <c r="D3" t="inlineStr">
        <is>
          <t>ayrinrizkypersadapt@gmail.com</t>
        </is>
      </c>
      <c r="E3" t="inlineStr">
        <is>
          <t>https://lpjk.pu.go.id/search-badan-usaha-detail/K2JqVkhCNThnZ1VZQm51T2xwbjJDdz09</t>
        </is>
      </c>
      <c r="F3" t="n">
        <v>1</v>
      </c>
      <c r="G3" t="inlineStr">
        <is>
          <t>BG001</t>
        </is>
      </c>
      <c r="H3" t="inlineStr">
        <is>
          <t>21 Maret 2023</t>
        </is>
      </c>
      <c r="I3" s="2" t="n">
        <v>46325</v>
      </c>
      <c r="J3" t="inlineStr">
        <is>
          <t>Disetujui</t>
        </is>
      </c>
      <c r="K3" t="n">
        <v>60</v>
      </c>
      <c r="L3" t="inlineStr">
        <is>
          <t>30 Oktober 2026</t>
        </is>
      </c>
      <c r="M3" t="inlineStr">
        <is>
          <t>Konstruksi Gedung Hunian</t>
        </is>
      </c>
      <c r="N3" t="inlineStr">
        <is>
          <t>K</t>
        </is>
      </c>
      <c r="O3" t="inlineStr">
        <is>
          <t>20231024</t>
        </is>
      </c>
      <c r="P3" t="inlineStr">
        <is>
          <t>Jawa Barat</t>
        </is>
      </c>
      <c r="Q3" s="3">
        <f>HYPERLINK("https://wa.me/6281383223999?text=*[PENGINGAT MASA BERLAKU SBU AYRIN RIZKY PERSADA]*%0A%0AYth. Pimpinan AYRIN RIZKY PERSADA,%0AMohon izin menginformasikan status SBU Anda di sistem LPJK:%0A%0A📄 SBU: BG001%0A📅 Expired: 30 Oktober 2026 (60 Hari Lagi)%0A%0AKami tim PT. ESDEA Assistance Management siap men-support proses perpanjangan segera agar administrasi proyek tidak terhambat%0A%0AApakah boleh saya bantu siapkan estimasi biaya dan waktu pengerjaannya?.", "Hubungi")</f>
        <v/>
      </c>
    </row>
    <row r="4">
      <c r="A4" t="inlineStr">
        <is>
          <t>BAHANA SUPRINDO KREASI</t>
        </is>
      </c>
      <c r="B4" t="inlineStr">
        <is>
          <t>Kab. Bogor</t>
        </is>
      </c>
      <c r="C4" t="inlineStr">
        <is>
          <t>02183716418</t>
        </is>
      </c>
      <c r="D4" t="inlineStr">
        <is>
          <t>bsk.generalcontractor@gmail.com</t>
        </is>
      </c>
      <c r="E4" t="inlineStr">
        <is>
          <t>https://lpjk.pu.go.id/search-badan-usaha-detail/eithR1pnMkg1bDNENWZLZW8vSmNjQT09</t>
        </is>
      </c>
      <c r="F4" t="n">
        <v>2</v>
      </c>
      <c r="G4" t="inlineStr">
        <is>
          <t>BG009, BS001</t>
        </is>
      </c>
      <c r="H4" t="inlineStr">
        <is>
          <t>9 September 2016</t>
        </is>
      </c>
      <c r="I4" s="2" t="n">
        <v>46325</v>
      </c>
      <c r="J4" t="inlineStr">
        <is>
          <t>Disetujui</t>
        </is>
      </c>
      <c r="K4" t="n">
        <v>60</v>
      </c>
      <c r="L4" t="inlineStr">
        <is>
          <t>30 Oktober 2026</t>
        </is>
      </c>
      <c r="M4" t="inlineStr">
        <is>
          <t>Konstruksi Bangunan Sipil Jalan, Konstruksi Gedung Lainnya</t>
        </is>
      </c>
      <c r="N4" t="inlineStr">
        <is>
          <t>M</t>
        </is>
      </c>
      <c r="O4" t="inlineStr">
        <is>
          <t>20231014</t>
        </is>
      </c>
      <c r="P4" t="inlineStr">
        <is>
          <t>Jawa Barat</t>
        </is>
      </c>
      <c r="Q4" t="inlineStr"/>
    </row>
    <row r="5">
      <c r="A5" t="inlineStr">
        <is>
          <t>GELORA SELARAS IKHTIAR</t>
        </is>
      </c>
      <c r="B5" t="inlineStr">
        <is>
          <t>Kab. Bogor</t>
        </is>
      </c>
      <c r="C5" t="inlineStr">
        <is>
          <t>0218700028</t>
        </is>
      </c>
      <c r="D5" t="inlineStr">
        <is>
          <t>ptgesit@gmail.com</t>
        </is>
      </c>
      <c r="E5" t="inlineStr">
        <is>
          <t>https://lpjk.pu.go.id/search-badan-usaha-detail/QjJLWmdoQ2dYZWJCbW95dGdPWmZqZz09</t>
        </is>
      </c>
      <c r="F5" t="n">
        <v>2</v>
      </c>
      <c r="G5" t="inlineStr">
        <is>
          <t>BS005, BS006</t>
        </is>
      </c>
      <c r="H5" t="inlineStr">
        <is>
          <t>19 Juli 2021</t>
        </is>
      </c>
      <c r="I5" s="2" t="n">
        <v>46325</v>
      </c>
      <c r="J5" t="inlineStr">
        <is>
          <t>Disetujui</t>
        </is>
      </c>
      <c r="K5" t="n">
        <v>60</v>
      </c>
      <c r="L5" t="inlineStr">
        <is>
          <t>30 Oktober 2026</t>
        </is>
      </c>
      <c r="M5" t="inlineStr">
        <is>
          <t>Konstruksi Bangunan Sipil Pengolahan Air Bersih, Konstruksi Bangunan Sipil Prasarana dan Sarana Sistem Pengolahan Limbah Padat, Cair, dan Gas</t>
        </is>
      </c>
      <c r="N5" t="inlineStr">
        <is>
          <t>K</t>
        </is>
      </c>
      <c r="O5" t="inlineStr">
        <is>
          <t>20231026</t>
        </is>
      </c>
      <c r="P5" t="inlineStr">
        <is>
          <t>Jawa Barat</t>
        </is>
      </c>
      <c r="Q5" t="inlineStr"/>
    </row>
    <row r="6">
      <c r="A6" t="inlineStr">
        <is>
          <t>HAROAN ARTA NIHITA</t>
        </is>
      </c>
      <c r="B6" t="inlineStr">
        <is>
          <t>Kota Bekasi</t>
        </is>
      </c>
      <c r="C6" t="inlineStr">
        <is>
          <t>02198227641</t>
        </is>
      </c>
      <c r="D6" t="inlineStr">
        <is>
          <t>ptharoanartanihita2019@gmail.com</t>
        </is>
      </c>
      <c r="E6" t="inlineStr">
        <is>
          <t>https://lpjk.pu.go.id/search-badan-usaha-detail/VVhsd1NQVGRwNTVPa1hYZmVTalNYZz09</t>
        </is>
      </c>
      <c r="F6" t="n">
        <v>2</v>
      </c>
      <c r="G6" t="inlineStr">
        <is>
          <t>RK002, RK003</t>
        </is>
      </c>
      <c r="H6" t="inlineStr">
        <is>
          <t>20 Juli 2018</t>
        </is>
      </c>
      <c r="I6" s="2" t="n">
        <v>46325</v>
      </c>
      <c r="J6" t="inlineStr">
        <is>
          <t>Disetujui</t>
        </is>
      </c>
      <c r="K6" t="n">
        <v>60</v>
      </c>
      <c r="L6" t="inlineStr">
        <is>
          <t>30 Oktober 2026</t>
        </is>
      </c>
      <c r="M6" t="inlineStr">
        <is>
          <t>Jasa Rekayasa Pekerjaan Teknik Sipil Sumber Daya Air, Jasa Rekayasa Pekerjaan Teknik Sipil Transportasi</t>
        </is>
      </c>
      <c r="N6" t="inlineStr">
        <is>
          <t>K</t>
        </is>
      </c>
      <c r="O6" t="inlineStr">
        <is>
          <t>20231018</t>
        </is>
      </c>
      <c r="P6" t="inlineStr">
        <is>
          <t>Jawa Barat</t>
        </is>
      </c>
      <c r="Q6" t="inlineStr"/>
    </row>
    <row r="7">
      <c r="A7" t="inlineStr">
        <is>
          <t>IRKA JAYA ERKON</t>
        </is>
      </c>
      <c r="B7" t="inlineStr">
        <is>
          <t>Kab. Bekasi</t>
        </is>
      </c>
      <c r="C7" t="inlineStr">
        <is>
          <t>0818618374</t>
        </is>
      </c>
      <c r="D7" t="inlineStr">
        <is>
          <t>irkajaya.erkon@gmail.com</t>
        </is>
      </c>
      <c r="E7" t="inlineStr">
        <is>
          <t>https://lpjk.pu.go.id/search-badan-usaha-detail/N0pQQ09YaTRYRzVqWGdJYXk0eFZGZz09</t>
        </is>
      </c>
      <c r="F7" t="n">
        <v>1</v>
      </c>
      <c r="G7" t="inlineStr">
        <is>
          <t>IN008</t>
        </is>
      </c>
      <c r="H7" t="inlineStr">
        <is>
          <t>8 Juli 2022</t>
        </is>
      </c>
      <c r="I7" s="2" t="n">
        <v>46325</v>
      </c>
      <c r="J7" t="inlineStr">
        <is>
          <t>Pembekuan</t>
        </is>
      </c>
      <c r="K7" t="n">
        <v>60</v>
      </c>
      <c r="L7" t="inlineStr">
        <is>
          <t>30 Oktober 2026</t>
        </is>
      </c>
      <c r="M7" t="inlineStr">
        <is>
          <t>Instalasi Pendingin Dan Ventilasi Udara</t>
        </is>
      </c>
      <c r="N7" t="inlineStr">
        <is>
          <t>Spesialis</t>
        </is>
      </c>
      <c r="O7" t="inlineStr">
        <is>
          <t>20231027</t>
        </is>
      </c>
      <c r="P7" t="inlineStr">
        <is>
          <t>Jawa Barat</t>
        </is>
      </c>
      <c r="Q7" s="3">
        <f>HYPERLINK("https://wa.me/62818618374?text=*[PENGINGAT MASA BERLAKU SBU IRKA JAYA ERKON]*%0A%0AYth. Pimpinan IRKA JAYA ERKON,%0AMohon izin menginformasikan status SBU Anda di sistem LPJK:%0A%0A📄 SBU: IN008%0A📅 Expired: 30 Oktober 2026 (60 Hari Lagi)%0A%0AKami tim PT. ESDEA Assistance Management siap men-support proses perpanjangan segera agar administrasi proyek tidak terhambat%0A%0AApakah boleh saya bantu siapkan estimasi biaya dan waktu pengerjaannya?.", "Hubungi")</f>
        <v/>
      </c>
    </row>
    <row r="8">
      <c r="A8" t="inlineStr">
        <is>
          <t>MEGA BUANA</t>
        </is>
      </c>
      <c r="B8" t="inlineStr">
        <is>
          <t>Kab. Bekasi</t>
        </is>
      </c>
      <c r="C8" t="inlineStr">
        <is>
          <t>081281790599</t>
        </is>
      </c>
      <c r="D8" t="inlineStr">
        <is>
          <t>megabuana@emailsaya.com</t>
        </is>
      </c>
      <c r="E8" t="inlineStr">
        <is>
          <t>https://lpjk.pu.go.id/search-badan-usaha-detail/N1NkYWU4c2VEYzFleTRKZ0luclFTUT09</t>
        </is>
      </c>
      <c r="F8" t="n">
        <v>1</v>
      </c>
      <c r="G8" t="inlineStr">
        <is>
          <t>BG005</t>
        </is>
      </c>
      <c r="H8" t="inlineStr">
        <is>
          <t>20 September 2002</t>
        </is>
      </c>
      <c r="I8" s="2" t="n">
        <v>46325</v>
      </c>
      <c r="J8" t="inlineStr">
        <is>
          <t>Disetujui</t>
        </is>
      </c>
      <c r="K8" t="n">
        <v>60</v>
      </c>
      <c r="L8" t="inlineStr">
        <is>
          <t>30 Oktober 2026</t>
        </is>
      </c>
      <c r="M8" t="inlineStr">
        <is>
          <t>Konstruksi Gedung Kesehatan</t>
        </is>
      </c>
      <c r="N8" t="inlineStr">
        <is>
          <t>K</t>
        </is>
      </c>
      <c r="O8" t="inlineStr">
        <is>
          <t>20231027</t>
        </is>
      </c>
      <c r="P8" t="inlineStr">
        <is>
          <t>Jawa Barat</t>
        </is>
      </c>
      <c r="Q8" s="3">
        <f>HYPERLINK("https://wa.me/6281281790599?text=*[PENGINGAT MASA BERLAKU SBU MEGA BUANA]*%0A%0AYth. Pimpinan MEGA BUANA,%0AMohon izin menginformasikan status SBU Anda di sistem LPJK:%0A%0A📄 SBU: BG005%0A📅 Expired: 30 Oktober 2026 (60 Hari Lagi)%0A%0AKami tim PT. ESDEA Assistance Management siap men-support proses perpanjangan segera agar administrasi proyek tidak terhambat%0A%0AApakah boleh saya bantu siapkan estimasi biaya dan waktu pengerjaannya?.", "Hubungi")</f>
        <v/>
      </c>
    </row>
    <row r="9">
      <c r="A9" t="inlineStr">
        <is>
          <t>MEGAH GELORA UTAMA</t>
        </is>
      </c>
      <c r="B9" t="inlineStr">
        <is>
          <t>Kota Bekasi</t>
        </is>
      </c>
      <c r="C9" t="inlineStr">
        <is>
          <t>081310066673</t>
        </is>
      </c>
      <c r="D9" t="inlineStr">
        <is>
          <t>megah.gelora.utama@gmail.com</t>
        </is>
      </c>
      <c r="E9" t="inlineStr">
        <is>
          <t>https://lpjk.pu.go.id/search-badan-usaha-detail/VzhSWWl4QjFkN1pMci9WTGdzcUVJZz09</t>
        </is>
      </c>
      <c r="F9" t="n">
        <v>2</v>
      </c>
      <c r="G9" t="inlineStr">
        <is>
          <t>BS001</t>
        </is>
      </c>
      <c r="H9" t="inlineStr">
        <is>
          <t>22 September 2014</t>
        </is>
      </c>
      <c r="I9" s="2" t="n">
        <v>46325</v>
      </c>
      <c r="J9" t="inlineStr">
        <is>
          <t>Pembekuan</t>
        </is>
      </c>
      <c r="K9" t="n">
        <v>60</v>
      </c>
      <c r="L9" t="inlineStr">
        <is>
          <t>30 Oktober 2026</t>
        </is>
      </c>
      <c r="M9" t="inlineStr">
        <is>
          <t>Konstruksi Bangunan Sipil Jalan</t>
        </is>
      </c>
      <c r="N9" t="inlineStr">
        <is>
          <t>M</t>
        </is>
      </c>
      <c r="O9" t="inlineStr">
        <is>
          <t>20231030</t>
        </is>
      </c>
      <c r="P9" t="inlineStr">
        <is>
          <t>Jawa Barat</t>
        </is>
      </c>
      <c r="Q9" s="3">
        <f>HYPERLINK("https://wa.me/6281310066673?text=*[PENGINGAT MASA BERLAKU SBU MEGAH GELORA UTAMA]*%0A%0AYth. Pimpinan MEGAH GELORA UTAMA,%0AMohon izin menginformasikan status SBU Anda di sistem LPJK:%0A%0A📄 SBU: BS001%0A📅 Expired: 30 Oktober 2026 (60 Hari Lagi)%0A%0AKami tim PT. ESDEA Assistance Management siap men-support proses perpanjangan segera agar administrasi proyek tidak terhambat%0A%0AApakah boleh saya bantu siapkan estimasi biaya dan waktu pengerjaannya?.", "Hubungi")</f>
        <v/>
      </c>
    </row>
    <row r="10">
      <c r="A10" t="inlineStr">
        <is>
          <t>PUTRA ALFINDO CONSULTAMA</t>
        </is>
      </c>
      <c r="B10" t="inlineStr">
        <is>
          <t>Kota Adm. Jakarta Timur</t>
        </is>
      </c>
      <c r="C10" t="inlineStr">
        <is>
          <t>081237775751</t>
        </is>
      </c>
      <c r="D10" t="inlineStr">
        <is>
          <t>putraalfindo2@gmail.com</t>
        </is>
      </c>
      <c r="E10" t="inlineStr">
        <is>
          <t>https://lpjk.pu.go.id/search-badan-usaha-detail/MFkrejlybnZHbW01WUdRMnIvZkQ4QT09</t>
        </is>
      </c>
      <c r="F10" t="n">
        <v>4</v>
      </c>
      <c r="G10" t="inlineStr">
        <is>
          <t>BG002, BG005, BG006, BG009</t>
        </is>
      </c>
      <c r="H10" t="inlineStr">
        <is>
          <t>26 Juli 2021</t>
        </is>
      </c>
      <c r="I10" s="2" t="n">
        <v>46325</v>
      </c>
      <c r="J10" t="inlineStr">
        <is>
          <t>Pencabutan</t>
        </is>
      </c>
      <c r="K10" t="n">
        <v>60</v>
      </c>
      <c r="L10" t="inlineStr">
        <is>
          <t>30 Oktober 2026</t>
        </is>
      </c>
      <c r="M10" t="inlineStr">
        <is>
          <t>Konstruksi Gedung Kesehatan, Konstruksi Gedung Lainnya, Konstruksi Gedung Pendidikan, Konstruksi Gedung Perkantoran</t>
        </is>
      </c>
      <c r="N10" t="inlineStr">
        <is>
          <t>K</t>
        </is>
      </c>
      <c r="O10" t="inlineStr">
        <is>
          <t>20231025, 20231027</t>
        </is>
      </c>
      <c r="P10" t="inlineStr">
        <is>
          <t>DKI Jakarta</t>
        </is>
      </c>
      <c r="Q10" s="3">
        <f>HYPERLINK("https://wa.me/6281237775751?text=*[PENGINGAT MASA BERLAKU SBU PUTRA ALFINDO CONSULTAMA]*%0A%0AYth. Pimpinan PUTRA ALFINDO CONSULTAMA,%0AMohon izin menginformasikan status SBU Anda di sistem LPJK:%0A%0A📄 SBU: BG002, BG005, BG006, BG009%0A📅 Expired: 30 Oktober 2026 (60 Hari Lagi)%0A%0AKami tim PT. ESDEA Assistance Management siap men-support proses perpanjangan segera agar administrasi proyek tidak terhambat%0A%0AApakah boleh saya bantu siapkan estimasi biaya dan waktu pengerjaannya?.", "Hubungi")</f>
        <v/>
      </c>
    </row>
    <row r="11">
      <c r="A11" t="inlineStr">
        <is>
          <t>REZA PUTRA PRATAMA</t>
        </is>
      </c>
      <c r="B11" t="inlineStr">
        <is>
          <t>Kab. Bekasi</t>
        </is>
      </c>
      <c r="C11" t="inlineStr">
        <is>
          <t>085281423613</t>
        </is>
      </c>
      <c r="D11" t="inlineStr">
        <is>
          <t>r.putrapratama@yahoo.com</t>
        </is>
      </c>
      <c r="E11" t="inlineStr">
        <is>
          <t>https://lpjk.pu.go.id/search-badan-usaha-detail/QWNLRUVUVVYrM2ZjNUxwZlI4cDJaUT09</t>
        </is>
      </c>
      <c r="F11" t="n">
        <v>1</v>
      </c>
      <c r="G11" t="inlineStr">
        <is>
          <t>BS004</t>
        </is>
      </c>
      <c r="H11" t="inlineStr">
        <is>
          <t>29 Januari 2018</t>
        </is>
      </c>
      <c r="I11" s="2" t="n">
        <v>46325</v>
      </c>
      <c r="J11" t="inlineStr">
        <is>
          <t>Disetujui</t>
        </is>
      </c>
      <c r="K11" t="n">
        <v>60</v>
      </c>
      <c r="L11" t="inlineStr">
        <is>
          <t>30 Oktober 2026</t>
        </is>
      </c>
      <c r="M11" t="inlineStr">
        <is>
          <t>Konstruksi Jaringan Irigasi dan Drainase</t>
        </is>
      </c>
      <c r="N11" t="inlineStr">
        <is>
          <t>K</t>
        </is>
      </c>
      <c r="O11" t="inlineStr">
        <is>
          <t>20231028</t>
        </is>
      </c>
      <c r="P11" t="inlineStr">
        <is>
          <t>Jawa Barat</t>
        </is>
      </c>
      <c r="Q11" s="3">
        <f>HYPERLINK("https://wa.me/6285281423613?text=*[PENGINGAT MASA BERLAKU SBU REZA PUTRA PRATAMA]*%0A%0AYth. Pimpinan REZA PUTRA PRATAMA,%0AMohon izin menginformasikan status SBU Anda di sistem LPJK:%0A%0A📄 SBU: BS004%0A📅 Expired: 30 Oktober 2026 (60 Hari Lagi)%0A%0AKami tim PT. ESDEA Assistance Management siap men-support proses perpanjangan segera agar administrasi proyek tidak terhambat%0A%0AApakah boleh saya bantu siapkan estimasi biaya dan waktu pengerjaannya?.", "Hubungi")</f>
        <v/>
      </c>
    </row>
    <row r="12">
      <c r="A12" t="inlineStr">
        <is>
          <t>ABYUDAYA CIPTA MANDIRI</t>
        </is>
      </c>
      <c r="B12" t="inlineStr">
        <is>
          <t>Kota Banjarmasin</t>
        </is>
      </c>
      <c r="C12" t="inlineStr">
        <is>
          <t>085103248989</t>
        </is>
      </c>
      <c r="D12" t="inlineStr">
        <is>
          <t>abyudayaciptamandiri@gmail.com</t>
        </is>
      </c>
      <c r="E12" t="inlineStr">
        <is>
          <t>https://lpjk.pu.go.id/search-badan-usaha-detail/RklSUXplZkNUVlZXS000SVNZR1NjQT09</t>
        </is>
      </c>
      <c r="F12" t="n">
        <v>1</v>
      </c>
      <c r="G12" t="inlineStr">
        <is>
          <t>RK001</t>
        </is>
      </c>
      <c r="H12" t="inlineStr">
        <is>
          <t>6 September 2014</t>
        </is>
      </c>
      <c r="I12" s="2" t="n">
        <v>46325</v>
      </c>
      <c r="J12" t="inlineStr">
        <is>
          <t>Disetujui</t>
        </is>
      </c>
      <c r="K12" t="n">
        <v>60</v>
      </c>
      <c r="L12" t="inlineStr">
        <is>
          <t>30 Oktober 2026</t>
        </is>
      </c>
      <c r="M12" t="inlineStr">
        <is>
          <t>Jasa Rekayasa Konstruksi Bangunan Gedung Hunian dan Non Hunian</t>
        </is>
      </c>
      <c r="N12" t="inlineStr">
        <is>
          <t>K</t>
        </is>
      </c>
      <c r="O12" t="inlineStr">
        <is>
          <t>20231018</t>
        </is>
      </c>
      <c r="P12" t="inlineStr">
        <is>
          <t>Kalimantan Selatan</t>
        </is>
      </c>
      <c r="Q12" t="inlineStr"/>
    </row>
    <row r="13">
      <c r="A13" t="inlineStr">
        <is>
          <t>AGUNG ABADI</t>
        </is>
      </c>
      <c r="B13" t="inlineStr">
        <is>
          <t>Kab. Boyolali</t>
        </is>
      </c>
      <c r="C13" t="inlineStr">
        <is>
          <t>085728802913</t>
        </is>
      </c>
      <c r="D13" t="inlineStr">
        <is>
          <t>cv.agung.abadi.byl@gmail.com</t>
        </is>
      </c>
      <c r="E13" t="inlineStr">
        <is>
          <t>https://lpjk.pu.go.id/search-badan-usaha-detail/U1dobXpvMmk0dXB2RGtaWTFwcnl3Zz09</t>
        </is>
      </c>
      <c r="F13" t="n">
        <v>2</v>
      </c>
      <c r="G13" t="inlineStr">
        <is>
          <t>BG004</t>
        </is>
      </c>
      <c r="H13" t="inlineStr">
        <is>
          <t>7 Februari 1997</t>
        </is>
      </c>
      <c r="I13" s="2" t="n">
        <v>46325</v>
      </c>
      <c r="J13" t="inlineStr">
        <is>
          <t>Disetujui</t>
        </is>
      </c>
      <c r="K13" t="n">
        <v>60</v>
      </c>
      <c r="L13" t="inlineStr">
        <is>
          <t>30 Oktober 2026</t>
        </is>
      </c>
      <c r="M13" t="inlineStr">
        <is>
          <t>Konstruksi Gedung Perbelanjaan</t>
        </is>
      </c>
      <c r="N13" t="inlineStr">
        <is>
          <t>K</t>
        </is>
      </c>
      <c r="O13" t="inlineStr">
        <is>
          <t>20231023</t>
        </is>
      </c>
      <c r="P13" t="inlineStr">
        <is>
          <t>Jawa Tengah</t>
        </is>
      </c>
      <c r="Q13" t="inlineStr"/>
    </row>
    <row r="14">
      <c r="A14" t="inlineStr">
        <is>
          <t>AMANDA SEJAHTERA ABADI</t>
        </is>
      </c>
      <c r="B14" t="inlineStr">
        <is>
          <t>Kab. Tabalong</t>
        </is>
      </c>
      <c r="C14" t="inlineStr">
        <is>
          <t>085251773025</t>
        </is>
      </c>
      <c r="D14" t="inlineStr">
        <is>
          <t>amanda.sejahtera.abadi@gmail.com</t>
        </is>
      </c>
      <c r="E14" t="inlineStr">
        <is>
          <t>https://lpjk.pu.go.id/search-badan-usaha-detail/YmdMR1BXWnI5KytIQXRUM1RDNytsZz09</t>
        </is>
      </c>
      <c r="F14" t="n">
        <v>6</v>
      </c>
      <c r="G14" t="inlineStr">
        <is>
          <t>BG002, BG003, BG009</t>
        </is>
      </c>
      <c r="H14" t="inlineStr">
        <is>
          <t>18 Januari 2021</t>
        </is>
      </c>
      <c r="I14" s="2" t="n">
        <v>46325</v>
      </c>
      <c r="J14" t="inlineStr">
        <is>
          <t>Disetujui</t>
        </is>
      </c>
      <c r="K14" t="n">
        <v>60</v>
      </c>
      <c r="L14" t="inlineStr">
        <is>
          <t>30 Oktober 2026</t>
        </is>
      </c>
      <c r="M14" t="inlineStr">
        <is>
          <t>Konstruksi Gedung Industri, Konstruksi Gedung Lainnya, Konstruksi Gedung Perkantoran</t>
        </is>
      </c>
      <c r="N14" t="inlineStr">
        <is>
          <t>K</t>
        </is>
      </c>
      <c r="O14" t="inlineStr">
        <is>
          <t>20231017, 20231023, 20231024</t>
        </is>
      </c>
      <c r="P14" t="inlineStr">
        <is>
          <t>Kalimantan Selatan</t>
        </is>
      </c>
      <c r="Q14" t="inlineStr"/>
    </row>
    <row r="15">
      <c r="A15" t="inlineStr">
        <is>
          <t>ANGGA PERKASA</t>
        </is>
      </c>
      <c r="B15" t="inlineStr">
        <is>
          <t>Kota Mojokerto</t>
        </is>
      </c>
      <c r="C15" t="inlineStr">
        <is>
          <t>0321394601</t>
        </is>
      </c>
      <c r="D15" t="inlineStr">
        <is>
          <t>cvanggaperkasamojokerto@gmail.com</t>
        </is>
      </c>
      <c r="E15" t="inlineStr">
        <is>
          <t>https://lpjk.pu.go.id/search-badan-usaha-detail/QmIrNkRGZjE2OUR1ZDYwd0FXc1h5Zz09</t>
        </is>
      </c>
      <c r="F15" t="n">
        <v>1</v>
      </c>
      <c r="G15" t="inlineStr">
        <is>
          <t>BS004</t>
        </is>
      </c>
      <c r="H15" t="inlineStr">
        <is>
          <t>2 September 2000</t>
        </is>
      </c>
      <c r="I15" s="2" t="n">
        <v>46325</v>
      </c>
      <c r="J15" t="inlineStr">
        <is>
          <t>Disetujui</t>
        </is>
      </c>
      <c r="K15" t="n">
        <v>60</v>
      </c>
      <c r="L15" t="inlineStr">
        <is>
          <t>30 Oktober 2026</t>
        </is>
      </c>
      <c r="M15" t="inlineStr">
        <is>
          <t>Konstruksi Jaringan Irigasi dan Drainase</t>
        </is>
      </c>
      <c r="N15" t="inlineStr">
        <is>
          <t>K</t>
        </is>
      </c>
      <c r="O15" t="inlineStr">
        <is>
          <t>20231017</t>
        </is>
      </c>
      <c r="P15" t="inlineStr">
        <is>
          <t>Jawa Timur</t>
        </is>
      </c>
      <c r="Q15" t="inlineStr"/>
    </row>
    <row r="16">
      <c r="A16" t="inlineStr">
        <is>
          <t>ANUGERAH</t>
        </is>
      </c>
      <c r="B16" t="inlineStr">
        <is>
          <t>Kota Mataram</t>
        </is>
      </c>
      <c r="C16" t="inlineStr">
        <is>
          <t>08175775512</t>
        </is>
      </c>
      <c r="D16" t="inlineStr">
        <is>
          <t>ceve.anugerah@yahoo.com</t>
        </is>
      </c>
      <c r="E16" t="inlineStr">
        <is>
          <t>https://lpjk.pu.go.id/search-badan-usaha-detail/MHUzVTduZHJSYUl5WXozcS9idGN5Zz09</t>
        </is>
      </c>
      <c r="F16" t="n">
        <v>5</v>
      </c>
      <c r="G16" t="inlineStr">
        <is>
          <t>BG001, BG002, BG005, BG006, BG009</t>
        </is>
      </c>
      <c r="H16" t="inlineStr">
        <is>
          <t>29 Oktober 1993</t>
        </is>
      </c>
      <c r="I16" s="2" t="n">
        <v>46325</v>
      </c>
      <c r="J16" t="inlineStr">
        <is>
          <t>Pencabutan</t>
        </is>
      </c>
      <c r="K16" t="n">
        <v>60</v>
      </c>
      <c r="L16" t="inlineStr">
        <is>
          <t>30 Oktober 2026</t>
        </is>
      </c>
      <c r="M16" t="inlineStr">
        <is>
          <t>Konstruksi Gedung Hunian, Konstruksi Gedung Kesehatan, Konstruksi Gedung Lainnya, Konstruksi Gedung Pendidikan, Konstruksi Gedung Perkantoran</t>
        </is>
      </c>
      <c r="N16" t="inlineStr">
        <is>
          <t>K</t>
        </is>
      </c>
      <c r="O16" t="inlineStr">
        <is>
          <t>20231024, 20231026, 20231030</t>
        </is>
      </c>
      <c r="P16" t="inlineStr">
        <is>
          <t>Nusa Tenggara Barat</t>
        </is>
      </c>
      <c r="Q16" t="inlineStr"/>
    </row>
    <row r="17">
      <c r="A17" t="inlineStr">
        <is>
          <t>ANUGERAH MINDO KREASI</t>
        </is>
      </c>
      <c r="B17" t="inlineStr">
        <is>
          <t>Kota Serang</t>
        </is>
      </c>
      <c r="C17" t="inlineStr">
        <is>
          <t>085920156272</t>
        </is>
      </c>
      <c r="D17" t="inlineStr">
        <is>
          <t>ptanugerahmindokreasi@gmail.com</t>
        </is>
      </c>
      <c r="E17" t="inlineStr">
        <is>
          <t>https://lpjk.pu.go.id/search-badan-usaha-detail/NzNvemVDdCtrLzUyRVhaRzhqTGtGUT09</t>
        </is>
      </c>
      <c r="F17" t="n">
        <v>1</v>
      </c>
      <c r="G17" t="inlineStr">
        <is>
          <t>AR001</t>
        </is>
      </c>
      <c r="H17" t="inlineStr">
        <is>
          <t>30 Mei 2022</t>
        </is>
      </c>
      <c r="I17" s="2" t="n">
        <v>46325</v>
      </c>
      <c r="J17" t="inlineStr">
        <is>
          <t>Disetujui</t>
        </is>
      </c>
      <c r="K17" t="n">
        <v>60</v>
      </c>
      <c r="L17" t="inlineStr">
        <is>
          <t>30 Oktober 2026</t>
        </is>
      </c>
      <c r="M17" t="inlineStr">
        <is>
          <t>Jasa Arsitektural Bangunan Gedung Hunian dan Non Hunian</t>
        </is>
      </c>
      <c r="N17" t="inlineStr">
        <is>
          <t>K</t>
        </is>
      </c>
      <c r="O17" t="inlineStr">
        <is>
          <t>20231006</t>
        </is>
      </c>
      <c r="P17" t="inlineStr">
        <is>
          <t>Banten</t>
        </is>
      </c>
      <c r="Q17" t="inlineStr"/>
    </row>
    <row r="18">
      <c r="A18" t="inlineStr">
        <is>
          <t>ART DEFA</t>
        </is>
      </c>
      <c r="B18" t="inlineStr">
        <is>
          <t>Kab. Sragen</t>
        </is>
      </c>
      <c r="C18" t="inlineStr">
        <is>
          <t>081393616616</t>
        </is>
      </c>
      <c r="D18" t="inlineStr">
        <is>
          <t>artdefa@gmail.com</t>
        </is>
      </c>
      <c r="E18" t="inlineStr">
        <is>
          <t>https://lpjk.pu.go.id/search-badan-usaha-detail/NVY5dzNrcU5ZWnFVcGxEZjl4L3poUT09</t>
        </is>
      </c>
      <c r="F18" t="n">
        <v>3</v>
      </c>
      <c r="G18" t="inlineStr">
        <is>
          <t>BG006, BG009, BS001</t>
        </is>
      </c>
      <c r="H18" t="inlineStr">
        <is>
          <t>17 Oktober 2023</t>
        </is>
      </c>
      <c r="I18" s="2" t="n">
        <v>46325</v>
      </c>
      <c r="J18" t="inlineStr">
        <is>
          <t>Disetujui</t>
        </is>
      </c>
      <c r="K18" t="n">
        <v>60</v>
      </c>
      <c r="L18" t="inlineStr">
        <is>
          <t>30 Oktober 2026</t>
        </is>
      </c>
      <c r="M18" t="inlineStr">
        <is>
          <t>Konstruksi Bangunan Sipil Jalan, Konstruksi Gedung Lainnya, Konstruksi Gedung Pendidikan</t>
        </is>
      </c>
      <c r="N18" t="inlineStr">
        <is>
          <t>K</t>
        </is>
      </c>
      <c r="O18" t="inlineStr">
        <is>
          <t>20231030</t>
        </is>
      </c>
      <c r="P18" t="inlineStr">
        <is>
          <t>Jawa Tengah</t>
        </is>
      </c>
      <c r="Q18" t="inlineStr"/>
    </row>
    <row r="19">
      <c r="A19" t="inlineStr">
        <is>
          <t>ASPRINDO PERKASA</t>
        </is>
      </c>
      <c r="B19" t="inlineStr">
        <is>
          <t>Kota Payakumbuh</t>
        </is>
      </c>
      <c r="C19" t="inlineStr">
        <is>
          <t>082386977446</t>
        </is>
      </c>
      <c r="D19" t="inlineStr">
        <is>
          <t>asparindoperkasa@gmail.com</t>
        </is>
      </c>
      <c r="E19" t="inlineStr">
        <is>
          <t>https://lpjk.pu.go.id/search-badan-usaha-detail/MDVEMVVrUWdxaWFkMkFoZFl0STlDUT09</t>
        </is>
      </c>
      <c r="F19" t="n">
        <v>1</v>
      </c>
      <c r="G19" t="inlineStr">
        <is>
          <t>BG009</t>
        </is>
      </c>
      <c r="H19" t="inlineStr">
        <is>
          <t>21 November 2016</t>
        </is>
      </c>
      <c r="I19" s="2" t="n">
        <v>46325</v>
      </c>
      <c r="J19" t="inlineStr">
        <is>
          <t>Disetujui</t>
        </is>
      </c>
      <c r="K19" t="n">
        <v>60</v>
      </c>
      <c r="L19" t="inlineStr">
        <is>
          <t>30 Oktober 2026</t>
        </is>
      </c>
      <c r="M19" t="inlineStr">
        <is>
          <t>Konstruksi Gedung Lainnya</t>
        </is>
      </c>
      <c r="N19" t="inlineStr">
        <is>
          <t>K</t>
        </is>
      </c>
      <c r="O19" t="inlineStr">
        <is>
          <t>20231029</t>
        </is>
      </c>
      <c r="P19" t="inlineStr">
        <is>
          <t>Sumatera Barat</t>
        </is>
      </c>
      <c r="Q19" t="inlineStr"/>
    </row>
    <row r="20">
      <c r="A20" t="inlineStr">
        <is>
          <t>ASTAKA</t>
        </is>
      </c>
      <c r="B20" t="inlineStr">
        <is>
          <t>Kota Madiun</t>
        </is>
      </c>
      <c r="C20" t="inlineStr">
        <is>
          <t>0813 5745 4368</t>
        </is>
      </c>
      <c r="D20" t="inlineStr">
        <is>
          <t>kholiqsori@gmail.com</t>
        </is>
      </c>
      <c r="E20" t="inlineStr">
        <is>
          <t>https://lpjk.pu.go.id/search-badan-usaha-detail/SU8zZU5NaklnUnpFZnJ4Y1BqUnRrQT09</t>
        </is>
      </c>
      <c r="F20" t="n">
        <v>10</v>
      </c>
      <c r="G20" t="inlineStr">
        <is>
          <t>BG001, BG002, BG005, BG006, BG009</t>
        </is>
      </c>
      <c r="H20" t="inlineStr">
        <is>
          <t>25 Februari 2021</t>
        </is>
      </c>
      <c r="I20" s="2" t="n">
        <v>46325</v>
      </c>
      <c r="J20" t="inlineStr">
        <is>
          <t>Disetujui</t>
        </is>
      </c>
      <c r="K20" t="n">
        <v>60</v>
      </c>
      <c r="L20" t="inlineStr">
        <is>
          <t>30 Oktober 2026</t>
        </is>
      </c>
      <c r="M20" t="inlineStr">
        <is>
          <t>Konstruksi Gedung Hunian, Konstruksi Gedung Kesehatan, Konstruksi Gedung Lainnya, Konstruksi Gedung Pendidikan, Konstruksi Gedung Perkantoran</t>
        </is>
      </c>
      <c r="N20" t="inlineStr">
        <is>
          <t>K</t>
        </is>
      </c>
      <c r="O20" t="inlineStr">
        <is>
          <t>20231027</t>
        </is>
      </c>
      <c r="P20" t="inlineStr">
        <is>
          <t>Jawa Timur</t>
        </is>
      </c>
      <c r="Q20" t="inlineStr"/>
    </row>
    <row r="21">
      <c r="A21" t="inlineStr">
        <is>
          <t>BAYU KENCANA PUTRA</t>
        </is>
      </c>
      <c r="B21" t="inlineStr">
        <is>
          <t>Kab. Rembang</t>
        </is>
      </c>
      <c r="C21" t="inlineStr">
        <is>
          <t>085230681535</t>
        </is>
      </c>
      <c r="D21" t="inlineStr">
        <is>
          <t>bayukencanaputracv@gmail.com</t>
        </is>
      </c>
      <c r="E21" t="inlineStr">
        <is>
          <t>https://lpjk.pu.go.id/search-badan-usaha-detail/cGFTTWdrUUQwVSt5QWNqaXpkRWo4QT09</t>
        </is>
      </c>
      <c r="F21" t="n">
        <v>2</v>
      </c>
      <c r="G21" t="inlineStr">
        <is>
          <t>BG005, BG006</t>
        </is>
      </c>
      <c r="H21" t="inlineStr">
        <is>
          <t>5 Maret 2021</t>
        </is>
      </c>
      <c r="I21" s="2" t="n">
        <v>46325</v>
      </c>
      <c r="J21" t="inlineStr">
        <is>
          <t>Disetujui</t>
        </is>
      </c>
      <c r="K21" t="n">
        <v>60</v>
      </c>
      <c r="L21" t="inlineStr">
        <is>
          <t>30 Oktober 2026</t>
        </is>
      </c>
      <c r="M21" t="inlineStr">
        <is>
          <t>Konstruksi Gedung Kesehatan, Konstruksi Gedung Pendidikan</t>
        </is>
      </c>
      <c r="N21" t="inlineStr">
        <is>
          <t>K</t>
        </is>
      </c>
      <c r="O21" t="inlineStr">
        <is>
          <t>20231028</t>
        </is>
      </c>
      <c r="P21" t="inlineStr">
        <is>
          <t>Jawa Tengah</t>
        </is>
      </c>
      <c r="Q21" t="inlineStr"/>
    </row>
    <row r="22">
      <c r="A22" t="inlineStr">
        <is>
          <t>BEJO MAKMUR SENTOSA</t>
        </is>
      </c>
      <c r="B22" t="inlineStr">
        <is>
          <t>Kab. Banyumas</t>
        </is>
      </c>
      <c r="C22" t="inlineStr">
        <is>
          <t>02817773677</t>
        </is>
      </c>
      <c r="D22" t="inlineStr">
        <is>
          <t>pt.bejomakmursentosa@gmail.com</t>
        </is>
      </c>
      <c r="E22" t="inlineStr">
        <is>
          <t>https://lpjk.pu.go.id/search-badan-usaha-detail/RENDL1lzSmFqZHlOcVQzN2xqRzFTZz09</t>
        </is>
      </c>
      <c r="F22" t="n">
        <v>1</v>
      </c>
      <c r="G22" t="inlineStr">
        <is>
          <t>BS002</t>
        </is>
      </c>
      <c r="H22" t="inlineStr">
        <is>
          <t>23 April 2019</t>
        </is>
      </c>
      <c r="I22" s="2" t="n">
        <v>46325</v>
      </c>
      <c r="J22" t="inlineStr">
        <is>
          <t>Disetujui</t>
        </is>
      </c>
      <c r="K22" t="n">
        <v>60</v>
      </c>
      <c r="L22" t="inlineStr">
        <is>
          <t>30 Oktober 2026</t>
        </is>
      </c>
      <c r="M22" t="inlineStr">
        <is>
          <t>Bangunan Sipil Jembatan, Jalan Layang, Fly Over, dan Underpass</t>
        </is>
      </c>
      <c r="N22" t="inlineStr">
        <is>
          <t>K</t>
        </is>
      </c>
      <c r="O22" t="inlineStr">
        <is>
          <t>20231027</t>
        </is>
      </c>
      <c r="P22" t="inlineStr">
        <is>
          <t>Jawa Tengah</t>
        </is>
      </c>
      <c r="Q22" t="inlineStr"/>
    </row>
    <row r="23">
      <c r="A23" t="inlineStr">
        <is>
          <t>BINAYASA PUTRABATARA</t>
        </is>
      </c>
      <c r="B23" t="inlineStr">
        <is>
          <t>Kota Adm. Jakarta Selatan</t>
        </is>
      </c>
      <c r="C23" t="inlineStr">
        <is>
          <t>8301591</t>
        </is>
      </c>
      <c r="D23" t="inlineStr">
        <is>
          <t>dsdmbinayasa@gmail.com</t>
        </is>
      </c>
      <c r="E23" t="inlineStr">
        <is>
          <t>https://lpjk.pu.go.id/search-badan-usaha-detail/bFZqRWZvUTVFSHhHbVAzQUFhNTBRdz09</t>
        </is>
      </c>
      <c r="F23" t="n">
        <v>1</v>
      </c>
      <c r="G23" t="inlineStr">
        <is>
          <t>BG002</t>
        </is>
      </c>
      <c r="H23" t="inlineStr">
        <is>
          <t>3 Februari 1992</t>
        </is>
      </c>
      <c r="I23" s="2" t="n">
        <v>46325</v>
      </c>
      <c r="J23" t="inlineStr">
        <is>
          <t>Disetujui</t>
        </is>
      </c>
      <c r="K23" t="n">
        <v>60</v>
      </c>
      <c r="L23" t="inlineStr">
        <is>
          <t>30 Oktober 2026</t>
        </is>
      </c>
      <c r="M23" t="inlineStr">
        <is>
          <t>Konstruksi Gedung Perkantoran</t>
        </is>
      </c>
      <c r="N23" t="inlineStr">
        <is>
          <t>M</t>
        </is>
      </c>
      <c r="O23" t="inlineStr">
        <is>
          <t>20231026</t>
        </is>
      </c>
      <c r="P23" t="inlineStr">
        <is>
          <t>DKI Jakarta</t>
        </is>
      </c>
      <c r="Q23" t="inlineStr"/>
    </row>
    <row r="24">
      <c r="A24" t="inlineStr">
        <is>
          <t>BINTANG KARYA NUSANTARA</t>
        </is>
      </c>
      <c r="B24" t="inlineStr">
        <is>
          <t>Kota Surabaya</t>
        </is>
      </c>
      <c r="C24" t="inlineStr">
        <is>
          <t>0315936105</t>
        </is>
      </c>
      <c r="D24" t="inlineStr">
        <is>
          <t>bkn@bintangkaryanusantara.com</t>
        </is>
      </c>
      <c r="E24" t="inlineStr">
        <is>
          <t>https://lpjk.pu.go.id/search-badan-usaha-detail/eGtuNndyV1ZsekVMTjA0UFNGRktIZz09</t>
        </is>
      </c>
      <c r="F24" t="n">
        <v>2</v>
      </c>
      <c r="G24" t="inlineStr">
        <is>
          <t>BS009</t>
        </is>
      </c>
      <c r="H24" t="inlineStr">
        <is>
          <t>8 April 2014</t>
        </is>
      </c>
      <c r="I24" s="2" t="n">
        <v>46325</v>
      </c>
      <c r="J24" t="inlineStr">
        <is>
          <t>Disetujui</t>
        </is>
      </c>
      <c r="K24" t="n">
        <v>60</v>
      </c>
      <c r="L24" t="inlineStr">
        <is>
          <t>30 Oktober 2026</t>
        </is>
      </c>
      <c r="M24" t="inlineStr">
        <is>
          <t>Konstruksi Sentral Telekomunikasi</t>
        </is>
      </c>
      <c r="N24" t="inlineStr">
        <is>
          <t>K</t>
        </is>
      </c>
      <c r="O24" t="inlineStr">
        <is>
          <t>20231030</t>
        </is>
      </c>
      <c r="P24" t="inlineStr">
        <is>
          <t>Jawa Timur</t>
        </is>
      </c>
      <c r="Q24" t="inlineStr"/>
    </row>
    <row r="25">
      <c r="A25" t="inlineStr">
        <is>
          <t>BINTANG SONGO</t>
        </is>
      </c>
      <c r="B25" t="inlineStr">
        <is>
          <t>Kab. Lamongan</t>
        </is>
      </c>
      <c r="C25" t="inlineStr">
        <is>
          <t>085707940009</t>
        </is>
      </c>
      <c r="D25" t="inlineStr">
        <is>
          <t>b_songo@ymail.com</t>
        </is>
      </c>
      <c r="E25" t="inlineStr">
        <is>
          <t>https://lpjk.pu.go.id/search-badan-usaha-detail/S3RLd3RSZU9IMEt2VFhZOEVqRWptZz09</t>
        </is>
      </c>
      <c r="F25" t="n">
        <v>4</v>
      </c>
      <c r="G25" t="inlineStr">
        <is>
          <t>BG004, BG009</t>
        </is>
      </c>
      <c r="H25" t="inlineStr">
        <is>
          <t>25 Juli 2002</t>
        </is>
      </c>
      <c r="I25" s="2" t="n">
        <v>46325</v>
      </c>
      <c r="J25" t="inlineStr">
        <is>
          <t>Disetujui</t>
        </is>
      </c>
      <c r="K25" t="n">
        <v>60</v>
      </c>
      <c r="L25" t="inlineStr">
        <is>
          <t>30 Oktober 2026</t>
        </is>
      </c>
      <c r="M25" t="inlineStr">
        <is>
          <t>Konstruksi Gedung Lainnya, Konstruksi Gedung Perbelanjaan</t>
        </is>
      </c>
      <c r="N25" t="inlineStr">
        <is>
          <t>K</t>
        </is>
      </c>
      <c r="O25" t="inlineStr">
        <is>
          <t>20231010, 20231026</t>
        </is>
      </c>
      <c r="P25" t="inlineStr">
        <is>
          <t>Jawa Timur</t>
        </is>
      </c>
      <c r="Q25" t="inlineStr"/>
    </row>
    <row r="26">
      <c r="A26" t="inlineStr">
        <is>
          <t>CENTRAL ABADI TEHNIK UTAMA</t>
        </is>
      </c>
      <c r="B26" t="inlineStr">
        <is>
          <t>Kota Tangerang Selatan</t>
        </is>
      </c>
      <c r="C26" t="inlineStr">
        <is>
          <t>0812210716041</t>
        </is>
      </c>
      <c r="D26" t="inlineStr">
        <is>
          <t>dinaida66@gmail.com</t>
        </is>
      </c>
      <c r="E26" t="inlineStr">
        <is>
          <t>https://lpjk.pu.go.id/search-badan-usaha-detail/OVlsRklDbVcwQ3R3dktSbkF6V0h5Zz09</t>
        </is>
      </c>
      <c r="F26" t="n">
        <v>6</v>
      </c>
      <c r="G26" t="inlineStr">
        <is>
          <t>BG005</t>
        </is>
      </c>
      <c r="H26" t="inlineStr">
        <is>
          <t>22 Februari 2011</t>
        </is>
      </c>
      <c r="I26" s="2" t="n">
        <v>46325</v>
      </c>
      <c r="J26" t="inlineStr">
        <is>
          <t>Disetujui</t>
        </is>
      </c>
      <c r="K26" t="n">
        <v>60</v>
      </c>
      <c r="L26" t="inlineStr">
        <is>
          <t>30 Oktober 2026</t>
        </is>
      </c>
      <c r="M26" t="inlineStr">
        <is>
          <t>Konstruksi Gedung Kesehatan</t>
        </is>
      </c>
      <c r="N26" t="inlineStr">
        <is>
          <t>M</t>
        </is>
      </c>
      <c r="O26" t="inlineStr">
        <is>
          <t>20230911</t>
        </is>
      </c>
      <c r="P26" t="inlineStr">
        <is>
          <t>Banten</t>
        </is>
      </c>
      <c r="Q26" t="inlineStr"/>
    </row>
    <row r="27">
      <c r="A27" t="inlineStr">
        <is>
          <t>CHANDRA BUANA PERSADA</t>
        </is>
      </c>
      <c r="B27" t="inlineStr">
        <is>
          <t>Kota Adm. Jakarta Pusat</t>
        </is>
      </c>
      <c r="C27" t="inlineStr">
        <is>
          <t>085762211134</t>
        </is>
      </c>
      <c r="D27" t="inlineStr">
        <is>
          <t>pt.chandrabuanapersada@yahoo.com</t>
        </is>
      </c>
      <c r="E27" t="inlineStr">
        <is>
          <t>https://lpjk.pu.go.id/search-badan-usaha-detail/TkVDb2pLemF0c2xCdURmUjFRSWtoUT09</t>
        </is>
      </c>
      <c r="F27" t="n">
        <v>5</v>
      </c>
      <c r="G27" t="inlineStr">
        <is>
          <t>BG001, BG002, BG005, BG006, BG009</t>
        </is>
      </c>
      <c r="H27" t="inlineStr">
        <is>
          <t>1 Agustus 2023</t>
        </is>
      </c>
      <c r="I27" s="2" t="n">
        <v>46325</v>
      </c>
      <c r="J27" t="inlineStr">
        <is>
          <t>Disetujui</t>
        </is>
      </c>
      <c r="K27" t="n">
        <v>60</v>
      </c>
      <c r="L27" t="inlineStr">
        <is>
          <t>30 Oktober 2026</t>
        </is>
      </c>
      <c r="M27" t="inlineStr">
        <is>
          <t>Konstruksi Gedung Hunian, Konstruksi Gedung Kesehatan, Konstruksi Gedung Lainnya, Konstruksi Gedung Pendidikan, Konstruksi Gedung Perkantoran</t>
        </is>
      </c>
      <c r="N27" t="inlineStr">
        <is>
          <t>K</t>
        </is>
      </c>
      <c r="O27" t="inlineStr">
        <is>
          <t>20231030, 20231031</t>
        </is>
      </c>
      <c r="P27" t="inlineStr">
        <is>
          <t>DKI Jakarta</t>
        </is>
      </c>
      <c r="Q27" t="inlineStr"/>
    </row>
    <row r="28">
      <c r="A28" t="inlineStr">
        <is>
          <t>CITA RANCANG PRAJA</t>
        </is>
      </c>
      <c r="B28" t="inlineStr">
        <is>
          <t>Kota Palu</t>
        </is>
      </c>
      <c r="C28" t="inlineStr">
        <is>
          <t>082259105565</t>
        </is>
      </c>
      <c r="D28" t="inlineStr">
        <is>
          <t>ptcitarancangpraja@gmail.com</t>
        </is>
      </c>
      <c r="E28" t="inlineStr">
        <is>
          <t>https://lpjk.pu.go.id/search-badan-usaha-detail/YjBXRmZoclhBTDZjUkRNVWN4ajQydz09</t>
        </is>
      </c>
      <c r="F28" t="n">
        <v>3</v>
      </c>
      <c r="G28" t="inlineStr">
        <is>
          <t>RK002, RK003, RK005</t>
        </is>
      </c>
      <c r="H28" t="inlineStr">
        <is>
          <t>3 Juli 2023</t>
        </is>
      </c>
      <c r="I28" s="2" t="n">
        <v>46325</v>
      </c>
      <c r="J28" t="inlineStr">
        <is>
          <t>Disetujui</t>
        </is>
      </c>
      <c r="K28" t="n">
        <v>60</v>
      </c>
      <c r="L28" t="inlineStr">
        <is>
          <t>30 Oktober 2026</t>
        </is>
      </c>
      <c r="M28" t="inlineStr">
        <is>
          <t>Jasa Rekayasa Lainnya, Jasa Rekayasa Pekerjaan Teknik Sipil Sumber Daya Air, Jasa Rekayasa Pekerjaan Teknik Sipil Transportasi</t>
        </is>
      </c>
      <c r="N28" t="inlineStr">
        <is>
          <t>K</t>
        </is>
      </c>
      <c r="O28" t="inlineStr">
        <is>
          <t>20231018</t>
        </is>
      </c>
      <c r="P28" t="inlineStr">
        <is>
          <t>Sulawesi Tengah</t>
        </is>
      </c>
      <c r="Q28" t="inlineStr"/>
    </row>
    <row r="29">
      <c r="A29" t="inlineStr">
        <is>
          <t>CITRA SEJAHTERA MANDIRI</t>
        </is>
      </c>
      <c r="B29" t="inlineStr">
        <is>
          <t>Kab. Kotabaru</t>
        </is>
      </c>
      <c r="C29" t="inlineStr">
        <is>
          <t>082154962879</t>
        </is>
      </c>
      <c r="D29" t="inlineStr">
        <is>
          <t>cv.citrasejahteramandiri@yahoo.co.id</t>
        </is>
      </c>
      <c r="E29" t="inlineStr">
        <is>
          <t>https://lpjk.pu.go.id/search-badan-usaha-detail/aEY2Uk5LZEFCZmM1TUdXeEk0SkR2UT09</t>
        </is>
      </c>
      <c r="F29" t="n">
        <v>1</v>
      </c>
      <c r="G29" t="inlineStr">
        <is>
          <t>BS004</t>
        </is>
      </c>
      <c r="H29" t="inlineStr">
        <is>
          <t>26 Desember 2000</t>
        </is>
      </c>
      <c r="I29" s="2" t="n">
        <v>46325</v>
      </c>
      <c r="J29" t="inlineStr">
        <is>
          <t>Disetujui</t>
        </is>
      </c>
      <c r="K29" t="n">
        <v>60</v>
      </c>
      <c r="L29" t="inlineStr">
        <is>
          <t>30 Oktober 2026</t>
        </is>
      </c>
      <c r="M29" t="inlineStr">
        <is>
          <t>Konstruksi Jaringan Irigasi dan Drainase</t>
        </is>
      </c>
      <c r="N29" t="inlineStr">
        <is>
          <t>K</t>
        </is>
      </c>
      <c r="O29" t="inlineStr">
        <is>
          <t>20231018</t>
        </is>
      </c>
      <c r="P29" t="inlineStr">
        <is>
          <t>Kalimantan Selatan</t>
        </is>
      </c>
      <c r="Q29" t="inlineStr"/>
    </row>
    <row r="30">
      <c r="A30" t="inlineStr">
        <is>
          <t>DANAWA INTERKREASI</t>
        </is>
      </c>
      <c r="B30" t="inlineStr">
        <is>
          <t>Kab. Tangerang</t>
        </is>
      </c>
      <c r="C30" t="inlineStr">
        <is>
          <t>0215987527</t>
        </is>
      </c>
      <c r="D30" t="inlineStr">
        <is>
          <t>info@dsnintervention.com</t>
        </is>
      </c>
      <c r="E30" t="inlineStr">
        <is>
          <t>https://lpjk.pu.go.id/search-badan-usaha-detail/ZGl0RUdCNjdQSGpsZlJJcUlKK0hBZz09</t>
        </is>
      </c>
      <c r="F30" t="n">
        <v>4</v>
      </c>
      <c r="G30" t="inlineStr">
        <is>
          <t>PB004, PB005</t>
        </is>
      </c>
      <c r="H30" t="inlineStr">
        <is>
          <t>7 Maret 2013</t>
        </is>
      </c>
      <c r="I30" s="2" t="n">
        <v>46325</v>
      </c>
      <c r="J30" t="inlineStr">
        <is>
          <t>Pembekuan</t>
        </is>
      </c>
      <c r="K30" t="n">
        <v>60</v>
      </c>
      <c r="L30" t="inlineStr">
        <is>
          <t>30 Oktober 2026</t>
        </is>
      </c>
      <c r="M30" t="inlineStr">
        <is>
          <t>Dekorasi Interior, Pemasangan Ornamen dan Pekerjaan Seni</t>
        </is>
      </c>
      <c r="N30" t="inlineStr">
        <is>
          <t>Spesialis</t>
        </is>
      </c>
      <c r="O30" t="inlineStr">
        <is>
          <t>20231028</t>
        </is>
      </c>
      <c r="P30" t="inlineStr">
        <is>
          <t>Banten</t>
        </is>
      </c>
      <c r="Q30" t="inlineStr"/>
    </row>
    <row r="31">
      <c r="A31" t="inlineStr">
        <is>
          <t>DIGITAL INDOTECH KONSULTAN</t>
        </is>
      </c>
      <c r="B31" t="inlineStr">
        <is>
          <t>Kota Palopo</t>
        </is>
      </c>
      <c r="C31" t="inlineStr">
        <is>
          <t>081144707888</t>
        </is>
      </c>
      <c r="D31" t="inlineStr">
        <is>
          <t>indotechdigital@gmail.com</t>
        </is>
      </c>
      <c r="E31" t="inlineStr">
        <is>
          <t>https://lpjk.pu.go.id/search-badan-usaha-detail/clRlYVZSd056b0JNaTRlb0JIaTFlZz09</t>
        </is>
      </c>
      <c r="F31" t="n">
        <v>1</v>
      </c>
      <c r="G31" t="inlineStr">
        <is>
          <t>RK003</t>
        </is>
      </c>
      <c r="H31" t="inlineStr">
        <is>
          <t>17 Maret 2020</t>
        </is>
      </c>
      <c r="I31" s="2" t="n">
        <v>46325</v>
      </c>
      <c r="J31" t="inlineStr">
        <is>
          <t>Disetujui</t>
        </is>
      </c>
      <c r="K31" t="n">
        <v>60</v>
      </c>
      <c r="L31" t="inlineStr">
        <is>
          <t>30 Oktober 2026</t>
        </is>
      </c>
      <c r="M31" t="inlineStr">
        <is>
          <t>Jasa Rekayasa Pekerjaan Teknik Sipil Transportasi</t>
        </is>
      </c>
      <c r="N31" t="inlineStr">
        <is>
          <t>K</t>
        </is>
      </c>
      <c r="O31" t="inlineStr">
        <is>
          <t>20230722</t>
        </is>
      </c>
      <c r="P31" t="inlineStr">
        <is>
          <t>Sulawesi Selatan</t>
        </is>
      </c>
      <c r="Q31" t="inlineStr"/>
    </row>
    <row r="32">
      <c r="A32" t="inlineStr">
        <is>
          <t>DUTA AGUNG PERSADA</t>
        </is>
      </c>
      <c r="B32" t="inlineStr">
        <is>
          <t>Kota Bandar Lampung</t>
        </is>
      </c>
      <c r="C32" t="inlineStr">
        <is>
          <t>081389081399</t>
        </is>
      </c>
      <c r="D32" t="inlineStr">
        <is>
          <t>dutaagungpersada@gmail.com</t>
        </is>
      </c>
      <c r="E32" t="inlineStr">
        <is>
          <t>https://lpjk.pu.go.id/search-badan-usaha-detail/WnhkT1dHZEIvUUdFYjRhTkVISjI3dz09</t>
        </is>
      </c>
      <c r="F32" t="n">
        <v>2</v>
      </c>
      <c r="G32" t="inlineStr">
        <is>
          <t>BG002, BG006</t>
        </is>
      </c>
      <c r="H32" t="inlineStr">
        <is>
          <t>30 Maret 1999</t>
        </is>
      </c>
      <c r="I32" s="2" t="n">
        <v>46325</v>
      </c>
      <c r="J32" t="inlineStr">
        <is>
          <t>Disetujui</t>
        </is>
      </c>
      <c r="K32" t="n">
        <v>60</v>
      </c>
      <c r="L32" t="inlineStr">
        <is>
          <t>30 Oktober 2026</t>
        </is>
      </c>
      <c r="M32" t="inlineStr">
        <is>
          <t>Konstruksi Gedung Pendidikan, Konstruksi Gedung Perkantoran</t>
        </is>
      </c>
      <c r="N32" t="inlineStr">
        <is>
          <t>K</t>
        </is>
      </c>
      <c r="O32" t="inlineStr">
        <is>
          <t>20220106, 20231031</t>
        </is>
      </c>
      <c r="P32" t="inlineStr">
        <is>
          <t>Lampung</t>
        </is>
      </c>
      <c r="Q32" t="inlineStr"/>
    </row>
    <row r="33">
      <c r="A33" t="inlineStr">
        <is>
          <t>DVISHASRA SAPTADASA</t>
        </is>
      </c>
      <c r="B33" t="inlineStr">
        <is>
          <t>Kota Bandung</t>
        </is>
      </c>
      <c r="C33" t="inlineStr">
        <is>
          <t>08112335344</t>
        </is>
      </c>
      <c r="D33" t="inlineStr">
        <is>
          <t>dvishasra.saptadasa@gmail.com</t>
        </is>
      </c>
      <c r="E33" t="inlineStr">
        <is>
          <t>https://lpjk.pu.go.id/search-badan-usaha-detail/RDhBcGxHU0Nocm5NWS82QTdKMXdtZz09</t>
        </is>
      </c>
      <c r="F33" t="n">
        <v>2</v>
      </c>
      <c r="G33" t="inlineStr">
        <is>
          <t>BS001, BS004</t>
        </is>
      </c>
      <c r="H33" t="inlineStr">
        <is>
          <t>1 Desember 2020</t>
        </is>
      </c>
      <c r="I33" s="2" t="n">
        <v>46325</v>
      </c>
      <c r="J33" t="inlineStr">
        <is>
          <t>Disetujui</t>
        </is>
      </c>
      <c r="K33" t="n">
        <v>60</v>
      </c>
      <c r="L33" t="inlineStr">
        <is>
          <t>30 Oktober 2026</t>
        </is>
      </c>
      <c r="M33" t="inlineStr">
        <is>
          <t>Konstruksi Bangunan Sipil Jalan, Konstruksi Jaringan Irigasi dan Drainase</t>
        </is>
      </c>
      <c r="N33" t="inlineStr">
        <is>
          <t>K</t>
        </is>
      </c>
      <c r="O33" t="inlineStr">
        <is>
          <t>20231030</t>
        </is>
      </c>
      <c r="P33" t="inlineStr">
        <is>
          <t>Jawa Barat</t>
        </is>
      </c>
      <c r="Q33" t="inlineStr"/>
    </row>
    <row r="34">
      <c r="A34" t="inlineStr">
        <is>
          <t>ELLA</t>
        </is>
      </c>
      <c r="B34" t="inlineStr">
        <is>
          <t>Kab. Grobogan</t>
        </is>
      </c>
      <c r="C34" t="inlineStr">
        <is>
          <t>081325447769</t>
        </is>
      </c>
      <c r="D34" t="inlineStr">
        <is>
          <t>ella_persada@yahoo.co.id</t>
        </is>
      </c>
      <c r="E34" t="inlineStr">
        <is>
          <t>https://lpjk.pu.go.id/search-badan-usaha-detail/SENJYnQ0WFUxRy9yTkM4TnZkZDE4Zz09</t>
        </is>
      </c>
      <c r="F34" t="n">
        <v>5</v>
      </c>
      <c r="G34" t="inlineStr">
        <is>
          <t>BG009, BS001, BS002, BS004, BS010</t>
        </is>
      </c>
      <c r="H34" t="inlineStr">
        <is>
          <t>14 Desember 2000</t>
        </is>
      </c>
      <c r="I34" s="2" t="n">
        <v>46325</v>
      </c>
      <c r="J34" t="inlineStr">
        <is>
          <t>Disetujui</t>
        </is>
      </c>
      <c r="K34" t="n">
        <v>60</v>
      </c>
      <c r="L34" t="inlineStr">
        <is>
          <t>30 Oktober 2026</t>
        </is>
      </c>
      <c r="M34" t="inlineStr">
        <is>
          <t>Bangunan Sipil Jembatan, Jalan Layang, Fly Over, dan Underpass, Konstruksi Bangunan Prasarana Sumber Daya Air, Konstruksi Bangunan Sipil Jalan, Konstruksi Gedung Lainnya, Konstruksi Jaringan Irigasi dan Drainase</t>
        </is>
      </c>
      <c r="N34" t="inlineStr">
        <is>
          <t>K</t>
        </is>
      </c>
      <c r="O34" t="inlineStr">
        <is>
          <t>20231019</t>
        </is>
      </c>
      <c r="P34" t="inlineStr">
        <is>
          <t>Jawa Tengah</t>
        </is>
      </c>
      <c r="Q34" t="inlineStr"/>
    </row>
    <row r="35">
      <c r="A35" t="inlineStr">
        <is>
          <t>EMPAT BINTANG PAPUA</t>
        </is>
      </c>
      <c r="B35" t="inlineStr">
        <is>
          <t>Kab. Merauke</t>
        </is>
      </c>
      <c r="C35" t="inlineStr">
        <is>
          <t>082199966325</t>
        </is>
      </c>
      <c r="D35" t="inlineStr">
        <is>
          <t>empatbintangp@gmail.com</t>
        </is>
      </c>
      <c r="E35" t="inlineStr">
        <is>
          <t>https://lpjk.pu.go.id/search-badan-usaha-detail/NGYwek1JYjM2M1VxREg0VUtMWlh3UT09</t>
        </is>
      </c>
      <c r="F35" t="n">
        <v>1</v>
      </c>
      <c r="G35" t="inlineStr">
        <is>
          <t>BS010</t>
        </is>
      </c>
      <c r="H35" t="inlineStr">
        <is>
          <t>25 Januari 2016</t>
        </is>
      </c>
      <c r="I35" s="2" t="n">
        <v>46325</v>
      </c>
      <c r="J35" t="inlineStr">
        <is>
          <t>Disetujui</t>
        </is>
      </c>
      <c r="K35" t="n">
        <v>60</v>
      </c>
      <c r="L35" t="inlineStr">
        <is>
          <t>30 Oktober 2026</t>
        </is>
      </c>
      <c r="M35" t="inlineStr">
        <is>
          <t>Konstruksi Bangunan Prasarana Sumber Daya Air</t>
        </is>
      </c>
      <c r="N35" t="inlineStr">
        <is>
          <t>K</t>
        </is>
      </c>
      <c r="O35" t="inlineStr">
        <is>
          <t>20231030</t>
        </is>
      </c>
      <c r="P35" t="inlineStr">
        <is>
          <t>Papua Selatan</t>
        </is>
      </c>
      <c r="Q35" t="inlineStr"/>
    </row>
    <row r="36">
      <c r="A36" t="inlineStr">
        <is>
          <t>ERA TEKNIK KONSULTAN</t>
        </is>
      </c>
      <c r="B36" t="inlineStr">
        <is>
          <t>Kota Bontang</t>
        </is>
      </c>
      <c r="C36" t="inlineStr">
        <is>
          <t>0852 5022 4300</t>
        </is>
      </c>
      <c r="D36" t="inlineStr">
        <is>
          <t>arhamcivil09@gmail.com</t>
        </is>
      </c>
      <c r="E36" t="inlineStr">
        <is>
          <t>https://lpjk.pu.go.id/search-badan-usaha-detail/UFBrUlhscFljZVFCZ1pSNEUzb1ZpUT09</t>
        </is>
      </c>
      <c r="F36" t="n">
        <v>1</v>
      </c>
      <c r="G36" t="inlineStr">
        <is>
          <t>RK003</t>
        </is>
      </c>
      <c r="H36" t="inlineStr">
        <is>
          <t>2 Agustus 2019</t>
        </is>
      </c>
      <c r="I36" s="2" t="n">
        <v>46325</v>
      </c>
      <c r="J36" t="inlineStr">
        <is>
          <t>Disetujui</t>
        </is>
      </c>
      <c r="K36" t="n">
        <v>60</v>
      </c>
      <c r="L36" t="inlineStr">
        <is>
          <t>30 Oktober 2026</t>
        </is>
      </c>
      <c r="M36" t="inlineStr">
        <is>
          <t>Jasa Rekayasa Pekerjaan Teknik Sipil Transportasi</t>
        </is>
      </c>
      <c r="N36" t="inlineStr">
        <is>
          <t>K</t>
        </is>
      </c>
      <c r="O36" t="inlineStr">
        <is>
          <t>20231017</t>
        </is>
      </c>
      <c r="P36" t="inlineStr">
        <is>
          <t>Kalimantan Timur</t>
        </is>
      </c>
      <c r="Q36" t="inlineStr"/>
    </row>
    <row r="37">
      <c r="A37" t="inlineStr">
        <is>
          <t>GANIMAH SAKTI</t>
        </is>
      </c>
      <c r="B37" t="inlineStr">
        <is>
          <t>Kota Padang Sidempuan</t>
        </is>
      </c>
      <c r="C37" t="inlineStr">
        <is>
          <t>081377320500</t>
        </is>
      </c>
      <c r="D37" t="inlineStr">
        <is>
          <t>ganimahsakticv@ymail.com</t>
        </is>
      </c>
      <c r="E37" t="inlineStr">
        <is>
          <t>https://lpjk.pu.go.id/search-badan-usaha-detail/ZE5vS1U3TDE0eExtaGRZdTBtQjJCUT09</t>
        </is>
      </c>
      <c r="F37" t="n">
        <v>1</v>
      </c>
      <c r="G37" t="inlineStr">
        <is>
          <t>BG002</t>
        </is>
      </c>
      <c r="H37" t="inlineStr">
        <is>
          <t>15 Oktober 1994</t>
        </is>
      </c>
      <c r="I37" s="2" t="n">
        <v>46325</v>
      </c>
      <c r="J37" t="inlineStr">
        <is>
          <t>Disetujui</t>
        </is>
      </c>
      <c r="K37" t="n">
        <v>60</v>
      </c>
      <c r="L37" t="inlineStr">
        <is>
          <t>30 Oktober 2026</t>
        </is>
      </c>
      <c r="M37" t="inlineStr">
        <is>
          <t>Konstruksi Gedung Perkantoran</t>
        </is>
      </c>
      <c r="N37" t="inlineStr">
        <is>
          <t>K</t>
        </is>
      </c>
      <c r="O37" t="inlineStr">
        <is>
          <t>20231030</t>
        </is>
      </c>
      <c r="P37" t="inlineStr">
        <is>
          <t>Sumatera Utara</t>
        </is>
      </c>
      <c r="Q37" t="inlineStr"/>
    </row>
    <row r="38">
      <c r="A38" t="inlineStr">
        <is>
          <t>GLOBAL KONSTRUKSI</t>
        </is>
      </c>
      <c r="B38" t="inlineStr">
        <is>
          <t>Kab. Tegal</t>
        </is>
      </c>
      <c r="C38" t="inlineStr">
        <is>
          <t>081575058009</t>
        </is>
      </c>
      <c r="D38" t="inlineStr">
        <is>
          <t>globalgobed@gmail.com</t>
        </is>
      </c>
      <c r="E38" t="inlineStr">
        <is>
          <t>https://lpjk.pu.go.id/search-badan-usaha-detail/ZXNUN2s1USs4eXdKT0ZTMUJrMUVDdz09</t>
        </is>
      </c>
      <c r="F38" t="n">
        <v>6</v>
      </c>
      <c r="G38" t="inlineStr">
        <is>
          <t>BG002, BG004, BG005, BG006, BS001, BS004</t>
        </is>
      </c>
      <c r="H38" t="inlineStr">
        <is>
          <t>7 Maret 2014</t>
        </is>
      </c>
      <c r="I38" s="2" t="n">
        <v>46325</v>
      </c>
      <c r="J38" t="inlineStr">
        <is>
          <t>Disetujui</t>
        </is>
      </c>
      <c r="K38" t="n">
        <v>60</v>
      </c>
      <c r="L38" t="inlineStr">
        <is>
          <t>30 Oktober 2026</t>
        </is>
      </c>
      <c r="M38" t="inlineStr">
        <is>
          <t>Konstruksi Bangunan Sipil Jalan, Konstruksi Gedung Kesehatan, Konstruksi Gedung Pendidikan, Konstruksi Gedung Perbelanjaan, Konstruksi Gedung Perkantoran, Konstruksi Jaringan Irigasi dan Drainase</t>
        </is>
      </c>
      <c r="N38" t="inlineStr">
        <is>
          <t>K</t>
        </is>
      </c>
      <c r="O38" t="inlineStr">
        <is>
          <t>20231027</t>
        </is>
      </c>
      <c r="P38" t="inlineStr">
        <is>
          <t>Jawa Tengah</t>
        </is>
      </c>
      <c r="Q38" t="inlineStr"/>
    </row>
    <row r="39">
      <c r="A39" t="inlineStr">
        <is>
          <t>GOLDEN GLOBAL PROPERTINDO</t>
        </is>
      </c>
      <c r="B39" t="inlineStr">
        <is>
          <t>Kab. Situbondo</t>
        </is>
      </c>
      <c r="C39" t="inlineStr">
        <is>
          <t>081231124547</t>
        </is>
      </c>
      <c r="D39" t="inlineStr">
        <is>
          <t>ptgoldenglobalpropertindo@gmail.com</t>
        </is>
      </c>
      <c r="E39" t="inlineStr">
        <is>
          <t>https://lpjk.pu.go.id/search-badan-usaha-detail/N1ZMV25HenR1MEMwWCtqNjd3NThidz09</t>
        </is>
      </c>
      <c r="F39" t="n">
        <v>10</v>
      </c>
      <c r="G39" t="inlineStr">
        <is>
          <t>BG002, BG004, BG005, BG006, BG009</t>
        </is>
      </c>
      <c r="H39" t="inlineStr">
        <is>
          <t>5 Agustus 2021</t>
        </is>
      </c>
      <c r="I39" s="2" t="n">
        <v>46325</v>
      </c>
      <c r="J39" t="inlineStr">
        <is>
          <t>Pencabutan</t>
        </is>
      </c>
      <c r="K39" t="n">
        <v>60</v>
      </c>
      <c r="L39" t="inlineStr">
        <is>
          <t>30 Oktober 2026</t>
        </is>
      </c>
      <c r="M39" t="inlineStr">
        <is>
          <t>Konstruksi Gedung Kesehatan, Konstruksi Gedung Lainnya, Konstruksi Gedung Pendidikan, Konstruksi Gedung Perbelanjaan, Konstruksi Gedung Perkantoran</t>
        </is>
      </c>
      <c r="N39" t="inlineStr">
        <is>
          <t>K</t>
        </is>
      </c>
      <c r="O39" t="inlineStr">
        <is>
          <t>20231024, 20231028, 20231102</t>
        </is>
      </c>
      <c r="P39" t="inlineStr">
        <is>
          <t>Jawa Timur</t>
        </is>
      </c>
      <c r="Q39" t="inlineStr"/>
    </row>
    <row r="40">
      <c r="A40" t="inlineStr">
        <is>
          <t>GRAHA KARYA ARTHA</t>
        </is>
      </c>
      <c r="B40" t="inlineStr">
        <is>
          <t>Kab. Gresik</t>
        </is>
      </c>
      <c r="C40" t="inlineStr">
        <is>
          <t>082140107353</t>
        </is>
      </c>
      <c r="D40" t="inlineStr">
        <is>
          <t>cvgrahakaryaartha@gmail.com</t>
        </is>
      </c>
      <c r="E40" t="inlineStr">
        <is>
          <t>https://lpjk.pu.go.id/search-badan-usaha-detail/TFRWb2JMaW1YMk5jd2RhcjZGRkRaQT09</t>
        </is>
      </c>
      <c r="F40" t="n">
        <v>1</v>
      </c>
      <c r="G40" t="inlineStr">
        <is>
          <t>PL005</t>
        </is>
      </c>
      <c r="H40" t="inlineStr">
        <is>
          <t>22 September 2023</t>
        </is>
      </c>
      <c r="I40" s="2" t="n">
        <v>46325</v>
      </c>
      <c r="J40" t="inlineStr">
        <is>
          <t>Pembekuan</t>
        </is>
      </c>
      <c r="K40" t="n">
        <v>60</v>
      </c>
      <c r="L40" t="inlineStr">
        <is>
          <t>30 Oktober 2026</t>
        </is>
      </c>
      <c r="M40" t="inlineStr">
        <is>
          <t>Pembuatan/Pengeboran Sumur Air Tanah</t>
        </is>
      </c>
      <c r="N40" t="inlineStr">
        <is>
          <t>Spesialis</t>
        </is>
      </c>
      <c r="O40" t="inlineStr">
        <is>
          <t>20231024</t>
        </is>
      </c>
      <c r="P40" t="inlineStr">
        <is>
          <t>Jawa Timur</t>
        </is>
      </c>
      <c r="Q40" t="inlineStr"/>
    </row>
    <row r="41">
      <c r="A41" t="inlineStr">
        <is>
          <t>GRAHA SAFIRA</t>
        </is>
      </c>
      <c r="B41" t="inlineStr">
        <is>
          <t>Kab. Pemalang</t>
        </is>
      </c>
      <c r="C41" t="inlineStr">
        <is>
          <t>081328722953</t>
        </is>
      </c>
      <c r="D41" t="inlineStr">
        <is>
          <t>grahasafira.cv@gmail.com</t>
        </is>
      </c>
      <c r="E41" t="inlineStr">
        <is>
          <t>https://lpjk.pu.go.id/search-badan-usaha-detail/YmpueXlYNkxyVmo4WGpCNE8yZTN0QT09</t>
        </is>
      </c>
      <c r="F41" t="n">
        <v>4</v>
      </c>
      <c r="G41" t="inlineStr">
        <is>
          <t>AR001, RK001, RK002, RK003</t>
        </is>
      </c>
      <c r="H41" t="inlineStr">
        <is>
          <t>24 Februari 2004</t>
        </is>
      </c>
      <c r="I41" s="2" t="n">
        <v>46325</v>
      </c>
      <c r="J41" t="inlineStr">
        <is>
          <t>Pencabutan</t>
        </is>
      </c>
      <c r="K41" t="n">
        <v>60</v>
      </c>
      <c r="L41" t="inlineStr">
        <is>
          <t>30 Oktober 2026</t>
        </is>
      </c>
      <c r="M41" t="inlineStr">
        <is>
          <t>Jasa Arsitektural Bangunan Gedung Hunian dan Non Hunian, Jasa Rekayasa Konstruksi Bangunan Gedung Hunian dan Non Hunian, Jasa Rekayasa Pekerjaan Teknik Sipil Sumber Daya Air, Jasa Rekayasa Pekerjaan Teknik Sipil Transportasi</t>
        </is>
      </c>
      <c r="N41" t="inlineStr">
        <is>
          <t>K</t>
        </is>
      </c>
      <c r="O41" t="inlineStr">
        <is>
          <t>20231009, 20231023, 20231024</t>
        </is>
      </c>
      <c r="P41" t="inlineStr">
        <is>
          <t>Jawa Tengah</t>
        </is>
      </c>
      <c r="Q41" t="inlineStr"/>
    </row>
    <row r="42">
      <c r="A42" t="inlineStr">
        <is>
          <t>HADIPATIH KARYA UTAMA</t>
        </is>
      </c>
      <c r="B42" t="inlineStr">
        <is>
          <t>Kota Solok</t>
        </is>
      </c>
      <c r="C42" t="inlineStr">
        <is>
          <t>082286211007</t>
        </is>
      </c>
      <c r="D42" t="inlineStr">
        <is>
          <t>gia_enjel@yahoo.com</t>
        </is>
      </c>
      <c r="E42" t="inlineStr">
        <is>
          <t>https://lpjk.pu.go.id/search-badan-usaha-detail/b1h5dys3cXNoeGV5elFBaWRaalpHZz09</t>
        </is>
      </c>
      <c r="F42" t="n">
        <v>2</v>
      </c>
      <c r="G42" t="inlineStr">
        <is>
          <t>BG009, BS004</t>
        </is>
      </c>
      <c r="H42" t="inlineStr">
        <is>
          <t>24 Mei 2021</t>
        </is>
      </c>
      <c r="I42" s="2" t="n">
        <v>46325</v>
      </c>
      <c r="J42" t="inlineStr">
        <is>
          <t>Disetujui</t>
        </is>
      </c>
      <c r="K42" t="n">
        <v>60</v>
      </c>
      <c r="L42" t="inlineStr">
        <is>
          <t>30 Oktober 2026</t>
        </is>
      </c>
      <c r="M42" t="inlineStr">
        <is>
          <t>Konstruksi Gedung Lainnya, Konstruksi Jaringan Irigasi dan Drainase</t>
        </is>
      </c>
      <c r="N42" t="inlineStr">
        <is>
          <t>K</t>
        </is>
      </c>
      <c r="O42" t="inlineStr">
        <is>
          <t>20231017, 20231101</t>
        </is>
      </c>
      <c r="P42" t="inlineStr">
        <is>
          <t>Sumatera Barat</t>
        </is>
      </c>
      <c r="Q42" t="inlineStr"/>
    </row>
    <row r="43">
      <c r="A43" t="inlineStr">
        <is>
          <t>HANINDYA RIZKI BERSUJUD</t>
        </is>
      </c>
      <c r="B43" t="inlineStr">
        <is>
          <t>Kab. Tanah Bumbu</t>
        </is>
      </c>
      <c r="C43" t="inlineStr">
        <is>
          <t>082354378888</t>
        </is>
      </c>
      <c r="D43" t="inlineStr">
        <is>
          <t>hanindyarizkibersujud.hrb@gmail.com</t>
        </is>
      </c>
      <c r="E43" t="inlineStr">
        <is>
          <t>https://lpjk.pu.go.id/search-badan-usaha-detail/RFM4aWJUajQxZVIxeGNGd2g2TG1uUT09</t>
        </is>
      </c>
      <c r="F43" t="n">
        <v>4</v>
      </c>
      <c r="G43" t="inlineStr">
        <is>
          <t>BG006, BG009, BS002, BS004</t>
        </is>
      </c>
      <c r="H43" t="inlineStr">
        <is>
          <t>9 Januari 2020</t>
        </is>
      </c>
      <c r="I43" s="2" t="n">
        <v>46325</v>
      </c>
      <c r="J43" t="inlineStr">
        <is>
          <t>Disetujui</t>
        </is>
      </c>
      <c r="K43" t="n">
        <v>60</v>
      </c>
      <c r="L43" t="inlineStr">
        <is>
          <t>30 Oktober 2026</t>
        </is>
      </c>
      <c r="M43" t="inlineStr">
        <is>
          <t>Bangunan Sipil Jembatan, Jalan Layang, Fly Over, dan Underpass, Konstruksi Gedung Lainnya, Konstruksi Gedung Pendidikan, Konstruksi Jaringan Irigasi dan Drainase</t>
        </is>
      </c>
      <c r="N43" t="inlineStr">
        <is>
          <t>K</t>
        </is>
      </c>
      <c r="O43" t="inlineStr">
        <is>
          <t>20231030</t>
        </is>
      </c>
      <c r="P43" t="inlineStr">
        <is>
          <t>Kalimantan Selatan</t>
        </is>
      </c>
      <c r="Q43" t="inlineStr"/>
    </row>
    <row r="44">
      <c r="A44" t="inlineStr">
        <is>
          <t>HANJAYA MULTINDO SUMATERA</t>
        </is>
      </c>
      <c r="B44" t="inlineStr">
        <is>
          <t>Kota Palembang</t>
        </is>
      </c>
      <c r="C44" t="inlineStr">
        <is>
          <t>0</t>
        </is>
      </c>
      <c r="D44" t="inlineStr">
        <is>
          <t>pthanjayamultindosumatera@gmail.com</t>
        </is>
      </c>
      <c r="E44" t="inlineStr">
        <is>
          <t>https://lpjk.pu.go.id/search-badan-usaha-detail/eDRTNGlmcFprVzFVNFRubTFqY1FLUT09</t>
        </is>
      </c>
      <c r="F44" t="n">
        <v>1</v>
      </c>
      <c r="G44" t="inlineStr">
        <is>
          <t>BG009</t>
        </is>
      </c>
      <c r="H44" t="inlineStr">
        <is>
          <t>23 Desember 2020</t>
        </is>
      </c>
      <c r="I44" s="2" t="n">
        <v>46325</v>
      </c>
      <c r="J44" t="inlineStr">
        <is>
          <t>Pencabutan</t>
        </is>
      </c>
      <c r="K44" t="n">
        <v>60</v>
      </c>
      <c r="L44" t="inlineStr">
        <is>
          <t>30 Oktober 2026</t>
        </is>
      </c>
      <c r="M44" t="inlineStr">
        <is>
          <t>Konstruksi Gedung Lainnya</t>
        </is>
      </c>
      <c r="N44" t="inlineStr">
        <is>
          <t>K</t>
        </is>
      </c>
      <c r="O44" t="inlineStr">
        <is>
          <t>20231027</t>
        </is>
      </c>
      <c r="P44" t="inlineStr">
        <is>
          <t>Sumatera Selatan</t>
        </is>
      </c>
      <c r="Q44" t="inlineStr"/>
    </row>
    <row r="45">
      <c r="A45" t="inlineStr">
        <is>
          <t>HIRAFI TUNAS MANDIRI</t>
        </is>
      </c>
      <c r="B45" t="inlineStr">
        <is>
          <t>Kab. Bandung Barat</t>
        </is>
      </c>
      <c r="C45" t="inlineStr">
        <is>
          <t>08122341503</t>
        </is>
      </c>
      <c r="D45" t="inlineStr">
        <is>
          <t>tunasmandirihirafi@gmail.com</t>
        </is>
      </c>
      <c r="E45" t="inlineStr">
        <is>
          <t>https://lpjk.pu.go.id/search-badan-usaha-detail/ZzliL2Q4RUtYY1ZpL3BnSjdFb1VXZz09</t>
        </is>
      </c>
      <c r="F45" t="n">
        <v>1</v>
      </c>
      <c r="G45" t="inlineStr">
        <is>
          <t>PL005</t>
        </is>
      </c>
      <c r="H45" t="inlineStr">
        <is>
          <t>26 Februari 2021</t>
        </is>
      </c>
      <c r="I45" s="2" t="n">
        <v>46325</v>
      </c>
      <c r="J45" t="inlineStr">
        <is>
          <t>Disetujui</t>
        </is>
      </c>
      <c r="K45" t="n">
        <v>60</v>
      </c>
      <c r="L45" t="inlineStr">
        <is>
          <t>30 Oktober 2026</t>
        </is>
      </c>
      <c r="M45" t="inlineStr">
        <is>
          <t>Pembuatan/Pengeboran Sumur Air Tanah</t>
        </is>
      </c>
      <c r="N45" t="inlineStr">
        <is>
          <t>Spesialis</t>
        </is>
      </c>
      <c r="O45" t="inlineStr">
        <is>
          <t>20231030</t>
        </is>
      </c>
      <c r="P45" t="inlineStr">
        <is>
          <t>Jawa Barat</t>
        </is>
      </c>
      <c r="Q45" t="inlineStr"/>
    </row>
    <row r="46">
      <c r="A46" t="inlineStr">
        <is>
          <t>INDONESIA TEKNOLOGI BARU</t>
        </is>
      </c>
      <c r="B46" t="inlineStr">
        <is>
          <t>Kab. Tangerang</t>
        </is>
      </c>
      <c r="C46" t="inlineStr">
        <is>
          <t>081212461164</t>
        </is>
      </c>
      <c r="D46" t="inlineStr">
        <is>
          <t>indotek@indo-tek.com</t>
        </is>
      </c>
      <c r="E46" t="inlineStr">
        <is>
          <t>https://lpjk.pu.go.id/search-badan-usaha-detail/S3ZDa3h0SVN2QUNxKzBHSTZCUFRQUT09</t>
        </is>
      </c>
      <c r="F46" t="n">
        <v>1</v>
      </c>
      <c r="G46" t="inlineStr">
        <is>
          <t>BS009</t>
        </is>
      </c>
      <c r="H46" t="inlineStr">
        <is>
          <t>26 Agustus 2020</t>
        </is>
      </c>
      <c r="I46" s="2" t="n">
        <v>46325</v>
      </c>
      <c r="J46" t="inlineStr">
        <is>
          <t>Disetujui</t>
        </is>
      </c>
      <c r="K46" t="n">
        <v>60</v>
      </c>
      <c r="L46" t="inlineStr">
        <is>
          <t>30 Oktober 2026</t>
        </is>
      </c>
      <c r="M46" t="inlineStr">
        <is>
          <t>Konstruksi Sentral Telekomunikasi</t>
        </is>
      </c>
      <c r="N46" t="inlineStr">
        <is>
          <t>K</t>
        </is>
      </c>
      <c r="O46" t="inlineStr">
        <is>
          <t>20231027</t>
        </is>
      </c>
      <c r="P46" t="inlineStr">
        <is>
          <t>Banten</t>
        </is>
      </c>
      <c r="Q46" t="inlineStr"/>
    </row>
    <row r="47">
      <c r="A47" t="inlineStr">
        <is>
          <t>INTI ROYAL NUSANTARA</t>
        </is>
      </c>
      <c r="B47" t="inlineStr">
        <is>
          <t>Kota Tangerang Selatan</t>
        </is>
      </c>
      <c r="C47" t="inlineStr">
        <is>
          <t>081296550976</t>
        </is>
      </c>
      <c r="D47" t="inlineStr">
        <is>
          <t>intiroyalnusantara@gmail.com</t>
        </is>
      </c>
      <c r="E47" t="inlineStr">
        <is>
          <t>https://lpjk.pu.go.id/search-badan-usaha-detail/RHNScGFGYWE1S3VvZVVWU3E0N0dEZz09</t>
        </is>
      </c>
      <c r="F47" t="n">
        <v>2</v>
      </c>
      <c r="G47" t="inlineStr">
        <is>
          <t>RK002, RK003</t>
        </is>
      </c>
      <c r="H47" t="inlineStr">
        <is>
          <t>25 Agustus 2023</t>
        </is>
      </c>
      <c r="I47" s="2" t="n">
        <v>46325</v>
      </c>
      <c r="J47" t="inlineStr">
        <is>
          <t>Disetujui</t>
        </is>
      </c>
      <c r="K47" t="n">
        <v>60</v>
      </c>
      <c r="L47" t="inlineStr">
        <is>
          <t>30 Oktober 2026</t>
        </is>
      </c>
      <c r="M47" t="inlineStr">
        <is>
          <t>Jasa Rekayasa Pekerjaan Teknik Sipil Sumber Daya Air, Jasa Rekayasa Pekerjaan Teknik Sipil Transportasi</t>
        </is>
      </c>
      <c r="N47" t="inlineStr">
        <is>
          <t>K</t>
        </is>
      </c>
      <c r="O47" t="inlineStr">
        <is>
          <t>20231022</t>
        </is>
      </c>
      <c r="P47" t="inlineStr">
        <is>
          <t>Banten</t>
        </is>
      </c>
      <c r="Q47" t="inlineStr"/>
    </row>
    <row r="48">
      <c r="A48" t="inlineStr">
        <is>
          <t>INTILAND TATA BERJAYA</t>
        </is>
      </c>
      <c r="B48" t="inlineStr">
        <is>
          <t>Kota Medan</t>
        </is>
      </c>
      <c r="C48" t="inlineStr">
        <is>
          <t>0614559777</t>
        </is>
      </c>
      <c r="D48" t="inlineStr">
        <is>
          <t>intilandtataberjaya@gmail.com</t>
        </is>
      </c>
      <c r="E48" t="inlineStr">
        <is>
          <t>https://lpjk.pu.go.id/search-badan-usaha-detail/YzE2TWJPUE43NWNpc1hUdCs3RkFxdz09</t>
        </is>
      </c>
      <c r="F48" t="n">
        <v>1</v>
      </c>
      <c r="G48" t="inlineStr">
        <is>
          <t>BG009</t>
        </is>
      </c>
      <c r="H48" t="inlineStr">
        <is>
          <t>1 Maret 2023</t>
        </is>
      </c>
      <c r="I48" s="2" t="n">
        <v>46325</v>
      </c>
      <c r="J48" t="inlineStr">
        <is>
          <t>Disetujui</t>
        </is>
      </c>
      <c r="K48" t="n">
        <v>60</v>
      </c>
      <c r="L48" t="inlineStr">
        <is>
          <t>30 Oktober 2026</t>
        </is>
      </c>
      <c r="M48" t="inlineStr">
        <is>
          <t>Konstruksi Gedung Lainnya</t>
        </is>
      </c>
      <c r="N48" t="inlineStr">
        <is>
          <t>K</t>
        </is>
      </c>
      <c r="O48" t="inlineStr">
        <is>
          <t>20231030</t>
        </is>
      </c>
      <c r="P48" t="inlineStr">
        <is>
          <t>Sumatera Utara</t>
        </is>
      </c>
      <c r="Q48" t="inlineStr"/>
    </row>
    <row r="49">
      <c r="A49" t="inlineStr">
        <is>
          <t>KARTIKA CENDANA</t>
        </is>
      </c>
      <c r="B49" t="inlineStr">
        <is>
          <t>Kab. Garut</t>
        </is>
      </c>
      <c r="C49" t="inlineStr">
        <is>
          <t>085222708827</t>
        </is>
      </c>
      <c r="D49" t="inlineStr">
        <is>
          <t>kartikacendana56@yahoo.com</t>
        </is>
      </c>
      <c r="E49" t="inlineStr">
        <is>
          <t>https://lpjk.pu.go.id/search-badan-usaha-detail/TGVTRE5TclRIRHZkVTg1RjNEemJzQT09</t>
        </is>
      </c>
      <c r="F49" t="n">
        <v>4</v>
      </c>
      <c r="G49" t="inlineStr">
        <is>
          <t>BG006, BG009, BS001, BS004</t>
        </is>
      </c>
      <c r="H49" t="inlineStr">
        <is>
          <t>29 Januari 2014</t>
        </is>
      </c>
      <c r="I49" s="2" t="n">
        <v>46325</v>
      </c>
      <c r="J49" t="inlineStr">
        <is>
          <t>Disetujui</t>
        </is>
      </c>
      <c r="K49" t="n">
        <v>60</v>
      </c>
      <c r="L49" t="inlineStr">
        <is>
          <t>30 Oktober 2026</t>
        </is>
      </c>
      <c r="M49" t="inlineStr">
        <is>
          <t>Konstruksi Bangunan Sipil Jalan, Konstruksi Gedung Lainnya, Konstruksi Gedung Pendidikan, Konstruksi Jaringan Irigasi dan Drainase</t>
        </is>
      </c>
      <c r="N49" t="inlineStr">
        <is>
          <t>K</t>
        </is>
      </c>
      <c r="O49" t="inlineStr">
        <is>
          <t>20231027</t>
        </is>
      </c>
      <c r="P49" t="inlineStr">
        <is>
          <t>Jawa Barat</t>
        </is>
      </c>
      <c r="Q49" t="inlineStr"/>
    </row>
    <row r="50">
      <c r="A50" t="inlineStr">
        <is>
          <t>KARUNIA PRATAMA RIZKI</t>
        </is>
      </c>
      <c r="B50" t="inlineStr">
        <is>
          <t>Kab. Sidoarjo</t>
        </is>
      </c>
      <c r="C50" t="inlineStr">
        <is>
          <t>081233338554</t>
        </is>
      </c>
      <c r="D50" t="inlineStr">
        <is>
          <t>karunia_pratamarizki@yahoo.com</t>
        </is>
      </c>
      <c r="E50" t="inlineStr">
        <is>
          <t>https://lpjk.pu.go.id/search-badan-usaha-detail/clllNHBTRjQyR3lTTmdoNW9kaHZ0QT09</t>
        </is>
      </c>
      <c r="F50" t="n">
        <v>1</v>
      </c>
      <c r="G50" t="inlineStr">
        <is>
          <t>KK011</t>
        </is>
      </c>
      <c r="H50" t="inlineStr">
        <is>
          <t>25 Maret 2022</t>
        </is>
      </c>
      <c r="I50" s="2" t="n">
        <v>46325</v>
      </c>
      <c r="J50" t="inlineStr">
        <is>
          <t>Pembekuan</t>
        </is>
      </c>
      <c r="K50" t="n">
        <v>60</v>
      </c>
      <c r="L50" t="inlineStr">
        <is>
          <t>30 Oktober 2026</t>
        </is>
      </c>
      <c r="M50" t="inlineStr">
        <is>
          <t>Pemasangan Rangka dan Atap/Roof Covering</t>
        </is>
      </c>
      <c r="N50" t="inlineStr">
        <is>
          <t>Spesialis</t>
        </is>
      </c>
      <c r="O50" t="inlineStr">
        <is>
          <t>20231020</t>
        </is>
      </c>
      <c r="P50" t="inlineStr">
        <is>
          <t>Jawa Timur</t>
        </is>
      </c>
      <c r="Q50" t="inlineStr"/>
    </row>
    <row r="51">
      <c r="A51" t="inlineStr">
        <is>
          <t>KARYA CINTA BIMA</t>
        </is>
      </c>
      <c r="B51" t="inlineStr">
        <is>
          <t>Kota Medan</t>
        </is>
      </c>
      <c r="C51" t="inlineStr">
        <is>
          <t>081361758839</t>
        </is>
      </c>
      <c r="D51" t="inlineStr">
        <is>
          <t>karya_cintabima@yahoo.com</t>
        </is>
      </c>
      <c r="E51" t="inlineStr">
        <is>
          <t>https://lpjk.pu.go.id/search-badan-usaha-detail/QUtxcWZwbWpDeGhUVFhSOHd1QloxUT09</t>
        </is>
      </c>
      <c r="F51" t="n">
        <v>3</v>
      </c>
      <c r="G51" t="inlineStr">
        <is>
          <t>BG005, BG006, BG009</t>
        </is>
      </c>
      <c r="H51" t="inlineStr">
        <is>
          <t>11 Juli 2006</t>
        </is>
      </c>
      <c r="I51" s="2" t="n">
        <v>46325</v>
      </c>
      <c r="J51" t="inlineStr">
        <is>
          <t>Disetujui</t>
        </is>
      </c>
      <c r="K51" t="n">
        <v>60</v>
      </c>
      <c r="L51" t="inlineStr">
        <is>
          <t>30 Oktober 2026</t>
        </is>
      </c>
      <c r="M51" t="inlineStr">
        <is>
          <t>Konstruksi Gedung Kesehatan, Konstruksi Gedung Lainnya, Konstruksi Gedung Pendidikan</t>
        </is>
      </c>
      <c r="N51" t="inlineStr">
        <is>
          <t>K</t>
        </is>
      </c>
      <c r="O51" t="inlineStr">
        <is>
          <t>20231024, 20231027</t>
        </is>
      </c>
      <c r="P51" t="inlineStr">
        <is>
          <t>Sumatera Utara</t>
        </is>
      </c>
      <c r="Q51" t="inlineStr"/>
    </row>
    <row r="52">
      <c r="A52" t="inlineStr">
        <is>
          <t>KARYA JATI MULYA</t>
        </is>
      </c>
      <c r="B52" t="inlineStr">
        <is>
          <t>Kab. Tuban</t>
        </is>
      </c>
      <c r="C52" t="inlineStr">
        <is>
          <t>08123401797</t>
        </is>
      </c>
      <c r="D52" t="inlineStr">
        <is>
          <t>cv.karyajatimulya@gmail.com</t>
        </is>
      </c>
      <c r="E52" t="inlineStr">
        <is>
          <t>https://lpjk.pu.go.id/search-badan-usaha-detail/Uy9IVGprVGgzSTlxelhzVWV0cDVLUT09</t>
        </is>
      </c>
      <c r="F52" t="n">
        <v>1</v>
      </c>
      <c r="G52" t="inlineStr">
        <is>
          <t>BG002</t>
        </is>
      </c>
      <c r="H52" t="inlineStr">
        <is>
          <t>2 Desember 2006</t>
        </is>
      </c>
      <c r="I52" s="2" t="n">
        <v>46325</v>
      </c>
      <c r="J52" t="inlineStr">
        <is>
          <t>Disetujui</t>
        </is>
      </c>
      <c r="K52" t="n">
        <v>60</v>
      </c>
      <c r="L52" t="inlineStr">
        <is>
          <t>30 Oktober 2026</t>
        </is>
      </c>
      <c r="M52" t="inlineStr">
        <is>
          <t>Konstruksi Gedung Perkantoran</t>
        </is>
      </c>
      <c r="N52" t="inlineStr">
        <is>
          <t>K</t>
        </is>
      </c>
      <c r="O52" t="inlineStr">
        <is>
          <t>20231013</t>
        </is>
      </c>
      <c r="P52" t="inlineStr">
        <is>
          <t>Jawa Timur</t>
        </is>
      </c>
      <c r="Q52" t="inlineStr"/>
    </row>
    <row r="53">
      <c r="A53" t="inlineStr">
        <is>
          <t>KASIH IBU</t>
        </is>
      </c>
      <c r="B53" t="inlineStr">
        <is>
          <t>Kab. Poso</t>
        </is>
      </c>
      <c r="C53" t="inlineStr">
        <is>
          <t>081333588884</t>
        </is>
      </c>
      <c r="D53" t="inlineStr">
        <is>
          <t>kasihibu.tentena@gmail.com</t>
        </is>
      </c>
      <c r="E53" t="inlineStr">
        <is>
          <t>https://lpjk.pu.go.id/search-badan-usaha-detail/d0w1dGhDK2RBWlpUYWpNem5tYlcrUT09</t>
        </is>
      </c>
      <c r="F53" t="n">
        <v>1</v>
      </c>
      <c r="G53" t="inlineStr">
        <is>
          <t>BG005</t>
        </is>
      </c>
      <c r="H53" t="inlineStr">
        <is>
          <t>6 Februari 2007</t>
        </is>
      </c>
      <c r="I53" s="2" t="n">
        <v>46325</v>
      </c>
      <c r="J53" t="inlineStr">
        <is>
          <t>Pencabutan</t>
        </is>
      </c>
      <c r="K53" t="n">
        <v>60</v>
      </c>
      <c r="L53" t="inlineStr">
        <is>
          <t>30 Oktober 2026</t>
        </is>
      </c>
      <c r="M53" t="inlineStr">
        <is>
          <t>Konstruksi Gedung Kesehatan</t>
        </is>
      </c>
      <c r="N53" t="inlineStr">
        <is>
          <t>K</t>
        </is>
      </c>
      <c r="O53" t="inlineStr">
        <is>
          <t>20231030</t>
        </is>
      </c>
      <c r="P53" t="inlineStr">
        <is>
          <t>Sulawesi Tengah</t>
        </is>
      </c>
      <c r="Q53" t="inlineStr"/>
    </row>
    <row r="54">
      <c r="A54" t="inlineStr">
        <is>
          <t>KIRANA</t>
        </is>
      </c>
      <c r="B54" t="inlineStr">
        <is>
          <t>Kab. Jember</t>
        </is>
      </c>
      <c r="C54" t="inlineStr">
        <is>
          <t>081249445335</t>
        </is>
      </c>
      <c r="D54" t="inlineStr">
        <is>
          <t>cv.kirana100@gmail.com</t>
        </is>
      </c>
      <c r="E54" t="inlineStr">
        <is>
          <t>https://lpjk.pu.go.id/search-badan-usaha-detail/N1BzNnRLQ1RJYTd4bVZBN2NMU1UyZz09</t>
        </is>
      </c>
      <c r="F54" t="n">
        <v>3</v>
      </c>
      <c r="G54" t="inlineStr">
        <is>
          <t>BG002, BG005, BG009</t>
        </is>
      </c>
      <c r="H54" t="inlineStr">
        <is>
          <t>29 Agustus 2018</t>
        </is>
      </c>
      <c r="I54" s="2" t="n">
        <v>46325</v>
      </c>
      <c r="J54" t="inlineStr">
        <is>
          <t>Disetujui</t>
        </is>
      </c>
      <c r="K54" t="n">
        <v>60</v>
      </c>
      <c r="L54" t="inlineStr">
        <is>
          <t>30 Oktober 2026</t>
        </is>
      </c>
      <c r="M54" t="inlineStr">
        <is>
          <t>Konstruksi Gedung Kesehatan, Konstruksi Gedung Lainnya, Konstruksi Gedung Perkantoran</t>
        </is>
      </c>
      <c r="N54" t="inlineStr">
        <is>
          <t>K</t>
        </is>
      </c>
      <c r="O54" t="inlineStr">
        <is>
          <t>20231027</t>
        </is>
      </c>
      <c r="P54" t="inlineStr">
        <is>
          <t>Jawa Timur</t>
        </is>
      </c>
      <c r="Q54" t="inlineStr"/>
    </row>
    <row r="55">
      <c r="A55" t="inlineStr">
        <is>
          <t>LAWANG AGUNG SAKTI</t>
        </is>
      </c>
      <c r="B55" t="inlineStr">
        <is>
          <t>Kab. Ketapang</t>
        </is>
      </c>
      <c r="C55" t="inlineStr">
        <is>
          <t>085350570009</t>
        </is>
      </c>
      <c r="D55" t="inlineStr">
        <is>
          <t>lawang_agungsakti@yahoo.co.id</t>
        </is>
      </c>
      <c r="E55" t="inlineStr">
        <is>
          <t>https://lpjk.pu.go.id/search-badan-usaha-detail/RjA3NEdzdkRaUUFicVlvZXNnSlozZz09</t>
        </is>
      </c>
      <c r="F55" t="n">
        <v>1</v>
      </c>
      <c r="G55" t="inlineStr">
        <is>
          <t>BG001</t>
        </is>
      </c>
      <c r="H55" t="inlineStr">
        <is>
          <t>4 April 2014</t>
        </is>
      </c>
      <c r="I55" s="2" t="n">
        <v>46325</v>
      </c>
      <c r="J55" t="inlineStr">
        <is>
          <t>Disetujui</t>
        </is>
      </c>
      <c r="K55" t="n">
        <v>60</v>
      </c>
      <c r="L55" t="inlineStr">
        <is>
          <t>30 Oktober 2026</t>
        </is>
      </c>
      <c r="M55" t="inlineStr">
        <is>
          <t>Konstruksi Gedung Hunian</t>
        </is>
      </c>
      <c r="N55" t="inlineStr">
        <is>
          <t>K</t>
        </is>
      </c>
      <c r="O55" t="inlineStr">
        <is>
          <t>20231030</t>
        </is>
      </c>
      <c r="P55" t="inlineStr">
        <is>
          <t>Kalimantan Barat</t>
        </is>
      </c>
      <c r="Q55" t="inlineStr"/>
    </row>
    <row r="56">
      <c r="A56" t="inlineStr">
        <is>
          <t>LOTUS KARYA BENUA</t>
        </is>
      </c>
      <c r="B56" t="inlineStr">
        <is>
          <t>Kota Yogyakarta</t>
        </is>
      </c>
      <c r="C56" t="inlineStr">
        <is>
          <t>085643882116</t>
        </is>
      </c>
      <c r="D56" t="inlineStr">
        <is>
          <t>cvlotuskaryabenua@gmail.com</t>
        </is>
      </c>
      <c r="E56" t="inlineStr">
        <is>
          <t>https://lpjk.pu.go.id/search-badan-usaha-detail/WFVnU2wveXFLa2VMck5Eb25TUTlOdz09</t>
        </is>
      </c>
      <c r="F56" t="n">
        <v>1</v>
      </c>
      <c r="G56" t="inlineStr">
        <is>
          <t>RK002</t>
        </is>
      </c>
      <c r="H56" t="inlineStr">
        <is>
          <t>7 Februari 2017</t>
        </is>
      </c>
      <c r="I56" s="2" t="n">
        <v>46325</v>
      </c>
      <c r="J56" t="inlineStr">
        <is>
          <t>Disetujui</t>
        </is>
      </c>
      <c r="K56" t="n">
        <v>60</v>
      </c>
      <c r="L56" t="inlineStr">
        <is>
          <t>30 Oktober 2026</t>
        </is>
      </c>
      <c r="M56" t="inlineStr">
        <is>
          <t>Jasa Rekayasa Pekerjaan Teknik Sipil Sumber Daya Air</t>
        </is>
      </c>
      <c r="N56" t="inlineStr">
        <is>
          <t>K</t>
        </is>
      </c>
      <c r="O56" t="inlineStr">
        <is>
          <t>20231005</t>
        </is>
      </c>
      <c r="P56" t="inlineStr">
        <is>
          <t>DI Yogyakarta</t>
        </is>
      </c>
      <c r="Q56" t="inlineStr"/>
    </row>
    <row r="57">
      <c r="A57" t="inlineStr">
        <is>
          <t>MAHAKAM PERSADA</t>
        </is>
      </c>
      <c r="B57" t="inlineStr">
        <is>
          <t>Kota Samarinda</t>
        </is>
      </c>
      <c r="C57" t="inlineStr">
        <is>
          <t>08125361797</t>
        </is>
      </c>
      <c r="D57" t="inlineStr">
        <is>
          <t>mahakampersada@gmail.com</t>
        </is>
      </c>
      <c r="E57" t="inlineStr">
        <is>
          <t>https://lpjk.pu.go.id/search-badan-usaha-detail/VXpJcHU5d3dEQmVKNkg0bXdSbWczZz09</t>
        </is>
      </c>
      <c r="F57" t="n">
        <v>4</v>
      </c>
      <c r="G57" t="inlineStr">
        <is>
          <t>RK001, RK005</t>
        </is>
      </c>
      <c r="H57" t="inlineStr">
        <is>
          <t>22 Juni 2012</t>
        </is>
      </c>
      <c r="I57" s="2" t="n">
        <v>46325</v>
      </c>
      <c r="J57" t="inlineStr">
        <is>
          <t>Disetujui</t>
        </is>
      </c>
      <c r="K57" t="n">
        <v>60</v>
      </c>
      <c r="L57" t="inlineStr">
        <is>
          <t>30 Oktober 2026</t>
        </is>
      </c>
      <c r="M57" t="inlineStr">
        <is>
          <t>Jasa Rekayasa Konstruksi Bangunan Gedung Hunian dan Non Hunian, Jasa Rekayasa Lainnya</t>
        </is>
      </c>
      <c r="N57" t="inlineStr">
        <is>
          <t>K</t>
        </is>
      </c>
      <c r="O57" t="inlineStr">
        <is>
          <t>20231023</t>
        </is>
      </c>
      <c r="P57" t="inlineStr">
        <is>
          <t>Kalimantan Timur</t>
        </is>
      </c>
      <c r="Q57" t="inlineStr"/>
    </row>
    <row r="58">
      <c r="A58" t="inlineStr">
        <is>
          <t>MAJU JAYA</t>
        </is>
      </c>
      <c r="B58" t="inlineStr">
        <is>
          <t>Kota Pontianak</t>
        </is>
      </c>
      <c r="C58" t="inlineStr">
        <is>
          <t>082153839877</t>
        </is>
      </c>
      <c r="D58" t="inlineStr">
        <is>
          <t>elwinm993@yahoo.com</t>
        </is>
      </c>
      <c r="E58" t="inlineStr">
        <is>
          <t>https://lpjk.pu.go.id/search-badan-usaha-detail/bHY2M0pucWJueEUxMWhNNGFoYmd0UT09</t>
        </is>
      </c>
      <c r="F58" t="n">
        <v>1</v>
      </c>
      <c r="G58" t="inlineStr">
        <is>
          <t>BS001</t>
        </is>
      </c>
      <c r="H58" t="inlineStr">
        <is>
          <t>31 Maret 2015</t>
        </is>
      </c>
      <c r="I58" s="2" t="n">
        <v>46325</v>
      </c>
      <c r="J58" t="inlineStr">
        <is>
          <t>Disetujui</t>
        </is>
      </c>
      <c r="K58" t="n">
        <v>60</v>
      </c>
      <c r="L58" t="inlineStr">
        <is>
          <t>30 Oktober 2026</t>
        </is>
      </c>
      <c r="M58" t="inlineStr">
        <is>
          <t>Konstruksi Bangunan Sipil Jalan</t>
        </is>
      </c>
      <c r="N58" t="inlineStr">
        <is>
          <t>K</t>
        </is>
      </c>
      <c r="O58" t="inlineStr">
        <is>
          <t>20231023</t>
        </is>
      </c>
      <c r="P58" t="inlineStr">
        <is>
          <t>Kalimantan Barat</t>
        </is>
      </c>
      <c r="Q58" t="inlineStr"/>
    </row>
    <row r="59">
      <c r="A59" t="inlineStr">
        <is>
          <t>MALABAR INTI KONSTRUKSI</t>
        </is>
      </c>
      <c r="B59" t="inlineStr">
        <is>
          <t>Kota Bandar Lampung</t>
        </is>
      </c>
      <c r="C59" t="inlineStr">
        <is>
          <t>085384227288</t>
        </is>
      </c>
      <c r="D59" t="inlineStr">
        <is>
          <t>konstruksimalabarinti@gmail.com</t>
        </is>
      </c>
      <c r="E59" t="inlineStr">
        <is>
          <t>https://lpjk.pu.go.id/search-badan-usaha-detail/YnA2enBzVWlFOVR1dktuK21ob2h2Zz09</t>
        </is>
      </c>
      <c r="F59" t="n">
        <v>1</v>
      </c>
      <c r="G59" t="inlineStr">
        <is>
          <t>BS001</t>
        </is>
      </c>
      <c r="H59" t="inlineStr">
        <is>
          <t>31 Desember 2018</t>
        </is>
      </c>
      <c r="I59" s="2" t="n">
        <v>46325</v>
      </c>
      <c r="J59" t="inlineStr">
        <is>
          <t>Disetujui</t>
        </is>
      </c>
      <c r="K59" t="n">
        <v>60</v>
      </c>
      <c r="L59" t="inlineStr">
        <is>
          <t>30 Oktober 2026</t>
        </is>
      </c>
      <c r="M59" t="inlineStr">
        <is>
          <t>Konstruksi Bangunan Sipil Jalan</t>
        </is>
      </c>
      <c r="N59" t="inlineStr">
        <is>
          <t>K</t>
        </is>
      </c>
      <c r="O59" t="inlineStr">
        <is>
          <t>20231012</t>
        </is>
      </c>
      <c r="P59" t="inlineStr">
        <is>
          <t>Lampung</t>
        </is>
      </c>
      <c r="Q59" t="inlineStr"/>
    </row>
    <row r="60">
      <c r="A60" t="inlineStr">
        <is>
          <t>METRIKO MEGA PURA</t>
        </is>
      </c>
      <c r="B60" t="inlineStr">
        <is>
          <t>Kab. Konawe Selatan</t>
        </is>
      </c>
      <c r="C60" t="inlineStr">
        <is>
          <t>081342628252</t>
        </is>
      </c>
      <c r="D60" t="inlineStr">
        <is>
          <t>metriko.conslt@yahoo.com</t>
        </is>
      </c>
      <c r="E60" t="inlineStr">
        <is>
          <t>https://lpjk.pu.go.id/search-badan-usaha-detail/b3RkcG5YU3ZKQVlWazE1dnUyUjhYZz09</t>
        </is>
      </c>
      <c r="F60" t="n">
        <v>2</v>
      </c>
      <c r="G60" t="inlineStr">
        <is>
          <t>RK001, RK003</t>
        </is>
      </c>
      <c r="H60" t="inlineStr">
        <is>
          <t>23 Agustus 2007</t>
        </is>
      </c>
      <c r="I60" s="2" t="n">
        <v>46325</v>
      </c>
      <c r="J60" t="inlineStr">
        <is>
          <t>Disetujui</t>
        </is>
      </c>
      <c r="K60" t="n">
        <v>60</v>
      </c>
      <c r="L60" t="inlineStr">
        <is>
          <t>30 Oktober 2026</t>
        </is>
      </c>
      <c r="M60" t="inlineStr">
        <is>
          <t>Jasa Rekayasa Konstruksi Bangunan Gedung Hunian dan Non Hunian, Jasa Rekayasa Pekerjaan Teknik Sipil Transportasi</t>
        </is>
      </c>
      <c r="N60" t="inlineStr">
        <is>
          <t>K</t>
        </is>
      </c>
      <c r="O60" t="inlineStr">
        <is>
          <t>20220519</t>
        </is>
      </c>
      <c r="P60" t="inlineStr">
        <is>
          <t>Sulawesi Tenggara</t>
        </is>
      </c>
      <c r="Q60" t="inlineStr"/>
    </row>
    <row r="61">
      <c r="A61" t="inlineStr">
        <is>
          <t>MITRA ECLAT GUNUNG ARTA</t>
        </is>
      </c>
      <c r="B61" t="inlineStr">
        <is>
          <t>Kota Bandar Lampung</t>
        </is>
      </c>
      <c r="C61" t="inlineStr">
        <is>
          <t>085273829406</t>
        </is>
      </c>
      <c r="D61" t="inlineStr">
        <is>
          <t>mitraeclatgunungarta@gmail.com</t>
        </is>
      </c>
      <c r="E61" t="inlineStr">
        <is>
          <t>https://lpjk.pu.go.id/search-badan-usaha-detail/bVFleXV5cFkxWVpmWHQvcjdoQ3YyQT09</t>
        </is>
      </c>
      <c r="F61" t="n">
        <v>2</v>
      </c>
      <c r="G61" t="inlineStr">
        <is>
          <t>BG002, BG006</t>
        </is>
      </c>
      <c r="H61" t="inlineStr">
        <is>
          <t>14 Mei 2014</t>
        </is>
      </c>
      <c r="I61" s="2" t="n">
        <v>46325</v>
      </c>
      <c r="J61" t="inlineStr">
        <is>
          <t>Pencabutan</t>
        </is>
      </c>
      <c r="K61" t="n">
        <v>60</v>
      </c>
      <c r="L61" t="inlineStr">
        <is>
          <t>30 Oktober 2026</t>
        </is>
      </c>
      <c r="M61" t="inlineStr">
        <is>
          <t>Konstruksi Gedung Pendidikan, Konstruksi Gedung Perkantoran</t>
        </is>
      </c>
      <c r="N61" t="inlineStr">
        <is>
          <t>M</t>
        </is>
      </c>
      <c r="O61" t="inlineStr">
        <is>
          <t>20231006, 20231015</t>
        </is>
      </c>
      <c r="P61" t="inlineStr">
        <is>
          <t>Lampung</t>
        </is>
      </c>
      <c r="Q61" t="inlineStr"/>
    </row>
    <row r="62">
      <c r="A62" t="inlineStr">
        <is>
          <t>MUSTIKA TEKNIK GEMILANG</t>
        </is>
      </c>
      <c r="B62" t="inlineStr">
        <is>
          <t>Kota Tangerang</t>
        </is>
      </c>
      <c r="C62" t="inlineStr">
        <is>
          <t>0215468771</t>
        </is>
      </c>
      <c r="D62" t="inlineStr">
        <is>
          <t>mustikateknikgemilang@gmail.com</t>
        </is>
      </c>
      <c r="E62" t="inlineStr">
        <is>
          <t>https://lpjk.pu.go.id/search-badan-usaha-detail/WHZ0WWRLK2F4VFV5SUdtaXMzY3dqUT09</t>
        </is>
      </c>
      <c r="F62" t="n">
        <v>5</v>
      </c>
      <c r="G62" t="inlineStr">
        <is>
          <t>BG001, BG002, BG003, BG004, BG005</t>
        </is>
      </c>
      <c r="H62" t="inlineStr">
        <is>
          <t>21 Desember 2020</t>
        </is>
      </c>
      <c r="I62" s="2" t="n">
        <v>46325</v>
      </c>
      <c r="J62" t="inlineStr">
        <is>
          <t>Disetujui</t>
        </is>
      </c>
      <c r="K62" t="n">
        <v>60</v>
      </c>
      <c r="L62" t="inlineStr">
        <is>
          <t>30 Oktober 2026</t>
        </is>
      </c>
      <c r="M62" t="inlineStr">
        <is>
          <t>Konstruksi Gedung Hunian, Konstruksi Gedung Industri, Konstruksi Gedung Kesehatan, Konstruksi Gedung Perbelanjaan, Konstruksi Gedung Perkantoran</t>
        </is>
      </c>
      <c r="N62" t="inlineStr">
        <is>
          <t>K</t>
        </is>
      </c>
      <c r="O62" t="inlineStr">
        <is>
          <t>20231027</t>
        </is>
      </c>
      <c r="P62" t="inlineStr">
        <is>
          <t>Banten</t>
        </is>
      </c>
      <c r="Q62" t="inlineStr"/>
    </row>
    <row r="63">
      <c r="A63" t="inlineStr">
        <is>
          <t>NATURAL</t>
        </is>
      </c>
      <c r="B63" t="inlineStr">
        <is>
          <t>Kota Banda Aceh</t>
        </is>
      </c>
      <c r="C63" t="inlineStr">
        <is>
          <t>082288216008</t>
        </is>
      </c>
      <c r="D63" t="inlineStr">
        <is>
          <t>cvnatural.cvn@gmail.com</t>
        </is>
      </c>
      <c r="E63" t="inlineStr">
        <is>
          <t>https://lpjk.pu.go.id/search-badan-usaha-detail/bWZhdVV2QkQzVTQxTU0vM1BUNTRlZz09</t>
        </is>
      </c>
      <c r="F63" t="n">
        <v>2</v>
      </c>
      <c r="G63" t="inlineStr">
        <is>
          <t>BG001, BG009</t>
        </is>
      </c>
      <c r="H63" t="inlineStr">
        <is>
          <t>10 Januari 2017</t>
        </is>
      </c>
      <c r="I63" s="2" t="n">
        <v>46325</v>
      </c>
      <c r="J63" t="inlineStr">
        <is>
          <t>Disetujui</t>
        </is>
      </c>
      <c r="K63" t="n">
        <v>60</v>
      </c>
      <c r="L63" t="inlineStr">
        <is>
          <t>30 Oktober 2026</t>
        </is>
      </c>
      <c r="M63" t="inlineStr">
        <is>
          <t>Konstruksi Gedung Hunian, Konstruksi Gedung Lainnya</t>
        </is>
      </c>
      <c r="N63" t="inlineStr">
        <is>
          <t>K</t>
        </is>
      </c>
      <c r="O63" t="inlineStr">
        <is>
          <t>20231030, 20231101</t>
        </is>
      </c>
      <c r="P63" t="inlineStr">
        <is>
          <t>Aceh</t>
        </is>
      </c>
      <c r="Q63" t="inlineStr"/>
    </row>
    <row r="64">
      <c r="A64" t="inlineStr">
        <is>
          <t>PRAMESTI SELARAS</t>
        </is>
      </c>
      <c r="B64" t="inlineStr">
        <is>
          <t>Kab. Cirebon</t>
        </is>
      </c>
      <c r="C64" t="inlineStr">
        <is>
          <t>081324011800</t>
        </is>
      </c>
      <c r="D64" t="inlineStr">
        <is>
          <t>pramestiselaras@yahoo.com</t>
        </is>
      </c>
      <c r="E64" t="inlineStr">
        <is>
          <t>https://lpjk.pu.go.id/search-badan-usaha-detail/RHlORzFTeG1XTFVMMUxhQUFDSkxtQT09</t>
        </is>
      </c>
      <c r="F64" t="n">
        <v>4</v>
      </c>
      <c r="G64" t="inlineStr">
        <is>
          <t>BG006, BS001</t>
        </is>
      </c>
      <c r="H64" t="inlineStr">
        <is>
          <t>23 Oktober 2010</t>
        </is>
      </c>
      <c r="I64" s="2" t="n">
        <v>46325</v>
      </c>
      <c r="J64" t="inlineStr">
        <is>
          <t>Disetujui</t>
        </is>
      </c>
      <c r="K64" t="n">
        <v>60</v>
      </c>
      <c r="L64" t="inlineStr">
        <is>
          <t>30 Oktober 2026</t>
        </is>
      </c>
      <c r="M64" t="inlineStr">
        <is>
          <t>Konstruksi Bangunan Sipil Jalan, Konstruksi Gedung Pendidikan</t>
        </is>
      </c>
      <c r="N64" t="inlineStr">
        <is>
          <t>K</t>
        </is>
      </c>
      <c r="O64" t="inlineStr">
        <is>
          <t>20231030</t>
        </is>
      </c>
      <c r="P64" t="inlineStr">
        <is>
          <t>Jawa Barat</t>
        </is>
      </c>
      <c r="Q64" t="inlineStr"/>
    </row>
    <row r="65">
      <c r="A65" t="inlineStr">
        <is>
          <t>PULAU BINTAN BESTARI</t>
        </is>
      </c>
      <c r="B65" t="inlineStr">
        <is>
          <t>Kota Tanjung Pinang</t>
        </is>
      </c>
      <c r="C65" t="inlineStr">
        <is>
          <t>081293285559</t>
        </is>
      </c>
      <c r="D65" t="inlineStr">
        <is>
          <t>widyapbb6@gmail.com</t>
        </is>
      </c>
      <c r="E65" t="inlineStr">
        <is>
          <t>https://lpjk.pu.go.id/search-badan-usaha-detail/blNaTXEvcVhjMXNIY3FRRnB2aHJpZz09</t>
        </is>
      </c>
      <c r="F65" t="n">
        <v>1</v>
      </c>
      <c r="G65" t="inlineStr">
        <is>
          <t>BS010</t>
        </is>
      </c>
      <c r="H65" t="inlineStr">
        <is>
          <t>1 Desember 2004</t>
        </is>
      </c>
      <c r="I65" s="2" t="n">
        <v>46325</v>
      </c>
      <c r="J65" t="inlineStr">
        <is>
          <t>Disetujui</t>
        </is>
      </c>
      <c r="K65" t="n">
        <v>60</v>
      </c>
      <c r="L65" t="inlineStr">
        <is>
          <t>30 Oktober 2026</t>
        </is>
      </c>
      <c r="M65" t="inlineStr">
        <is>
          <t>Konstruksi Bangunan Prasarana Sumber Daya Air</t>
        </is>
      </c>
      <c r="N65" t="inlineStr">
        <is>
          <t>M</t>
        </is>
      </c>
      <c r="O65" t="inlineStr">
        <is>
          <t>20231029</t>
        </is>
      </c>
      <c r="P65" t="inlineStr">
        <is>
          <t>Kepulauan Riau</t>
        </is>
      </c>
      <c r="Q65" t="inlineStr"/>
    </row>
    <row r="66">
      <c r="A66" t="inlineStr">
        <is>
          <t>PUNCAK SORIBO</t>
        </is>
      </c>
      <c r="B66" t="inlineStr">
        <is>
          <t>Kab. Manokwari</t>
        </is>
      </c>
      <c r="C66" t="inlineStr">
        <is>
          <t>082242178980</t>
        </is>
      </c>
      <c r="D66" t="inlineStr">
        <is>
          <t>wondiwoyderek@gmail.com</t>
        </is>
      </c>
      <c r="E66" t="inlineStr">
        <is>
          <t>https://lpjk.pu.go.id/search-badan-usaha-detail/d203cURiSFMraFM5cU1LYThEcXE1QT09</t>
        </is>
      </c>
      <c r="F66" t="n">
        <v>3</v>
      </c>
      <c r="G66" t="inlineStr">
        <is>
          <t>BG001, BG006, BG009</t>
        </is>
      </c>
      <c r="H66" t="inlineStr">
        <is>
          <t>14 Januari 2021</t>
        </is>
      </c>
      <c r="I66" s="2" t="n">
        <v>46325</v>
      </c>
      <c r="J66" t="inlineStr">
        <is>
          <t>Pencabutan</t>
        </is>
      </c>
      <c r="K66" t="n">
        <v>60</v>
      </c>
      <c r="L66" t="inlineStr">
        <is>
          <t>30 Oktober 2026</t>
        </is>
      </c>
      <c r="M66" t="inlineStr">
        <is>
          <t>Konstruksi Gedung Hunian, Konstruksi Gedung Lainnya, Konstruksi Gedung Pendidikan</t>
        </is>
      </c>
      <c r="N66" t="inlineStr">
        <is>
          <t>K</t>
        </is>
      </c>
      <c r="O66" t="inlineStr">
        <is>
          <t>20231030</t>
        </is>
      </c>
      <c r="P66" t="inlineStr">
        <is>
          <t>Papua Barat</t>
        </is>
      </c>
      <c r="Q66" t="inlineStr"/>
    </row>
    <row r="67">
      <c r="A67" t="inlineStr">
        <is>
          <t>PUTRA ALAI BERTUAH SEJAHTERA</t>
        </is>
      </c>
      <c r="B67" t="inlineStr">
        <is>
          <t>Kab. Batu Bara</t>
        </is>
      </c>
      <c r="C67" t="inlineStr">
        <is>
          <t>081360284597</t>
        </is>
      </c>
      <c r="D67" t="inlineStr">
        <is>
          <t>pt.putraalaibertuahsejahtera@gmail.com</t>
        </is>
      </c>
      <c r="E67" t="inlineStr">
        <is>
          <t>https://lpjk.pu.go.id/search-badan-usaha-detail/YlF3MUpETmliN21PTlZZTC9iek8vUT09</t>
        </is>
      </c>
      <c r="F67" t="n">
        <v>1</v>
      </c>
      <c r="G67" t="inlineStr">
        <is>
          <t>IN001</t>
        </is>
      </c>
      <c r="H67" t="inlineStr">
        <is>
          <t>7 Mei 2021</t>
        </is>
      </c>
      <c r="I67" s="2" t="n">
        <v>46325</v>
      </c>
      <c r="J67" t="inlineStr">
        <is>
          <t>Pembekuan</t>
        </is>
      </c>
      <c r="K67" t="n">
        <v>60</v>
      </c>
      <c r="L67" t="inlineStr">
        <is>
          <t>30 Oktober 2026</t>
        </is>
      </c>
      <c r="M67" t="inlineStr">
        <is>
          <t>Instalasi Mekanikal</t>
        </is>
      </c>
      <c r="N67" t="inlineStr">
        <is>
          <t>Spesialis</t>
        </is>
      </c>
      <c r="O67" t="inlineStr">
        <is>
          <t>20231030</t>
        </is>
      </c>
      <c r="P67" t="inlineStr">
        <is>
          <t>Sumatera Utara</t>
        </is>
      </c>
      <c r="Q67" t="inlineStr"/>
    </row>
    <row r="68">
      <c r="A68" t="inlineStr">
        <is>
          <t>PUTRA KREASI CAKRAWALA</t>
        </is>
      </c>
      <c r="B68" t="inlineStr">
        <is>
          <t>Kab. Bandung</t>
        </is>
      </c>
      <c r="C68" t="inlineStr">
        <is>
          <t>081322233117</t>
        </is>
      </c>
      <c r="D68" t="inlineStr">
        <is>
          <t>Cvputrakreasicakrawala@gmail.com</t>
        </is>
      </c>
      <c r="E68" t="inlineStr">
        <is>
          <t>https://lpjk.pu.go.id/search-badan-usaha-detail/S0l1VmsyZm1Wbk56dmJTTHlNK2Y4QT09</t>
        </is>
      </c>
      <c r="F68" t="n">
        <v>3</v>
      </c>
      <c r="G68" t="inlineStr">
        <is>
          <t>BG009, BS001, BS004</t>
        </is>
      </c>
      <c r="H68" t="inlineStr">
        <is>
          <t>4 Oktober 2023</t>
        </is>
      </c>
      <c r="I68" s="2" t="n">
        <v>46325</v>
      </c>
      <c r="J68" t="inlineStr">
        <is>
          <t>Disetujui</t>
        </is>
      </c>
      <c r="K68" t="n">
        <v>60</v>
      </c>
      <c r="L68" t="inlineStr">
        <is>
          <t>30 Oktober 2026</t>
        </is>
      </c>
      <c r="M68" t="inlineStr">
        <is>
          <t>Konstruksi Bangunan Sipil Jalan, Konstruksi Gedung Lainnya, Konstruksi Jaringan Irigasi dan Drainase</t>
        </is>
      </c>
      <c r="N68" t="inlineStr">
        <is>
          <t>K</t>
        </is>
      </c>
      <c r="O68" t="inlineStr">
        <is>
          <t>20231026</t>
        </is>
      </c>
      <c r="P68" t="inlineStr">
        <is>
          <t>Jawa Barat</t>
        </is>
      </c>
      <c r="Q68" t="inlineStr"/>
    </row>
    <row r="69">
      <c r="A69" t="inlineStr">
        <is>
          <t>PUTRA PERWIRA ABADI</t>
        </is>
      </c>
      <c r="B69" t="inlineStr">
        <is>
          <t>Kota Tangerang Selatan</t>
        </is>
      </c>
      <c r="C69" t="inlineStr">
        <is>
          <t>081317735555</t>
        </is>
      </c>
      <c r="D69" t="inlineStr">
        <is>
          <t>putraperwiraabadi23@gmail.com</t>
        </is>
      </c>
      <c r="E69" t="inlineStr">
        <is>
          <t>https://lpjk.pu.go.id/search-badan-usaha-detail/c1Y4SGh1UmJPTkhmUHBqY3Q4WFNUUT09</t>
        </is>
      </c>
      <c r="F69" t="n">
        <v>4</v>
      </c>
      <c r="G69" t="inlineStr">
        <is>
          <t>BG001, BG009, BS001, BS004</t>
        </is>
      </c>
      <c r="H69" t="inlineStr">
        <is>
          <t>19 Juni 2023</t>
        </is>
      </c>
      <c r="I69" s="2" t="n">
        <v>46325</v>
      </c>
      <c r="J69" t="inlineStr">
        <is>
          <t>Disetujui</t>
        </is>
      </c>
      <c r="K69" t="n">
        <v>60</v>
      </c>
      <c r="L69" t="inlineStr">
        <is>
          <t>30 Oktober 2026</t>
        </is>
      </c>
      <c r="M69" t="inlineStr">
        <is>
          <t>Konstruksi Bangunan Sipil Jalan, Konstruksi Gedung Hunian, Konstruksi Gedung Lainnya, Konstruksi Jaringan Irigasi dan Drainase</t>
        </is>
      </c>
      <c r="N69" t="inlineStr">
        <is>
          <t>K</t>
        </is>
      </c>
      <c r="O69" t="inlineStr">
        <is>
          <t>20231031</t>
        </is>
      </c>
      <c r="P69" t="inlineStr">
        <is>
          <t>Banten</t>
        </is>
      </c>
      <c r="Q69" t="inlineStr"/>
    </row>
    <row r="70">
      <c r="A70" t="inlineStr">
        <is>
          <t>PUTRA SUMULAGI KONTRAKTOR</t>
        </is>
      </c>
      <c r="B70" t="inlineStr">
        <is>
          <t>Kota Payakumbuh</t>
        </is>
      </c>
      <c r="C70" t="inlineStr">
        <is>
          <t>082169118118</t>
        </is>
      </c>
      <c r="D70" t="inlineStr">
        <is>
          <t>cv.putrasumulagi@yahoo.co.id</t>
        </is>
      </c>
      <c r="E70" t="inlineStr">
        <is>
          <t>https://lpjk.pu.go.id/search-badan-usaha-detail/THFLV3F6VE0zK01WbVZoVy9waEpPdz09</t>
        </is>
      </c>
      <c r="F70" t="n">
        <v>1</v>
      </c>
      <c r="G70" t="inlineStr">
        <is>
          <t>BS004</t>
        </is>
      </c>
      <c r="H70" t="inlineStr">
        <is>
          <t>14 Mei 2014</t>
        </is>
      </c>
      <c r="I70" s="2" t="n">
        <v>46325</v>
      </c>
      <c r="J70" t="inlineStr">
        <is>
          <t>Disetujui</t>
        </is>
      </c>
      <c r="K70" t="n">
        <v>60</v>
      </c>
      <c r="L70" t="inlineStr">
        <is>
          <t>30 Oktober 2026</t>
        </is>
      </c>
      <c r="M70" t="inlineStr">
        <is>
          <t>Konstruksi Jaringan Irigasi dan Drainase</t>
        </is>
      </c>
      <c r="N70" t="inlineStr">
        <is>
          <t>K</t>
        </is>
      </c>
      <c r="O70" t="inlineStr">
        <is>
          <t>20231026</t>
        </is>
      </c>
      <c r="P70" t="inlineStr">
        <is>
          <t>Sumatera Barat</t>
        </is>
      </c>
      <c r="Q70" t="inlineStr"/>
    </row>
    <row r="71">
      <c r="A71" t="inlineStr">
        <is>
          <t>PUTRI ANSUM</t>
        </is>
      </c>
      <c r="B71" t="inlineStr">
        <is>
          <t>Kab. Manokwari</t>
        </is>
      </c>
      <c r="C71" t="inlineStr">
        <is>
          <t>082197806038</t>
        </is>
      </c>
      <c r="D71" t="inlineStr">
        <is>
          <t>putriansum.cv@gmail.com</t>
        </is>
      </c>
      <c r="E71" t="inlineStr">
        <is>
          <t>https://lpjk.pu.go.id/search-badan-usaha-detail/VHBoMFlyZmJlcEFOb3dLcFNqbDhkQT09</t>
        </is>
      </c>
      <c r="F71" t="n">
        <v>1</v>
      </c>
      <c r="G71" t="inlineStr">
        <is>
          <t>BG001</t>
        </is>
      </c>
      <c r="H71" t="inlineStr">
        <is>
          <t>12 Agustus 2013</t>
        </is>
      </c>
      <c r="I71" s="2" t="n">
        <v>46325</v>
      </c>
      <c r="J71" t="inlineStr">
        <is>
          <t>Pencabutan</t>
        </is>
      </c>
      <c r="K71" t="n">
        <v>60</v>
      </c>
      <c r="L71" t="inlineStr">
        <is>
          <t>30 Oktober 2026</t>
        </is>
      </c>
      <c r="M71" t="inlineStr">
        <is>
          <t>Konstruksi Gedung Hunian</t>
        </is>
      </c>
      <c r="N71" t="inlineStr">
        <is>
          <t>K</t>
        </is>
      </c>
      <c r="O71" t="inlineStr">
        <is>
          <t>20231025</t>
        </is>
      </c>
      <c r="P71" t="inlineStr">
        <is>
          <t>Papua Barat</t>
        </is>
      </c>
      <c r="Q71" t="inlineStr"/>
    </row>
    <row r="72">
      <c r="A72" t="inlineStr">
        <is>
          <t>RANGGA YUDA</t>
        </is>
      </c>
      <c r="B72" t="inlineStr">
        <is>
          <t>Kota Metro</t>
        </is>
      </c>
      <c r="C72" t="inlineStr">
        <is>
          <t>085273884222</t>
        </is>
      </c>
      <c r="D72" t="inlineStr">
        <is>
          <t>ranggayudha@gmai.com</t>
        </is>
      </c>
      <c r="E72" t="inlineStr">
        <is>
          <t>https://lpjk.pu.go.id/search-badan-usaha-detail/ZzdIZW4wdW9Qb0VDQVVzVnI0L0lBUT09</t>
        </is>
      </c>
      <c r="F72" t="n">
        <v>1</v>
      </c>
      <c r="G72" t="inlineStr">
        <is>
          <t>PL005</t>
        </is>
      </c>
      <c r="H72" t="inlineStr">
        <is>
          <t>2 Oktober 2023</t>
        </is>
      </c>
      <c r="I72" s="2" t="n">
        <v>46325</v>
      </c>
      <c r="J72" t="inlineStr">
        <is>
          <t>Pembekuan</t>
        </is>
      </c>
      <c r="K72" t="n">
        <v>60</v>
      </c>
      <c r="L72" t="inlineStr">
        <is>
          <t>30 Oktober 2026</t>
        </is>
      </c>
      <c r="M72" t="inlineStr">
        <is>
          <t>Pembuatan/Pengeboran Sumur Air Tanah</t>
        </is>
      </c>
      <c r="N72" t="inlineStr">
        <is>
          <t>Spesialis</t>
        </is>
      </c>
      <c r="O72" t="inlineStr">
        <is>
          <t>20231030</t>
        </is>
      </c>
      <c r="P72" t="inlineStr">
        <is>
          <t>Lampung</t>
        </is>
      </c>
      <c r="Q72" t="inlineStr"/>
    </row>
    <row r="73">
      <c r="A73" t="inlineStr">
        <is>
          <t>REKA GRHA KONSTRUKSI</t>
        </is>
      </c>
      <c r="B73" t="inlineStr">
        <is>
          <t>Kab. Bandung Barat</t>
        </is>
      </c>
      <c r="C73" t="inlineStr">
        <is>
          <t>085174307923</t>
        </is>
      </c>
      <c r="D73" t="inlineStr">
        <is>
          <t>rgkonstruksi@gmail.com</t>
        </is>
      </c>
      <c r="E73" t="inlineStr">
        <is>
          <t>https://lpjk.pu.go.id/search-badan-usaha-detail/SVJ2b2MvZEZYRm1KTHBWTTVnanFxdz09</t>
        </is>
      </c>
      <c r="F73" t="n">
        <v>6</v>
      </c>
      <c r="G73" t="inlineStr">
        <is>
          <t>BG001, BG003, BG005, BG006, BG009, BS001</t>
        </is>
      </c>
      <c r="H73" t="inlineStr">
        <is>
          <t>12 Mei 2023</t>
        </is>
      </c>
      <c r="I73" s="2" t="n">
        <v>46325</v>
      </c>
      <c r="J73" t="inlineStr">
        <is>
          <t>Disetujui</t>
        </is>
      </c>
      <c r="K73" t="n">
        <v>60</v>
      </c>
      <c r="L73" t="inlineStr">
        <is>
          <t>30 Oktober 2026</t>
        </is>
      </c>
      <c r="M73" t="inlineStr">
        <is>
          <t>Konstruksi Bangunan Sipil Jalan, Konstruksi Gedung Hunian, Konstruksi Gedung Industri, Konstruksi Gedung Kesehatan, Konstruksi Gedung Lainnya, Konstruksi Gedung Pendidikan</t>
        </is>
      </c>
      <c r="N73" t="inlineStr">
        <is>
          <t>K</t>
        </is>
      </c>
      <c r="O73" t="inlineStr">
        <is>
          <t>20231024</t>
        </is>
      </c>
      <c r="P73" t="inlineStr">
        <is>
          <t>Jawa Barat</t>
        </is>
      </c>
      <c r="Q73" t="inlineStr"/>
    </row>
    <row r="74">
      <c r="A74" t="inlineStr">
        <is>
          <t>RIZKI WIDYATAMA ANUGRAH</t>
        </is>
      </c>
      <c r="B74" t="inlineStr">
        <is>
          <t>Kota Pontianak</t>
        </is>
      </c>
      <c r="C74" t="inlineStr">
        <is>
          <t>0811573624</t>
        </is>
      </c>
      <c r="D74" t="inlineStr">
        <is>
          <t>rizki_widyatama.anugrah@contractor.net</t>
        </is>
      </c>
      <c r="E74" t="inlineStr">
        <is>
          <t>https://lpjk.pu.go.id/search-badan-usaha-detail/U0tWdFUyNkNSUTVhckIxZkFEYlZwdz09</t>
        </is>
      </c>
      <c r="F74" t="n">
        <v>3</v>
      </c>
      <c r="G74" t="inlineStr">
        <is>
          <t>BG009, BS004, BS007</t>
        </is>
      </c>
      <c r="H74" t="inlineStr">
        <is>
          <t>3 November 2006</t>
        </is>
      </c>
      <c r="I74" s="2" t="n">
        <v>46325</v>
      </c>
      <c r="J74" t="inlineStr">
        <is>
          <t>Disetujui</t>
        </is>
      </c>
      <c r="K74" t="n">
        <v>60</v>
      </c>
      <c r="L74" t="inlineStr">
        <is>
          <t>30 Oktober 2026</t>
        </is>
      </c>
      <c r="M74" t="inlineStr">
        <is>
          <t>Konstruksi Bangunan Sipil Elektrikal, Konstruksi Gedung Lainnya, Konstruksi Jaringan Irigasi dan Drainase</t>
        </is>
      </c>
      <c r="N74" t="inlineStr">
        <is>
          <t>K</t>
        </is>
      </c>
      <c r="O74" t="inlineStr">
        <is>
          <t>20231023, 20231024, 20231101</t>
        </is>
      </c>
      <c r="P74" t="inlineStr">
        <is>
          <t>Kalimantan Barat</t>
        </is>
      </c>
      <c r="Q74" t="inlineStr"/>
    </row>
    <row r="75">
      <c r="A75" t="inlineStr">
        <is>
          <t>SANJUR MAKMUR SADAYA</t>
        </is>
      </c>
      <c r="B75" t="inlineStr">
        <is>
          <t>Kab. Majalengka</t>
        </is>
      </c>
      <c r="C75" t="inlineStr">
        <is>
          <t>082218497334</t>
        </is>
      </c>
      <c r="D75" t="inlineStr">
        <is>
          <t>cvsanjurmakmursadaya@gmail.com</t>
        </is>
      </c>
      <c r="E75" t="inlineStr">
        <is>
          <t>https://lpjk.pu.go.id/search-badan-usaha-detail/K2V1WnFaSTJMS25uZW9ZbkNKOFVEZz09</t>
        </is>
      </c>
      <c r="F75" t="n">
        <v>2</v>
      </c>
      <c r="G75" t="inlineStr">
        <is>
          <t>BS001, BS004</t>
        </is>
      </c>
      <c r="H75" t="inlineStr">
        <is>
          <t>11 Oktober 2023</t>
        </is>
      </c>
      <c r="I75" s="2" t="n">
        <v>46325</v>
      </c>
      <c r="J75" t="inlineStr">
        <is>
          <t>Disetujui</t>
        </is>
      </c>
      <c r="K75" t="n">
        <v>60</v>
      </c>
      <c r="L75" t="inlineStr">
        <is>
          <t>30 Oktober 2026</t>
        </is>
      </c>
      <c r="M75" t="inlineStr">
        <is>
          <t>Konstruksi Bangunan Sipil Jalan, Konstruksi Jaringan Irigasi dan Drainase</t>
        </is>
      </c>
      <c r="N75" t="inlineStr">
        <is>
          <t>K</t>
        </is>
      </c>
      <c r="O75" t="inlineStr">
        <is>
          <t>20231030</t>
        </is>
      </c>
      <c r="P75" t="inlineStr">
        <is>
          <t>Jawa Barat</t>
        </is>
      </c>
      <c r="Q75" t="inlineStr"/>
    </row>
    <row r="76">
      <c r="A76" t="inlineStr">
        <is>
          <t>SEGARA ABADI</t>
        </is>
      </c>
      <c r="B76" t="inlineStr">
        <is>
          <t>Kab. Jombang</t>
        </is>
      </c>
      <c r="C76" t="inlineStr">
        <is>
          <t>082234655897</t>
        </is>
      </c>
      <c r="D76" t="inlineStr">
        <is>
          <t>arissafirotulf.ks115@gmail.com</t>
        </is>
      </c>
      <c r="E76" t="inlineStr">
        <is>
          <t>https://lpjk.pu.go.id/search-badan-usaha-detail/V1NxTURlOEdXbENhQndHUjcwcHc5UT09</t>
        </is>
      </c>
      <c r="F76" t="n">
        <v>2</v>
      </c>
      <c r="G76" t="inlineStr">
        <is>
          <t>BG006, BS001</t>
        </is>
      </c>
      <c r="H76" t="inlineStr">
        <is>
          <t>20 Februari 2007</t>
        </is>
      </c>
      <c r="I76" s="2" t="n">
        <v>46325</v>
      </c>
      <c r="J76" t="inlineStr">
        <is>
          <t>Disetujui, Pencabutan</t>
        </is>
      </c>
      <c r="K76" t="n">
        <v>60</v>
      </c>
      <c r="L76" t="inlineStr">
        <is>
          <t>30 Oktober 2026</t>
        </is>
      </c>
      <c r="M76" t="inlineStr">
        <is>
          <t>Konstruksi Bangunan Sipil Jalan, Konstruksi Gedung Pendidikan</t>
        </is>
      </c>
      <c r="N76" t="inlineStr">
        <is>
          <t>K</t>
        </is>
      </c>
      <c r="O76" t="inlineStr">
        <is>
          <t>20231017, 20231024</t>
        </is>
      </c>
      <c r="P76" t="inlineStr">
        <is>
          <t>Jawa Timur</t>
        </is>
      </c>
      <c r="Q76" t="inlineStr"/>
    </row>
    <row r="77">
      <c r="A77" t="inlineStr">
        <is>
          <t>SEMBILAN DELAPAN CONSULINDO</t>
        </is>
      </c>
      <c r="B77" t="inlineStr">
        <is>
          <t>Kab. Pinrang</t>
        </is>
      </c>
      <c r="C77" t="inlineStr">
        <is>
          <t>085145139298</t>
        </is>
      </c>
      <c r="D77" t="inlineStr">
        <is>
          <t>sembilandelapan.cons@gmail.com</t>
        </is>
      </c>
      <c r="E77" t="inlineStr">
        <is>
          <t>https://lpjk.pu.go.id/search-badan-usaha-detail/UUk4TEsraWNuSHRscDAzK1hZWFUrQT09</t>
        </is>
      </c>
      <c r="F77" t="n">
        <v>3</v>
      </c>
      <c r="G77" t="inlineStr">
        <is>
          <t>RK001, RK002, RK005</t>
        </is>
      </c>
      <c r="H77" t="inlineStr">
        <is>
          <t>13 Februari 2016</t>
        </is>
      </c>
      <c r="I77" s="2" t="n">
        <v>46325</v>
      </c>
      <c r="J77" t="inlineStr">
        <is>
          <t>Disetujui</t>
        </is>
      </c>
      <c r="K77" t="n">
        <v>60</v>
      </c>
      <c r="L77" t="inlineStr">
        <is>
          <t>30 Oktober 2026</t>
        </is>
      </c>
      <c r="M77" t="inlineStr">
        <is>
          <t>Jasa Rekayasa Konstruksi Bangunan Gedung Hunian dan Non Hunian, Jasa Rekayasa Lainnya, Jasa Rekayasa Pekerjaan Teknik Sipil Sumber Daya Air</t>
        </is>
      </c>
      <c r="N77" t="inlineStr">
        <is>
          <t>K</t>
        </is>
      </c>
      <c r="O77" t="inlineStr">
        <is>
          <t>20231020</t>
        </is>
      </c>
      <c r="P77" t="inlineStr">
        <is>
          <t>Sulawesi Selatan</t>
        </is>
      </c>
      <c r="Q77" t="inlineStr"/>
    </row>
    <row r="78">
      <c r="A78" t="inlineStr">
        <is>
          <t>SETYA MUKTI</t>
        </is>
      </c>
      <c r="B78" t="inlineStr">
        <is>
          <t>Kab. Pati</t>
        </is>
      </c>
      <c r="C78" t="inlineStr">
        <is>
          <t>0295382071</t>
        </is>
      </c>
      <c r="D78" t="inlineStr">
        <is>
          <t>cvsetyamukti@yahoo.co.id</t>
        </is>
      </c>
      <c r="E78" t="inlineStr">
        <is>
          <t>https://lpjk.pu.go.id/search-badan-usaha-detail/MHNncmUybVpEZXU1WTB5TFA5cDU0dz09</t>
        </is>
      </c>
      <c r="F78" t="n">
        <v>8</v>
      </c>
      <c r="G78" t="inlineStr">
        <is>
          <t>BG002, BG004, BG005, BG006, BG008, BS001, BS010, BS020</t>
        </is>
      </c>
      <c r="H78" t="inlineStr">
        <is>
          <t>6 Oktober 2001</t>
        </is>
      </c>
      <c r="I78" s="2" t="n">
        <v>46325</v>
      </c>
      <c r="J78" t="inlineStr">
        <is>
          <t>Disetujui</t>
        </is>
      </c>
      <c r="K78" t="n">
        <v>60</v>
      </c>
      <c r="L78" t="inlineStr">
        <is>
          <t>30 Oktober 2026</t>
        </is>
      </c>
      <c r="M78" t="inlineStr">
        <is>
          <t>Konstruksi Bangunan Prasarana Sumber Daya Air, Konstruksi Bangunan Sipil Jalan, Konstruksi Gedung Kesehatan, Konstruksi Gedung Pendidikan, Konstruksi Gedung Perbelanjaan, Konstruksi Gedung Perkantoran, Konstruksi Gedung Tempat Hiburan dan Olahraga, Konstruksi Jaringan Irigasi, Komunikasi, dan Limbah Lainnya</t>
        </is>
      </c>
      <c r="N78" t="inlineStr">
        <is>
          <t>K</t>
        </is>
      </c>
      <c r="O78" t="inlineStr">
        <is>
          <t>20231026, 20231027</t>
        </is>
      </c>
      <c r="P78" t="inlineStr">
        <is>
          <t>Jawa Tengah</t>
        </is>
      </c>
      <c r="Q78" t="inlineStr"/>
    </row>
    <row r="79">
      <c r="A79" t="inlineStr">
        <is>
          <t>SIGMA BANGUN CIPTA</t>
        </is>
      </c>
      <c r="B79" t="inlineStr">
        <is>
          <t>Kota Medan</t>
        </is>
      </c>
      <c r="C79" t="inlineStr">
        <is>
          <t>081270277450</t>
        </is>
      </c>
      <c r="D79" t="inlineStr">
        <is>
          <t>pt.sigmabanguncipta@gmail.com</t>
        </is>
      </c>
      <c r="E79" t="inlineStr">
        <is>
          <t>https://lpjk.pu.go.id/search-badan-usaha-detail/WUlrNkR3eTdxeDBzL2NLMkc2YVdIZz09</t>
        </is>
      </c>
      <c r="F79" t="n">
        <v>8</v>
      </c>
      <c r="G79" t="inlineStr">
        <is>
          <t>BG001, BG003, BG009, BS011</t>
        </is>
      </c>
      <c r="H79" t="inlineStr">
        <is>
          <t>20 Oktober 2023</t>
        </is>
      </c>
      <c r="I79" s="2" t="n">
        <v>46325</v>
      </c>
      <c r="J79" t="inlineStr">
        <is>
          <t>Disetujui</t>
        </is>
      </c>
      <c r="K79" t="n">
        <v>60</v>
      </c>
      <c r="L79" t="inlineStr">
        <is>
          <t>30 Oktober 2026</t>
        </is>
      </c>
      <c r="M79" t="inlineStr">
        <is>
          <t>Konstruksi Bangunan Pelabuhan Bukan Perikanan, Konstruksi Gedung Hunian, Konstruksi Gedung Industri, Konstruksi Gedung Lainnya</t>
        </is>
      </c>
      <c r="N79" t="inlineStr">
        <is>
          <t>K</t>
        </is>
      </c>
      <c r="O79" t="inlineStr">
        <is>
          <t>20231027</t>
        </is>
      </c>
      <c r="P79" t="inlineStr">
        <is>
          <t>Sumatera Utara</t>
        </is>
      </c>
      <c r="Q79" t="inlineStr"/>
    </row>
    <row r="80">
      <c r="A80" t="inlineStr">
        <is>
          <t>SINAR ALAM BAHALAP</t>
        </is>
      </c>
      <c r="B80" t="inlineStr">
        <is>
          <t>Kab. Barito Kuala</t>
        </is>
      </c>
      <c r="C80" t="inlineStr">
        <is>
          <t>085251155599</t>
        </is>
      </c>
      <c r="D80" t="inlineStr">
        <is>
          <t>pt.sinaralambahalap69@gmail.com</t>
        </is>
      </c>
      <c r="E80" t="inlineStr">
        <is>
          <t>https://lpjk.pu.go.id/search-badan-usaha-detail/OFdHTUFSWnFCWjk1QzJGai85TFNUUT09</t>
        </is>
      </c>
      <c r="F80" t="n">
        <v>5</v>
      </c>
      <c r="G80" t="inlineStr">
        <is>
          <t>BG001, BG005, BG006, BS001, BS004</t>
        </is>
      </c>
      <c r="H80" t="inlineStr">
        <is>
          <t>30 Mei 1980</t>
        </is>
      </c>
      <c r="I80" s="2" t="n">
        <v>46325</v>
      </c>
      <c r="J80" t="inlineStr">
        <is>
          <t>Disetujui</t>
        </is>
      </c>
      <c r="K80" t="n">
        <v>60</v>
      </c>
      <c r="L80" t="inlineStr">
        <is>
          <t>30 Oktober 2026</t>
        </is>
      </c>
      <c r="M80" t="inlineStr">
        <is>
          <t>Konstruksi Bangunan Sipil Jalan, Konstruksi Gedung Hunian, Konstruksi Gedung Kesehatan, Konstruksi Gedung Pendidikan, Konstruksi Jaringan Irigasi dan Drainase</t>
        </is>
      </c>
      <c r="N80" t="inlineStr">
        <is>
          <t>K</t>
        </is>
      </c>
      <c r="O80" t="inlineStr">
        <is>
          <t>20231025</t>
        </is>
      </c>
      <c r="P80" t="inlineStr">
        <is>
          <t>Kalimantan Selatan</t>
        </is>
      </c>
      <c r="Q80" t="inlineStr"/>
    </row>
    <row r="81">
      <c r="A81" t="inlineStr">
        <is>
          <t>SINDO WAHANA</t>
        </is>
      </c>
      <c r="B81" t="inlineStr">
        <is>
          <t>Kota Adm. Jakarta Barat</t>
        </is>
      </c>
      <c r="C81" t="inlineStr">
        <is>
          <t>0216926636</t>
        </is>
      </c>
      <c r="D81" t="inlineStr">
        <is>
          <t>sindowahana72@gmail.com</t>
        </is>
      </c>
      <c r="E81" t="inlineStr">
        <is>
          <t>https://lpjk.pu.go.id/search-badan-usaha-detail/WUttT3o0ZE1GQmRoUkZSdWdKQURqdz09</t>
        </is>
      </c>
      <c r="F81" t="n">
        <v>1</v>
      </c>
      <c r="G81" t="inlineStr">
        <is>
          <t>BG003</t>
        </is>
      </c>
      <c r="H81" t="inlineStr">
        <is>
          <t>3 Maret 1992</t>
        </is>
      </c>
      <c r="I81" s="2" t="n">
        <v>46325</v>
      </c>
      <c r="J81" t="inlineStr">
        <is>
          <t>Disetujui</t>
        </is>
      </c>
      <c r="K81" t="n">
        <v>60</v>
      </c>
      <c r="L81" t="inlineStr">
        <is>
          <t>30 Oktober 2026</t>
        </is>
      </c>
      <c r="M81" t="inlineStr">
        <is>
          <t>Konstruksi Gedung Industri</t>
        </is>
      </c>
      <c r="N81" t="inlineStr">
        <is>
          <t>K</t>
        </is>
      </c>
      <c r="O81" t="inlineStr">
        <is>
          <t>20231022</t>
        </is>
      </c>
      <c r="P81" t="inlineStr">
        <is>
          <t>DKI Jakarta</t>
        </is>
      </c>
      <c r="Q81" t="inlineStr"/>
    </row>
    <row r="82">
      <c r="A82" t="inlineStr">
        <is>
          <t>SINERGY BERSAMA MANDIRI</t>
        </is>
      </c>
      <c r="B82" t="inlineStr">
        <is>
          <t>Kab. Tangerang</t>
        </is>
      </c>
      <c r="C82" t="inlineStr">
        <is>
          <t>087772461717</t>
        </is>
      </c>
      <c r="D82" t="inlineStr">
        <is>
          <t>-</t>
        </is>
      </c>
      <c r="E82" t="inlineStr">
        <is>
          <t>https://lpjk.pu.go.id/search-badan-usaha-detail/UVhUS3Qrems1Sjh4MlBQNFdvTTArUT09</t>
        </is>
      </c>
      <c r="F82" t="n">
        <v>1</v>
      </c>
      <c r="G82" t="inlineStr">
        <is>
          <t>BS002</t>
        </is>
      </c>
      <c r="H82" t="inlineStr">
        <is>
          <t>24 Januari 2014</t>
        </is>
      </c>
      <c r="I82" s="2" t="n">
        <v>46325</v>
      </c>
      <c r="J82" t="inlineStr">
        <is>
          <t>Pembekuan</t>
        </is>
      </c>
      <c r="K82" t="n">
        <v>60</v>
      </c>
      <c r="L82" t="inlineStr">
        <is>
          <t>30 Oktober 2026</t>
        </is>
      </c>
      <c r="M82" t="inlineStr">
        <is>
          <t>Bangunan Sipil Jembatan, Jalan Layang, Fly Over, dan Underpass</t>
        </is>
      </c>
      <c r="N82" t="inlineStr">
        <is>
          <t>M</t>
        </is>
      </c>
      <c r="O82" t="inlineStr">
        <is>
          <t>20231031</t>
        </is>
      </c>
      <c r="P82" t="inlineStr">
        <is>
          <t>Banten</t>
        </is>
      </c>
      <c r="Q82" t="inlineStr"/>
    </row>
    <row r="83">
      <c r="A83" t="inlineStr">
        <is>
          <t>SONI ELKA BERSAUDARA</t>
        </is>
      </c>
      <c r="B83" t="inlineStr">
        <is>
          <t>Kota Kendari</t>
        </is>
      </c>
      <c r="C83" t="inlineStr">
        <is>
          <t>085256462929</t>
        </is>
      </c>
      <c r="D83" t="inlineStr">
        <is>
          <t>sonielkabersaudara@gmail.com</t>
        </is>
      </c>
      <c r="E83" t="inlineStr">
        <is>
          <t>https://lpjk.pu.go.id/search-badan-usaha-detail/RWgxSTJkaVBseFkyQ2IyQzAzeFQ2QT09</t>
        </is>
      </c>
      <c r="F83" t="n">
        <v>1</v>
      </c>
      <c r="G83" t="inlineStr">
        <is>
          <t>BS004</t>
        </is>
      </c>
      <c r="H83" t="inlineStr">
        <is>
          <t>7 September 2023</t>
        </is>
      </c>
      <c r="I83" s="2" t="n">
        <v>46325</v>
      </c>
      <c r="J83" t="inlineStr">
        <is>
          <t>Disetujui</t>
        </is>
      </c>
      <c r="K83" t="n">
        <v>60</v>
      </c>
      <c r="L83" t="inlineStr">
        <is>
          <t>30 Oktober 2026</t>
        </is>
      </c>
      <c r="M83" t="inlineStr">
        <is>
          <t>Konstruksi Jaringan Irigasi dan Drainase</t>
        </is>
      </c>
      <c r="N83" t="inlineStr">
        <is>
          <t>K</t>
        </is>
      </c>
      <c r="O83" t="inlineStr">
        <is>
          <t>20231025</t>
        </is>
      </c>
      <c r="P83" t="inlineStr">
        <is>
          <t>Sulawesi Tenggara</t>
        </is>
      </c>
      <c r="Q83" t="inlineStr"/>
    </row>
    <row r="84">
      <c r="A84" t="inlineStr">
        <is>
          <t>SUKSES MANDIRI BERKAH</t>
        </is>
      </c>
      <c r="B84" t="inlineStr">
        <is>
          <t>Kota Semarang</t>
        </is>
      </c>
      <c r="C84" t="inlineStr">
        <is>
          <t>08122817757</t>
        </is>
      </c>
      <c r="D84" t="inlineStr">
        <is>
          <t>suksesmandiriberkah@gmail.com</t>
        </is>
      </c>
      <c r="E84" t="inlineStr">
        <is>
          <t>https://lpjk.pu.go.id/search-badan-usaha-detail/WEpXTStLT29EbUZMNG95T0h6SGIrZz09</t>
        </is>
      </c>
      <c r="F84" t="n">
        <v>1</v>
      </c>
      <c r="G84" t="inlineStr">
        <is>
          <t>BS001</t>
        </is>
      </c>
      <c r="H84" t="inlineStr">
        <is>
          <t>10 Juli 2012</t>
        </is>
      </c>
      <c r="I84" s="2" t="n">
        <v>46325</v>
      </c>
      <c r="J84" t="inlineStr">
        <is>
          <t>Disetujui</t>
        </is>
      </c>
      <c r="K84" t="n">
        <v>60</v>
      </c>
      <c r="L84" t="inlineStr">
        <is>
          <t>30 Oktober 2026</t>
        </is>
      </c>
      <c r="M84" t="inlineStr">
        <is>
          <t>Konstruksi Bangunan Sipil Jalan</t>
        </is>
      </c>
      <c r="N84" t="inlineStr">
        <is>
          <t>M</t>
        </is>
      </c>
      <c r="O84" t="inlineStr">
        <is>
          <t>20231027</t>
        </is>
      </c>
      <c r="P84" t="inlineStr">
        <is>
          <t>Jawa Tengah</t>
        </is>
      </c>
      <c r="Q84" t="inlineStr"/>
    </row>
    <row r="85">
      <c r="A85" t="inlineStr">
        <is>
          <t>SULTAN RATUHAPIS</t>
        </is>
      </c>
      <c r="B85" t="inlineStr">
        <is>
          <t>Kota Tanjung Pinang</t>
        </is>
      </c>
      <c r="C85" t="inlineStr">
        <is>
          <t>08984188023</t>
        </is>
      </c>
      <c r="D85" t="inlineStr">
        <is>
          <t>cv.sultanratuhapis@gmail.com</t>
        </is>
      </c>
      <c r="E85" t="inlineStr">
        <is>
          <t>https://lpjk.pu.go.id/search-badan-usaha-detail/ZHVnK0VFbzVabTJkOVN0R0oxMk1BZz09</t>
        </is>
      </c>
      <c r="F85" t="n">
        <v>4</v>
      </c>
      <c r="G85" t="inlineStr">
        <is>
          <t>BG002, BG005, BG006, BG009</t>
        </is>
      </c>
      <c r="H85" t="inlineStr">
        <is>
          <t>30 April 2016</t>
        </is>
      </c>
      <c r="I85" s="2" t="n">
        <v>46325</v>
      </c>
      <c r="J85" t="inlineStr">
        <is>
          <t>Disetujui</t>
        </is>
      </c>
      <c r="K85" t="n">
        <v>60</v>
      </c>
      <c r="L85" t="inlineStr">
        <is>
          <t>30 Oktober 2026</t>
        </is>
      </c>
      <c r="M85" t="inlineStr">
        <is>
          <t>Konstruksi Gedung Kesehatan, Konstruksi Gedung Lainnya, Konstruksi Gedung Pendidikan, Konstruksi Gedung Perkantoran</t>
        </is>
      </c>
      <c r="N85" t="inlineStr">
        <is>
          <t>K</t>
        </is>
      </c>
      <c r="O85" t="inlineStr">
        <is>
          <t>20230608, 20231031</t>
        </is>
      </c>
      <c r="P85" t="inlineStr">
        <is>
          <t>Kepulauan Riau</t>
        </is>
      </c>
      <c r="Q85" t="inlineStr"/>
    </row>
    <row r="86">
      <c r="A86" t="inlineStr">
        <is>
          <t>SUMBER BAROKAH KONTRUKSI</t>
        </is>
      </c>
      <c r="B86" t="inlineStr">
        <is>
          <t>Kab. Jember</t>
        </is>
      </c>
      <c r="C86" t="inlineStr">
        <is>
          <t>085102736999</t>
        </is>
      </c>
      <c r="D86" t="inlineStr">
        <is>
          <t>sumberbarokahkontruksi@gmail.com</t>
        </is>
      </c>
      <c r="E86" t="inlineStr">
        <is>
          <t>https://lpjk.pu.go.id/search-badan-usaha-detail/RHA3RGszcVJqR1IxVW96S0pLemU1UT09</t>
        </is>
      </c>
      <c r="F86" t="n">
        <v>1</v>
      </c>
      <c r="G86" t="inlineStr">
        <is>
          <t>BG009</t>
        </is>
      </c>
      <c r="H86" t="inlineStr">
        <is>
          <t>13 Januari 2023</t>
        </is>
      </c>
      <c r="I86" s="2" t="n">
        <v>46325</v>
      </c>
      <c r="J86" t="inlineStr">
        <is>
          <t>Disetujui</t>
        </is>
      </c>
      <c r="K86" t="n">
        <v>60</v>
      </c>
      <c r="L86" t="inlineStr">
        <is>
          <t>30 Oktober 2026</t>
        </is>
      </c>
      <c r="M86" t="inlineStr">
        <is>
          <t>Konstruksi Gedung Lainnya</t>
        </is>
      </c>
      <c r="N86" t="inlineStr">
        <is>
          <t>K</t>
        </is>
      </c>
      <c r="O86" t="inlineStr">
        <is>
          <t>20231026</t>
        </is>
      </c>
      <c r="P86" t="inlineStr">
        <is>
          <t>Jawa Timur</t>
        </is>
      </c>
      <c r="Q86" t="inlineStr"/>
    </row>
    <row r="87">
      <c r="A87" t="inlineStr">
        <is>
          <t>SUMBER TEKNIK KONSTRUKSI</t>
        </is>
      </c>
      <c r="B87" t="inlineStr">
        <is>
          <t>Kota Adm. Jakarta Utara</t>
        </is>
      </c>
      <c r="C87" t="inlineStr">
        <is>
          <t>02165868029</t>
        </is>
      </c>
      <c r="D87" t="inlineStr">
        <is>
          <t>steknik749@gmail.com</t>
        </is>
      </c>
      <c r="E87" t="inlineStr">
        <is>
          <t>https://lpjk.pu.go.id/search-badan-usaha-detail/K3lHVGgwbThMU0R1L1poTDk1MEwvZz09</t>
        </is>
      </c>
      <c r="F87" t="n">
        <v>1</v>
      </c>
      <c r="G87" t="inlineStr">
        <is>
          <t>BG005</t>
        </is>
      </c>
      <c r="H87" t="inlineStr">
        <is>
          <t>29 Desember 2015</t>
        </is>
      </c>
      <c r="I87" s="2" t="n">
        <v>46325</v>
      </c>
      <c r="J87" t="inlineStr">
        <is>
          <t>Disetujui</t>
        </is>
      </c>
      <c r="K87" t="n">
        <v>60</v>
      </c>
      <c r="L87" t="inlineStr">
        <is>
          <t>30 Oktober 2026</t>
        </is>
      </c>
      <c r="M87" t="inlineStr">
        <is>
          <t>Konstruksi Gedung Kesehatan</t>
        </is>
      </c>
      <c r="N87" t="inlineStr">
        <is>
          <t>B</t>
        </is>
      </c>
      <c r="O87" t="inlineStr">
        <is>
          <t>20231030</t>
        </is>
      </c>
      <c r="P87" t="inlineStr">
        <is>
          <t>DKI Jakarta</t>
        </is>
      </c>
      <c r="Q87" t="inlineStr"/>
    </row>
    <row r="88">
      <c r="A88" t="inlineStr">
        <is>
          <t>TARA INTAN MAKUTA</t>
        </is>
      </c>
      <c r="B88" t="inlineStr">
        <is>
          <t>Kota Adm. Jakarta Utara</t>
        </is>
      </c>
      <c r="C88" t="inlineStr">
        <is>
          <t>081317407688</t>
        </is>
      </c>
      <c r="D88" t="inlineStr">
        <is>
          <t>taraintanmakuta@gmail.com</t>
        </is>
      </c>
      <c r="E88" t="inlineStr">
        <is>
          <t>https://lpjk.pu.go.id/search-badan-usaha-detail/ZVI4cDJLMGVYQmgwejUwV0JvdERHQT09</t>
        </is>
      </c>
      <c r="F88" t="n">
        <v>1</v>
      </c>
      <c r="G88" t="inlineStr">
        <is>
          <t>BS010</t>
        </is>
      </c>
      <c r="H88" t="inlineStr">
        <is>
          <t>22 November 2022</t>
        </is>
      </c>
      <c r="I88" s="2" t="n">
        <v>46325</v>
      </c>
      <c r="J88" t="inlineStr">
        <is>
          <t>Pencabutan</t>
        </is>
      </c>
      <c r="K88" t="n">
        <v>60</v>
      </c>
      <c r="L88" t="inlineStr">
        <is>
          <t>30 Oktober 2026</t>
        </is>
      </c>
      <c r="M88" t="inlineStr">
        <is>
          <t>Konstruksi Bangunan Prasarana Sumber Daya Air</t>
        </is>
      </c>
      <c r="N88" t="inlineStr">
        <is>
          <t>K</t>
        </is>
      </c>
      <c r="O88" t="inlineStr">
        <is>
          <t>20231030</t>
        </is>
      </c>
      <c r="P88" t="inlineStr">
        <is>
          <t>DKI Jakarta</t>
        </is>
      </c>
      <c r="Q88" t="inlineStr"/>
    </row>
    <row r="89">
      <c r="A89" t="inlineStr">
        <is>
          <t>TEGAR TEKNIK UTAMA</t>
        </is>
      </c>
      <c r="B89" t="inlineStr">
        <is>
          <t>Kota Malang</t>
        </is>
      </c>
      <c r="C89" t="inlineStr">
        <is>
          <t>081232494020</t>
        </is>
      </c>
      <c r="D89" t="inlineStr">
        <is>
          <t>tegarteknikutamacv@yahoo.co.id</t>
        </is>
      </c>
      <c r="E89" t="inlineStr">
        <is>
          <t>https://lpjk.pu.go.id/search-badan-usaha-detail/TXRRS1FFTUFJSFk3T0N0c0pucFR4Zz09</t>
        </is>
      </c>
      <c r="F89" t="n">
        <v>1</v>
      </c>
      <c r="G89" t="inlineStr">
        <is>
          <t>RK003</t>
        </is>
      </c>
      <c r="H89" t="inlineStr">
        <is>
          <t>1 Agustus 2008</t>
        </is>
      </c>
      <c r="I89" s="2" t="n">
        <v>46325</v>
      </c>
      <c r="J89" t="inlineStr">
        <is>
          <t>Disetujui</t>
        </is>
      </c>
      <c r="K89" t="n">
        <v>60</v>
      </c>
      <c r="L89" t="inlineStr">
        <is>
          <t>30 Oktober 2026</t>
        </is>
      </c>
      <c r="M89" t="inlineStr">
        <is>
          <t>Jasa Rekayasa Pekerjaan Teknik Sipil Transportasi</t>
        </is>
      </c>
      <c r="N89" t="inlineStr">
        <is>
          <t>K</t>
        </is>
      </c>
      <c r="O89" t="inlineStr">
        <is>
          <t>20231017</t>
        </is>
      </c>
      <c r="P89" t="inlineStr">
        <is>
          <t>Jawa Timur</t>
        </is>
      </c>
      <c r="Q89" t="inlineStr"/>
    </row>
    <row r="90">
      <c r="A90" t="inlineStr">
        <is>
          <t>TRI CIPTA</t>
        </is>
      </c>
      <c r="B90" t="inlineStr">
        <is>
          <t>Kota Palembang</t>
        </is>
      </c>
      <c r="C90" t="inlineStr">
        <is>
          <t>081391655500</t>
        </is>
      </c>
      <c r="D90" t="inlineStr">
        <is>
          <t>cv.tricipta@yahoo.co.id</t>
        </is>
      </c>
      <c r="E90" t="inlineStr">
        <is>
          <t>https://lpjk.pu.go.id/search-badan-usaha-detail/TlZZdXM1M1JqQktOa1A3Kzl1dVJ0dz09</t>
        </is>
      </c>
      <c r="F90" t="n">
        <v>1</v>
      </c>
      <c r="G90" t="inlineStr">
        <is>
          <t>RK003</t>
        </is>
      </c>
      <c r="H90" t="inlineStr">
        <is>
          <t>12 September 1996</t>
        </is>
      </c>
      <c r="I90" s="2" t="n">
        <v>46325</v>
      </c>
      <c r="J90" t="inlineStr">
        <is>
          <t>Disetujui</t>
        </is>
      </c>
      <c r="K90" t="n">
        <v>60</v>
      </c>
      <c r="L90" t="inlineStr">
        <is>
          <t>30 Oktober 2026</t>
        </is>
      </c>
      <c r="M90" t="inlineStr">
        <is>
          <t>Jasa Rekayasa Pekerjaan Teknik Sipil Transportasi</t>
        </is>
      </c>
      <c r="N90" t="inlineStr">
        <is>
          <t>K</t>
        </is>
      </c>
      <c r="O90" t="inlineStr">
        <is>
          <t>20231021</t>
        </is>
      </c>
      <c r="P90" t="inlineStr">
        <is>
          <t>Sumatera Selatan</t>
        </is>
      </c>
      <c r="Q90" t="inlineStr"/>
    </row>
    <row r="91">
      <c r="A91" t="inlineStr">
        <is>
          <t>TRIMITRA KREASINDO</t>
        </is>
      </c>
      <c r="B91" t="inlineStr">
        <is>
          <t>Kota Tangerang</t>
        </is>
      </c>
      <c r="C91" t="inlineStr">
        <is>
          <t>081932107029</t>
        </is>
      </c>
      <c r="D91" t="inlineStr">
        <is>
          <t>cv.trimitrakreasindo2023@gmail.com</t>
        </is>
      </c>
      <c r="E91" t="inlineStr">
        <is>
          <t>https://lpjk.pu.go.id/search-badan-usaha-detail/d2M1NnBrNk0xbUhiQkpsVmhiWUFaUT09</t>
        </is>
      </c>
      <c r="F91" t="n">
        <v>2</v>
      </c>
      <c r="G91" t="inlineStr">
        <is>
          <t>BG001</t>
        </is>
      </c>
      <c r="H91" t="inlineStr">
        <is>
          <t>28 November 2012</t>
        </is>
      </c>
      <c r="I91" s="2" t="n">
        <v>46325</v>
      </c>
      <c r="J91" t="inlineStr">
        <is>
          <t>Disetujui</t>
        </is>
      </c>
      <c r="K91" t="n">
        <v>60</v>
      </c>
      <c r="L91" t="inlineStr">
        <is>
          <t>30 Oktober 2026</t>
        </is>
      </c>
      <c r="M91" t="inlineStr">
        <is>
          <t>Konstruksi Gedung Hunian</t>
        </is>
      </c>
      <c r="N91" t="inlineStr">
        <is>
          <t>K</t>
        </is>
      </c>
      <c r="O91" t="inlineStr">
        <is>
          <t>20231026</t>
        </is>
      </c>
      <c r="P91" t="inlineStr">
        <is>
          <t>Banten</t>
        </is>
      </c>
      <c r="Q91" t="inlineStr"/>
    </row>
    <row r="92">
      <c r="A92" t="inlineStr">
        <is>
          <t>TUAH HAMIZAN</t>
        </is>
      </c>
      <c r="B92" t="inlineStr">
        <is>
          <t>Kab. Sintang</t>
        </is>
      </c>
      <c r="C92" t="inlineStr">
        <is>
          <t>081345232484</t>
        </is>
      </c>
      <c r="D92" t="inlineStr">
        <is>
          <t>cvtuahhamizan23@gmail.com</t>
        </is>
      </c>
      <c r="E92" t="inlineStr">
        <is>
          <t>https://lpjk.pu.go.id/search-badan-usaha-detail/RFBpTWFEL0swZGVydVBRQjJxRTIvZz09</t>
        </is>
      </c>
      <c r="F92" t="n">
        <v>2</v>
      </c>
      <c r="G92" t="inlineStr">
        <is>
          <t>BS001, BS004</t>
        </is>
      </c>
      <c r="H92" t="inlineStr">
        <is>
          <t>14 April 2020</t>
        </is>
      </c>
      <c r="I92" s="2" t="n">
        <v>46325</v>
      </c>
      <c r="J92" t="inlineStr">
        <is>
          <t>Disetujui, Pencabutan</t>
        </is>
      </c>
      <c r="K92" t="n">
        <v>60</v>
      </c>
      <c r="L92" t="inlineStr">
        <is>
          <t>30 Oktober 2026</t>
        </is>
      </c>
      <c r="M92" t="inlineStr">
        <is>
          <t>Konstruksi Bangunan Sipil Jalan, Konstruksi Jaringan Irigasi dan Drainase</t>
        </is>
      </c>
      <c r="N92" t="inlineStr">
        <is>
          <t>K</t>
        </is>
      </c>
      <c r="O92" t="inlineStr">
        <is>
          <t>20231029</t>
        </is>
      </c>
      <c r="P92" t="inlineStr">
        <is>
          <t>Kalimantan Barat</t>
        </is>
      </c>
      <c r="Q92" t="inlineStr"/>
    </row>
    <row r="93">
      <c r="A93" t="inlineStr">
        <is>
          <t>TUKANG BANGUN RUANG</t>
        </is>
      </c>
      <c r="B93" t="inlineStr">
        <is>
          <t>Kota Tangerang Selatan</t>
        </is>
      </c>
      <c r="C93" t="inlineStr">
        <is>
          <t>02139703524</t>
        </is>
      </c>
      <c r="D93" t="inlineStr">
        <is>
          <t>tukang.bangun.ruang@gmail.com</t>
        </is>
      </c>
      <c r="E93" t="inlineStr">
        <is>
          <t>https://lpjk.pu.go.id/search-badan-usaha-detail/UENLbll5OFpaUDlZYUUyS0Z1bDVJdz09</t>
        </is>
      </c>
      <c r="F93" t="n">
        <v>1</v>
      </c>
      <c r="G93" t="inlineStr">
        <is>
          <t>PB004</t>
        </is>
      </c>
      <c r="H93" t="inlineStr">
        <is>
          <t>25 Mei 2023</t>
        </is>
      </c>
      <c r="I93" s="2" t="n">
        <v>46325</v>
      </c>
      <c r="J93" t="inlineStr">
        <is>
          <t>Pencabutan</t>
        </is>
      </c>
      <c r="K93" t="n">
        <v>60</v>
      </c>
      <c r="L93" t="inlineStr">
        <is>
          <t>30 Oktober 2026</t>
        </is>
      </c>
      <c r="M93" t="inlineStr">
        <is>
          <t>Dekorasi Interior</t>
        </is>
      </c>
      <c r="N93" t="inlineStr">
        <is>
          <t>Spesialis</t>
        </is>
      </c>
      <c r="O93" t="inlineStr">
        <is>
          <t>20231026</t>
        </is>
      </c>
      <c r="P93" t="inlineStr">
        <is>
          <t>Banten</t>
        </is>
      </c>
      <c r="Q93" t="inlineStr"/>
    </row>
    <row r="94">
      <c r="A94" t="inlineStr">
        <is>
          <t>WAHYU TUNGGAL PUTRA</t>
        </is>
      </c>
      <c r="B94" t="inlineStr">
        <is>
          <t>Kab. Kapuas Hulu</t>
        </is>
      </c>
      <c r="C94" t="inlineStr">
        <is>
          <t>0822543479</t>
        </is>
      </c>
      <c r="D94" t="inlineStr">
        <is>
          <t>wahyutunggalputra1001@gmail.com</t>
        </is>
      </c>
      <c r="E94" t="inlineStr">
        <is>
          <t>https://lpjk.pu.go.id/search-badan-usaha-detail/QnZoYTR2Y0VwendJdkUzU3VHdFljZz09</t>
        </is>
      </c>
      <c r="F94" t="n">
        <v>1</v>
      </c>
      <c r="G94" t="inlineStr">
        <is>
          <t>BS001</t>
        </is>
      </c>
      <c r="H94" t="inlineStr">
        <is>
          <t>13 Desember 1999</t>
        </is>
      </c>
      <c r="I94" s="2" t="n">
        <v>46325</v>
      </c>
      <c r="J94" t="inlineStr">
        <is>
          <t>Disetujui</t>
        </is>
      </c>
      <c r="K94" t="n">
        <v>60</v>
      </c>
      <c r="L94" t="inlineStr">
        <is>
          <t>30 Oktober 2026</t>
        </is>
      </c>
      <c r="M94" t="inlineStr">
        <is>
          <t>Konstruksi Bangunan Sipil Jalan</t>
        </is>
      </c>
      <c r="N94" t="inlineStr">
        <is>
          <t>K</t>
        </is>
      </c>
      <c r="O94" t="inlineStr">
        <is>
          <t>20231028</t>
        </is>
      </c>
      <c r="P94" t="inlineStr">
        <is>
          <t>Kalimantan Barat</t>
        </is>
      </c>
      <c r="Q94" t="inlineStr"/>
    </row>
    <row r="95">
      <c r="A95" t="inlineStr">
        <is>
          <t>WIRA KUSUMA SEJAHTERA</t>
        </is>
      </c>
      <c r="B95" t="inlineStr">
        <is>
          <t>Kota Adm. Jakarta Pusat</t>
        </is>
      </c>
      <c r="C95" t="inlineStr">
        <is>
          <t>0216296661</t>
        </is>
      </c>
      <c r="D95" t="inlineStr">
        <is>
          <t>sun@wiraks.co.id</t>
        </is>
      </c>
      <c r="E95" t="inlineStr">
        <is>
          <t>https://lpjk.pu.go.id/search-badan-usaha-detail/WTAwdEpFdzRVOFFvK09kQzVybStCQT09</t>
        </is>
      </c>
      <c r="F95" t="n">
        <v>1</v>
      </c>
      <c r="G95" t="inlineStr">
        <is>
          <t>IN008</t>
        </is>
      </c>
      <c r="H95" t="inlineStr">
        <is>
          <t>6 Oktober 2003</t>
        </is>
      </c>
      <c r="I95" s="2" t="n">
        <v>46325</v>
      </c>
      <c r="J95" t="inlineStr">
        <is>
          <t>Disetujui</t>
        </is>
      </c>
      <c r="K95" t="n">
        <v>60</v>
      </c>
      <c r="L95" t="inlineStr">
        <is>
          <t>30 Oktober 2026</t>
        </is>
      </c>
      <c r="M95" t="inlineStr">
        <is>
          <t>Instalasi Pendingin Dan Ventilasi Udara</t>
        </is>
      </c>
      <c r="N95" t="inlineStr">
        <is>
          <t>Spesialis</t>
        </is>
      </c>
      <c r="O95" t="inlineStr">
        <is>
          <t>20231017</t>
        </is>
      </c>
      <c r="P95" t="inlineStr">
        <is>
          <t>DKI Jakarta</t>
        </is>
      </c>
      <c r="Q95" t="inlineStr"/>
    </row>
    <row r="96">
      <c r="A96" t="inlineStr">
        <is>
          <t>YUDA PUTRA</t>
        </is>
      </c>
      <c r="B96" t="inlineStr">
        <is>
          <t>Kab. Ponorogo</t>
        </is>
      </c>
      <c r="C96" t="inlineStr">
        <is>
          <t>085230712500</t>
        </is>
      </c>
      <c r="D96" t="inlineStr">
        <is>
          <t>putra.yuda13@yahoo.com</t>
        </is>
      </c>
      <c r="E96" t="inlineStr">
        <is>
          <t>https://lpjk.pu.go.id/search-badan-usaha-detail/bkNqek1abU9XWlZQbDRzeHUvbVo1Zz09</t>
        </is>
      </c>
      <c r="F96" t="n">
        <v>1</v>
      </c>
      <c r="G96" t="inlineStr">
        <is>
          <t>BS001</t>
        </is>
      </c>
      <c r="H96" t="inlineStr">
        <is>
          <t>29 Maret 2016</t>
        </is>
      </c>
      <c r="I96" s="2" t="n">
        <v>46325</v>
      </c>
      <c r="J96" t="inlineStr">
        <is>
          <t>Disetujui</t>
        </is>
      </c>
      <c r="K96" t="n">
        <v>60</v>
      </c>
      <c r="L96" t="inlineStr">
        <is>
          <t>30 Oktober 2026</t>
        </is>
      </c>
      <c r="M96" t="inlineStr">
        <is>
          <t>Konstruksi Bangunan Sipil Jalan</t>
        </is>
      </c>
      <c r="N96" t="inlineStr">
        <is>
          <t>K</t>
        </is>
      </c>
      <c r="O96" t="inlineStr">
        <is>
          <t>20231027</t>
        </is>
      </c>
      <c r="P96" t="inlineStr">
        <is>
          <t>Jawa Timur</t>
        </is>
      </c>
      <c r="Q9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0" customWidth="1" min="1" max="1"/>
    <col width="25" customWidth="1" min="2" max="2"/>
    <col width="16" customWidth="1" min="3" max="3"/>
    <col width="37" customWidth="1" min="4" max="4"/>
    <col width="50" customWidth="1" min="5" max="5"/>
    <col width="18" customWidth="1" min="6" max="6"/>
    <col width="35" customWidth="1" min="7" max="7"/>
    <col width="20" customWidth="1" min="8" max="8"/>
    <col width="28" customWidth="1" min="9" max="9"/>
    <col width="12" customWidth="1" min="10" max="10"/>
    <col width="11" customWidth="1" min="11" max="11"/>
    <col width="19" customWidth="1" min="12" max="12"/>
    <col width="50" customWidth="1" min="13" max="13"/>
    <col width="13" customWidth="1" min="14" max="14"/>
    <col width="4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ADHIA KARYAINDO</t>
        </is>
      </c>
      <c r="B2" t="inlineStr">
        <is>
          <t>Kota Bogor</t>
        </is>
      </c>
      <c r="C2" t="inlineStr">
        <is>
          <t>082113360062</t>
        </is>
      </c>
      <c r="D2" t="inlineStr">
        <is>
          <t>trieramdhaniiklas@gmail.com</t>
        </is>
      </c>
      <c r="E2" t="inlineStr">
        <is>
          <t>https://lpjk.pu.go.id/search-badan-usaha-detail/UE1MZHRzYU4xWWo0MXV5OWdFQVkvdz09</t>
        </is>
      </c>
      <c r="F2" t="n">
        <v>15</v>
      </c>
      <c r="G2" t="inlineStr">
        <is>
          <t>BS001, BS004</t>
        </is>
      </c>
      <c r="H2" t="inlineStr">
        <is>
          <t>24 Agustus 2023</t>
        </is>
      </c>
      <c r="I2" s="2" t="n">
        <v>46295</v>
      </c>
      <c r="J2" t="inlineStr">
        <is>
          <t>Disetujui</t>
        </is>
      </c>
      <c r="K2" t="n">
        <v>30</v>
      </c>
      <c r="L2" t="inlineStr">
        <is>
          <t>30 September 2026</t>
        </is>
      </c>
      <c r="M2" t="inlineStr">
        <is>
          <t>Konstruksi Bangunan Sipil Jalan, Konstruksi Jaringan Irigasi dan Drainase</t>
        </is>
      </c>
      <c r="N2" t="inlineStr">
        <is>
          <t>K</t>
        </is>
      </c>
      <c r="O2" t="inlineStr">
        <is>
          <t>20230908</t>
        </is>
      </c>
      <c r="P2" t="inlineStr">
        <is>
          <t>Jawa Barat</t>
        </is>
      </c>
      <c r="Q2" s="3">
        <f>HYPERLINK("https://wa.me/6282113360062?text=*[Pengingat Masa Berlaku SBU ADHIA KARYAINDO]*%0A%0AYth. Pimpinan ADHIA KARYAINDO,%0AMohon izin menginformasikan status SBU Anda:%0A%0A📄 SBU: BS001, BS004%0A📅 Expired: 30 September 2026 (30 Hari Lagi)%0A%0AKami tim PT. ESDEA Assistance Management siap men-support proses perpanjangan segera agar administrasi proyek tidak terhambat%0A%0AApakah boleh saya bantu siapkan estimasi biaya dan waktu pengerjaannya?.", "Hubungi")</f>
        <v/>
      </c>
    </row>
    <row r="3">
      <c r="A3" t="inlineStr">
        <is>
          <t>ANUGERAH BANGUNJAYA ABADI</t>
        </is>
      </c>
      <c r="B3" t="inlineStr">
        <is>
          <t>Kota Bekasi</t>
        </is>
      </c>
      <c r="C3" t="inlineStr">
        <is>
          <t>02188954583</t>
        </is>
      </c>
      <c r="D3" t="inlineStr">
        <is>
          <t>anugerahdatabase@gmail.com</t>
        </is>
      </c>
      <c r="E3" t="inlineStr">
        <is>
          <t>https://lpjk.pu.go.id/search-badan-usaha-detail/dzhBZjVCR3Y3MnFIN1Fjem5ZYTVMUT09</t>
        </is>
      </c>
      <c r="F3" t="n">
        <v>1</v>
      </c>
      <c r="G3" t="inlineStr">
        <is>
          <t>BG009</t>
        </is>
      </c>
      <c r="H3" t="inlineStr">
        <is>
          <t>25 Oktober 2005</t>
        </is>
      </c>
      <c r="I3" s="2" t="n">
        <v>46295</v>
      </c>
      <c r="J3" t="inlineStr">
        <is>
          <t>Disetujui</t>
        </is>
      </c>
      <c r="K3" t="n">
        <v>30</v>
      </c>
      <c r="L3" t="inlineStr">
        <is>
          <t>30 September 2026</t>
        </is>
      </c>
      <c r="M3" t="inlineStr">
        <is>
          <t>Konstruksi Gedung Lainnya</t>
        </is>
      </c>
      <c r="N3" t="inlineStr">
        <is>
          <t>K</t>
        </is>
      </c>
      <c r="O3" t="inlineStr">
        <is>
          <t>20230927</t>
        </is>
      </c>
      <c r="P3" t="inlineStr">
        <is>
          <t>Jawa Barat</t>
        </is>
      </c>
      <c r="Q3" t="inlineStr"/>
    </row>
    <row r="4">
      <c r="A4" t="inlineStr">
        <is>
          <t>DINDA JAYA PERSADA</t>
        </is>
      </c>
      <c r="B4" t="inlineStr">
        <is>
          <t>Kota Depok</t>
        </is>
      </c>
      <c r="C4" t="inlineStr">
        <is>
          <t>081380132123</t>
        </is>
      </c>
      <c r="D4" t="inlineStr">
        <is>
          <t>djpyadin72@gmail.com</t>
        </is>
      </c>
      <c r="E4" t="inlineStr">
        <is>
          <t>https://lpjk.pu.go.id/search-badan-usaha-detail/bFFKTmU2R0lmYmUrQWQ1dXkzNU00QT09</t>
        </is>
      </c>
      <c r="F4" t="n">
        <v>1</v>
      </c>
      <c r="G4" t="inlineStr">
        <is>
          <t>BG002</t>
        </is>
      </c>
      <c r="H4" t="inlineStr">
        <is>
          <t>2 Juli 2019</t>
        </is>
      </c>
      <c r="I4" s="2" t="n">
        <v>46295</v>
      </c>
      <c r="J4" t="inlineStr">
        <is>
          <t>Disetujui</t>
        </is>
      </c>
      <c r="K4" t="n">
        <v>30</v>
      </c>
      <c r="L4" t="inlineStr">
        <is>
          <t>30 September 2026</t>
        </is>
      </c>
      <c r="M4" t="inlineStr">
        <is>
          <t>Konstruksi Gedung Perkantoran</t>
        </is>
      </c>
      <c r="N4" t="inlineStr">
        <is>
          <t>K</t>
        </is>
      </c>
      <c r="O4" t="inlineStr">
        <is>
          <t>20230926</t>
        </is>
      </c>
      <c r="P4" t="inlineStr">
        <is>
          <t>Jawa Barat</t>
        </is>
      </c>
      <c r="Q4" s="3">
        <f>HYPERLINK("https://wa.me/6281380132123?text=*[Pengingat Masa Berlaku SBU DINDA JAYA PERSADA]*%0A%0AYth. Pimpinan DINDA JAYA PERSADA,%0AMohon izin menginformasikan status SBU Anda:%0A%0A📄 SBU: BG002%0A📅 Expired: 30 September 2026 (30 Hari Lagi)%0A%0AKami tim PT. ESDEA Assistance Management siap men-support proses perpanjangan segera agar administrasi proyek tidak terhambat%0A%0AApakah boleh saya bantu siapkan estimasi biaya dan waktu pengerjaannya?.", "Hubungi")</f>
        <v/>
      </c>
    </row>
    <row r="5">
      <c r="A5" t="inlineStr">
        <is>
          <t>INDOTAMA SAKTI SEJAHTERA</t>
        </is>
      </c>
      <c r="B5" t="inlineStr">
        <is>
          <t>Kota Bekasi</t>
        </is>
      </c>
      <c r="C5" t="inlineStr">
        <is>
          <t>02189993502</t>
        </is>
      </c>
      <c r="D5" t="inlineStr">
        <is>
          <t>pt.indotamasaktisejahtera@gmail.com</t>
        </is>
      </c>
      <c r="E5" t="inlineStr">
        <is>
          <t>https://lpjk.pu.go.id/search-badan-usaha-detail/cXFXTG9hWklqbmJpSUhZTEVFRjVwZz09</t>
        </is>
      </c>
      <c r="F5" t="n">
        <v>2</v>
      </c>
      <c r="G5" t="inlineStr">
        <is>
          <t>BS001</t>
        </is>
      </c>
      <c r="H5" t="inlineStr">
        <is>
          <t>26 Oktober 2021</t>
        </is>
      </c>
      <c r="I5" s="2" t="n">
        <v>46295</v>
      </c>
      <c r="J5" t="inlineStr">
        <is>
          <t>Pencabutan</t>
        </is>
      </c>
      <c r="K5" t="n">
        <v>30</v>
      </c>
      <c r="L5" t="inlineStr">
        <is>
          <t>30 September 2026</t>
        </is>
      </c>
      <c r="M5" t="inlineStr">
        <is>
          <t>Konstruksi Bangunan Sipil Jalan</t>
        </is>
      </c>
      <c r="N5" t="inlineStr">
        <is>
          <t>K</t>
        </is>
      </c>
      <c r="O5" t="inlineStr">
        <is>
          <t>20230921</t>
        </is>
      </c>
      <c r="P5" t="inlineStr">
        <is>
          <t>Jawa Barat</t>
        </is>
      </c>
      <c r="Q5" t="inlineStr"/>
    </row>
    <row r="6">
      <c r="A6" t="inlineStr">
        <is>
          <t>ALAM MITRA KARYA</t>
        </is>
      </c>
      <c r="B6" t="inlineStr">
        <is>
          <t>Kota Palangkaraya</t>
        </is>
      </c>
      <c r="C6" t="inlineStr">
        <is>
          <t>081257566610</t>
        </is>
      </c>
      <c r="D6" t="inlineStr">
        <is>
          <t>alam.mitrakarya@gmail.com</t>
        </is>
      </c>
      <c r="E6" t="inlineStr">
        <is>
          <t>https://lpjk.pu.go.id/search-badan-usaha-detail/VVJTWmZUcUtNbmVXYWR5OXNZN0RWdz09</t>
        </is>
      </c>
      <c r="F6" t="n">
        <v>4</v>
      </c>
      <c r="G6" t="inlineStr">
        <is>
          <t>BG001, BG002, BG003, BG007</t>
        </is>
      </c>
      <c r="H6" t="inlineStr">
        <is>
          <t>11 Juli 2023</t>
        </is>
      </c>
      <c r="I6" s="2" t="n">
        <v>46295</v>
      </c>
      <c r="J6" t="inlineStr">
        <is>
          <t>Pencabutan</t>
        </is>
      </c>
      <c r="K6" t="n">
        <v>30</v>
      </c>
      <c r="L6" t="inlineStr">
        <is>
          <t>30 September 2026</t>
        </is>
      </c>
      <c r="M6" t="inlineStr">
        <is>
          <t>Konstruksi Gedung Hunian, Konstruksi Gedung Industri, Konstruksi Gedung Penginapan, Konstruksi Gedung Perkantoran</t>
        </is>
      </c>
      <c r="N6" t="inlineStr">
        <is>
          <t>K</t>
        </is>
      </c>
      <c r="O6" t="inlineStr">
        <is>
          <t>20230828</t>
        </is>
      </c>
      <c r="P6" t="inlineStr">
        <is>
          <t>Kalimantan Tengah</t>
        </is>
      </c>
      <c r="Q6" t="inlineStr"/>
    </row>
    <row r="7">
      <c r="A7" t="inlineStr">
        <is>
          <t>ANUGRAH ILAHI</t>
        </is>
      </c>
      <c r="B7" t="inlineStr">
        <is>
          <t>Kab. Merauke</t>
        </is>
      </c>
      <c r="C7" t="inlineStr">
        <is>
          <t>082397195859</t>
        </is>
      </c>
      <c r="D7" t="inlineStr">
        <is>
          <t>cvanugrahilahi2019gmail.com</t>
        </is>
      </c>
      <c r="E7" t="inlineStr">
        <is>
          <t>https://lpjk.pu.go.id/search-badan-usaha-detail/MmErdE9JSVA5Y0F5RS9CR3NxYzNoUT09</t>
        </is>
      </c>
      <c r="F7" t="n">
        <v>6</v>
      </c>
      <c r="G7" t="inlineStr">
        <is>
          <t>BG002, BG008, BG009</t>
        </is>
      </c>
      <c r="H7" t="inlineStr">
        <is>
          <t>24 April 2014</t>
        </is>
      </c>
      <c r="I7" s="2" t="n">
        <v>46295</v>
      </c>
      <c r="J7" t="inlineStr">
        <is>
          <t>Disetujui</t>
        </is>
      </c>
      <c r="K7" t="n">
        <v>30</v>
      </c>
      <c r="L7" t="inlineStr">
        <is>
          <t>30 September 2026</t>
        </is>
      </c>
      <c r="M7" t="inlineStr">
        <is>
          <t>Konstruksi Gedung Lainnya, Konstruksi Gedung Perkantoran, Konstruksi Gedung Tempat Hiburan dan Olahraga</t>
        </is>
      </c>
      <c r="N7" t="inlineStr">
        <is>
          <t>K</t>
        </is>
      </c>
      <c r="O7" t="inlineStr">
        <is>
          <t>20230926, 20230927</t>
        </is>
      </c>
      <c r="P7" t="inlineStr">
        <is>
          <t>Papua</t>
        </is>
      </c>
      <c r="Q7" t="inlineStr"/>
    </row>
    <row r="8">
      <c r="A8" t="inlineStr">
        <is>
          <t>BAROKAT ALAM LESTARI</t>
        </is>
      </c>
      <c r="B8" t="inlineStr">
        <is>
          <t>Kab. Deli Serdang</t>
        </is>
      </c>
      <c r="C8" t="inlineStr">
        <is>
          <t>082165571075</t>
        </is>
      </c>
      <c r="D8" t="inlineStr">
        <is>
          <t>barokatalamlestari@gmail.com</t>
        </is>
      </c>
      <c r="E8" t="inlineStr">
        <is>
          <t>https://lpjk.pu.go.id/search-badan-usaha-detail/azF6bU1ya1FRcll6eUlVZ2IyYWI5dz09</t>
        </is>
      </c>
      <c r="F8" t="n">
        <v>6</v>
      </c>
      <c r="G8" t="inlineStr">
        <is>
          <t>BG002, BS001, BS004</t>
        </is>
      </c>
      <c r="H8" t="inlineStr">
        <is>
          <t>1 Desember 2020</t>
        </is>
      </c>
      <c r="I8" s="2" t="n">
        <v>46295</v>
      </c>
      <c r="J8" t="inlineStr">
        <is>
          <t>Disetujui</t>
        </is>
      </c>
      <c r="K8" t="n">
        <v>30</v>
      </c>
      <c r="L8" t="inlineStr">
        <is>
          <t>30 September 2026</t>
        </is>
      </c>
      <c r="M8" t="inlineStr">
        <is>
          <t>Konstruksi Bangunan Sipil Jalan, Konstruksi Gedung Perkantoran, Konstruksi Jaringan Irigasi dan Drainase</t>
        </is>
      </c>
      <c r="N8" t="inlineStr">
        <is>
          <t>K</t>
        </is>
      </c>
      <c r="O8" t="inlineStr">
        <is>
          <t>20230930, 20231002</t>
        </is>
      </c>
      <c r="P8" t="inlineStr">
        <is>
          <t>Sumatera Utara</t>
        </is>
      </c>
      <c r="Q8" t="inlineStr"/>
    </row>
    <row r="9">
      <c r="A9" t="inlineStr">
        <is>
          <t>BERKAH JAYA SENTOSA</t>
        </is>
      </c>
      <c r="B9" t="inlineStr">
        <is>
          <t>Kab. Kampar</t>
        </is>
      </c>
      <c r="C9" t="inlineStr">
        <is>
          <t>081260199262</t>
        </is>
      </c>
      <c r="D9" t="inlineStr">
        <is>
          <t>cv.berkahjayasentos4@gmail.com</t>
        </is>
      </c>
      <c r="E9" t="inlineStr">
        <is>
          <t>https://lpjk.pu.go.id/search-badan-usaha-detail/RmowRkk1bklrZVJLWHBFaUh3emdOUT09</t>
        </is>
      </c>
      <c r="F9" t="n">
        <v>6</v>
      </c>
      <c r="G9" t="inlineStr">
        <is>
          <t>BG009, BS002, BS004</t>
        </is>
      </c>
      <c r="H9" t="inlineStr">
        <is>
          <t>23 April 2018</t>
        </is>
      </c>
      <c r="I9" s="2" t="n">
        <v>46295</v>
      </c>
      <c r="J9" t="inlineStr">
        <is>
          <t>Disetujui</t>
        </is>
      </c>
      <c r="K9" t="n">
        <v>30</v>
      </c>
      <c r="L9" t="inlineStr">
        <is>
          <t>30 September 2026</t>
        </is>
      </c>
      <c r="M9" t="inlineStr">
        <is>
          <t>Bangunan Sipil Jembatan, Jalan Layang, Fly Over, dan Underpass, Konstruksi Gedung Lainnya, Konstruksi Jaringan Irigasi dan Drainase</t>
        </is>
      </c>
      <c r="N9" t="inlineStr">
        <is>
          <t>K</t>
        </is>
      </c>
      <c r="O9" t="inlineStr">
        <is>
          <t>20230929</t>
        </is>
      </c>
      <c r="P9" t="inlineStr">
        <is>
          <t>Riau</t>
        </is>
      </c>
      <c r="Q9" t="inlineStr"/>
    </row>
    <row r="10">
      <c r="A10" t="inlineStr">
        <is>
          <t>BERKAH SURYA</t>
        </is>
      </c>
      <c r="B10" t="inlineStr">
        <is>
          <t>Kota Pontianak</t>
        </is>
      </c>
      <c r="C10" t="inlineStr">
        <is>
          <t>05616731244</t>
        </is>
      </c>
      <c r="D10" t="inlineStr">
        <is>
          <t>cvberkahsurya@yahoo.com</t>
        </is>
      </c>
      <c r="E10" t="inlineStr">
        <is>
          <t>https://lpjk.pu.go.id/search-badan-usaha-detail/WDNrYTZlT1BqMUtqd3NhZGhtRUxpdz09</t>
        </is>
      </c>
      <c r="F10" t="n">
        <v>2</v>
      </c>
      <c r="G10" t="inlineStr">
        <is>
          <t>BG001</t>
        </is>
      </c>
      <c r="H10" t="inlineStr">
        <is>
          <t>29 Januari 2011</t>
        </is>
      </c>
      <c r="I10" s="2" t="n">
        <v>46295</v>
      </c>
      <c r="J10" t="inlineStr">
        <is>
          <t>Disetujui</t>
        </is>
      </c>
      <c r="K10" t="n">
        <v>30</v>
      </c>
      <c r="L10" t="inlineStr">
        <is>
          <t>30 September 2026</t>
        </is>
      </c>
      <c r="M10" t="inlineStr">
        <is>
          <t>Konstruksi Gedung Hunian</t>
        </is>
      </c>
      <c r="N10" t="inlineStr">
        <is>
          <t>K</t>
        </is>
      </c>
      <c r="O10" t="inlineStr">
        <is>
          <t>20230926</t>
        </is>
      </c>
      <c r="P10" t="inlineStr">
        <is>
          <t>Kalimantan Barat</t>
        </is>
      </c>
      <c r="Q10" t="inlineStr"/>
    </row>
    <row r="11">
      <c r="A11" t="inlineStr">
        <is>
          <t>BERKAT ABAH BERKAT MAMA</t>
        </is>
      </c>
      <c r="B11" t="inlineStr">
        <is>
          <t>Kota Banjarbaru</t>
        </is>
      </c>
      <c r="C11" t="inlineStr">
        <is>
          <t>081257048989</t>
        </is>
      </c>
      <c r="D11" t="inlineStr">
        <is>
          <t>cv.berkatabahmama@gmal.com</t>
        </is>
      </c>
      <c r="E11" t="inlineStr">
        <is>
          <t>https://lpjk.pu.go.id/search-badan-usaha-detail/TVNEOFE4SVJDRm4zNHNDaXFRTE1pdz09</t>
        </is>
      </c>
      <c r="F11" t="n">
        <v>10</v>
      </c>
      <c r="G11" t="inlineStr">
        <is>
          <t>BG005, BG006, BG009, BS004, BS010</t>
        </is>
      </c>
      <c r="H11" t="inlineStr">
        <is>
          <t>21 September 2023</t>
        </is>
      </c>
      <c r="I11" s="2" t="n">
        <v>46295</v>
      </c>
      <c r="J11" t="inlineStr">
        <is>
          <t>Disetujui</t>
        </is>
      </c>
      <c r="K11" t="n">
        <v>30</v>
      </c>
      <c r="L11" t="inlineStr">
        <is>
          <t>30 September 2026</t>
        </is>
      </c>
      <c r="M11" t="inlineStr">
        <is>
          <t>Konstruksi Bangunan Prasarana Sumber Daya Air, Konstruksi Gedung Kesehatan, Konstruksi Gedung Lainnya, Konstruksi Gedung Pendidikan, Konstruksi Jaringan Irigasi dan Drainase</t>
        </is>
      </c>
      <c r="N11" t="inlineStr">
        <is>
          <t>K</t>
        </is>
      </c>
      <c r="O11" t="inlineStr">
        <is>
          <t>20230930, 20231001, 20231003, 20231004</t>
        </is>
      </c>
      <c r="P11" t="inlineStr">
        <is>
          <t>Kalimantan Selatan</t>
        </is>
      </c>
      <c r="Q11" t="inlineStr"/>
    </row>
    <row r="12">
      <c r="A12" t="inlineStr">
        <is>
          <t>BUMI SRIWIJAYA</t>
        </is>
      </c>
      <c r="B12" t="inlineStr">
        <is>
          <t>Kota Palembang</t>
        </is>
      </c>
      <c r="C12" t="inlineStr">
        <is>
          <t>081286183303</t>
        </is>
      </c>
      <c r="D12" t="inlineStr">
        <is>
          <t>bsrpalembang@gmail.com</t>
        </is>
      </c>
      <c r="E12" t="inlineStr">
        <is>
          <t>https://lpjk.pu.go.id/search-badan-usaha-detail/QnhNZ1g5M01XZE1GVFBhUkZabDJGUT09</t>
        </is>
      </c>
      <c r="F12" t="n">
        <v>4</v>
      </c>
      <c r="G12" t="inlineStr">
        <is>
          <t>BG006, BG009</t>
        </is>
      </c>
      <c r="H12" t="inlineStr">
        <is>
          <t>29 Mei 2000</t>
        </is>
      </c>
      <c r="I12" s="2" t="n">
        <v>46295</v>
      </c>
      <c r="J12" t="inlineStr">
        <is>
          <t>Disetujui</t>
        </is>
      </c>
      <c r="K12" t="n">
        <v>30</v>
      </c>
      <c r="L12" t="inlineStr">
        <is>
          <t>30 September 2026</t>
        </is>
      </c>
      <c r="M12" t="inlineStr">
        <is>
          <t>Konstruksi Gedung Lainnya, Konstruksi Gedung Pendidikan</t>
        </is>
      </c>
      <c r="N12" t="inlineStr">
        <is>
          <t>K</t>
        </is>
      </c>
      <c r="O12" t="inlineStr">
        <is>
          <t>20230929</t>
        </is>
      </c>
      <c r="P12" t="inlineStr">
        <is>
          <t>Sumatera Selatan</t>
        </is>
      </c>
      <c r="Q12" t="inlineStr"/>
    </row>
    <row r="13">
      <c r="A13" t="inlineStr">
        <is>
          <t>CAHAYA ELANG SEMESTA</t>
        </is>
      </c>
      <c r="B13" t="inlineStr">
        <is>
          <t>Kab. Gowa</t>
        </is>
      </c>
      <c r="C13" t="inlineStr">
        <is>
          <t>082188961817</t>
        </is>
      </c>
      <c r="D13" t="inlineStr">
        <is>
          <t>fteneces09@gmail.com</t>
        </is>
      </c>
      <c r="E13" t="inlineStr">
        <is>
          <t>https://lpjk.pu.go.id/search-badan-usaha-detail/NHFzRFJob0t2R3ZYWHlBR2xidGlZZz09</t>
        </is>
      </c>
      <c r="F13" t="n">
        <v>1</v>
      </c>
      <c r="G13" t="inlineStr">
        <is>
          <t>BG006</t>
        </is>
      </c>
      <c r="H13" t="inlineStr">
        <is>
          <t>21 November 2022</t>
        </is>
      </c>
      <c r="I13" s="2" t="n">
        <v>46295</v>
      </c>
      <c r="J13" t="inlineStr">
        <is>
          <t>Pencabutan</t>
        </is>
      </c>
      <c r="K13" t="n">
        <v>30</v>
      </c>
      <c r="L13" t="inlineStr">
        <is>
          <t>30 September 2026</t>
        </is>
      </c>
      <c r="M13" t="inlineStr">
        <is>
          <t>Konstruksi Gedung Pendidikan</t>
        </is>
      </c>
      <c r="N13" t="inlineStr">
        <is>
          <t>K</t>
        </is>
      </c>
      <c r="O13" t="inlineStr">
        <is>
          <t>20230930</t>
        </is>
      </c>
      <c r="P13" t="inlineStr">
        <is>
          <t>Sulawesi Selatan</t>
        </is>
      </c>
      <c r="Q13" t="inlineStr"/>
    </row>
    <row r="14">
      <c r="A14" t="inlineStr">
        <is>
          <t>CIPTA KARYA WATERINDO</t>
        </is>
      </c>
      <c r="B14" t="inlineStr">
        <is>
          <t>Kota Adm. Jakarta Utara</t>
        </is>
      </c>
      <c r="C14" t="inlineStr">
        <is>
          <t>081318459592</t>
        </is>
      </c>
      <c r="D14" t="inlineStr">
        <is>
          <t>ckw.izin2020@gmail.com</t>
        </is>
      </c>
      <c r="E14" t="inlineStr">
        <is>
          <t>https://lpjk.pu.go.id/search-badan-usaha-detail/eFBKT2tvUDNVRm5qZ2VCUkJDUUc2Zz09</t>
        </is>
      </c>
      <c r="F14" t="n">
        <v>2</v>
      </c>
      <c r="G14" t="inlineStr">
        <is>
          <t>BG008</t>
        </is>
      </c>
      <c r="H14" t="inlineStr">
        <is>
          <t>26 Juni 2019</t>
        </is>
      </c>
      <c r="I14" s="2" t="n">
        <v>46295</v>
      </c>
      <c r="J14" t="inlineStr">
        <is>
          <t>Pencabutan</t>
        </is>
      </c>
      <c r="K14" t="n">
        <v>30</v>
      </c>
      <c r="L14" t="inlineStr">
        <is>
          <t>30 September 2026</t>
        </is>
      </c>
      <c r="M14" t="inlineStr">
        <is>
          <t>Konstruksi Gedung Tempat Hiburan dan Olahraga</t>
        </is>
      </c>
      <c r="N14" t="inlineStr">
        <is>
          <t>K</t>
        </is>
      </c>
      <c r="O14" t="inlineStr">
        <is>
          <t>20230905</t>
        </is>
      </c>
      <c r="P14" t="inlineStr">
        <is>
          <t>DKI Jakarta</t>
        </is>
      </c>
      <c r="Q14" t="inlineStr"/>
    </row>
    <row r="15">
      <c r="A15" t="inlineStr">
        <is>
          <t>GEMA PUTRA TUNGGAL MAKMUR</t>
        </is>
      </c>
      <c r="B15" t="inlineStr">
        <is>
          <t>Kota Bandar Lampung</t>
        </is>
      </c>
      <c r="C15" t="inlineStr">
        <is>
          <t>082278214466</t>
        </is>
      </c>
      <c r="D15" t="inlineStr">
        <is>
          <t>Putratunggalmakmur22@gmail.com</t>
        </is>
      </c>
      <c r="E15" t="inlineStr">
        <is>
          <t>https://lpjk.pu.go.id/search-badan-usaha-detail/cjBCcXhJYkw5K0F5T0ovQnNKMXk3dz09</t>
        </is>
      </c>
      <c r="F15" t="n">
        <v>2</v>
      </c>
      <c r="G15" t="inlineStr">
        <is>
          <t>BS001, BS009</t>
        </is>
      </c>
      <c r="H15" t="inlineStr">
        <is>
          <t>9 Mei 2025</t>
        </is>
      </c>
      <c r="I15" s="2" t="n">
        <v>46295</v>
      </c>
      <c r="J15" t="inlineStr">
        <is>
          <t>Disetujui</t>
        </is>
      </c>
      <c r="K15" t="n">
        <v>30</v>
      </c>
      <c r="L15" t="inlineStr">
        <is>
          <t>30 September 2026</t>
        </is>
      </c>
      <c r="M15" t="inlineStr">
        <is>
          <t>Konstruksi Bangunan Sipil Jalan, Konstruksi Sentral Telekomunikasi</t>
        </is>
      </c>
      <c r="N15" t="inlineStr">
        <is>
          <t>K</t>
        </is>
      </c>
      <c r="O15" t="inlineStr">
        <is>
          <t>20230925</t>
        </is>
      </c>
      <c r="P15" t="inlineStr">
        <is>
          <t>Lampung</t>
        </is>
      </c>
      <c r="Q15" t="inlineStr"/>
    </row>
    <row r="16">
      <c r="A16" t="inlineStr">
        <is>
          <t>HUMAERAH WARDANA PROPERTINDO</t>
        </is>
      </c>
      <c r="B16" t="inlineStr">
        <is>
          <t>Kab. Maros</t>
        </is>
      </c>
      <c r="C16" t="inlineStr">
        <is>
          <t>081270012534</t>
        </is>
      </c>
      <c r="D16" t="inlineStr">
        <is>
          <t>humaerah.wardana@gmail.com</t>
        </is>
      </c>
      <c r="E16" t="inlineStr">
        <is>
          <t>https://lpjk.pu.go.id/search-badan-usaha-detail/dnVYOSt3cUhGcDBxR2EvR05tWHRTZz09</t>
        </is>
      </c>
      <c r="F16" t="n">
        <v>1</v>
      </c>
      <c r="G16" t="inlineStr">
        <is>
          <t>BG001</t>
        </is>
      </c>
      <c r="H16" t="inlineStr">
        <is>
          <t>2 Februari 2023</t>
        </is>
      </c>
      <c r="I16" s="2" t="n">
        <v>46295</v>
      </c>
      <c r="J16" t="inlineStr">
        <is>
          <t>Pencabutan</t>
        </is>
      </c>
      <c r="K16" t="n">
        <v>30</v>
      </c>
      <c r="L16" t="inlineStr">
        <is>
          <t>30 September 2026</t>
        </is>
      </c>
      <c r="M16" t="inlineStr">
        <is>
          <t>Konstruksi Gedung Hunian</t>
        </is>
      </c>
      <c r="N16" t="inlineStr">
        <is>
          <t>K</t>
        </is>
      </c>
      <c r="O16" t="inlineStr">
        <is>
          <t>20230929</t>
        </is>
      </c>
      <c r="P16" t="inlineStr">
        <is>
          <t>Sulawesi Selatan</t>
        </is>
      </c>
      <c r="Q16" t="inlineStr"/>
    </row>
    <row r="17">
      <c r="A17" t="inlineStr">
        <is>
          <t>INTI SAMUDERA MAS</t>
        </is>
      </c>
      <c r="B17" t="inlineStr">
        <is>
          <t>Kota Semarang</t>
        </is>
      </c>
      <c r="C17" t="inlineStr">
        <is>
          <t>081334199800</t>
        </is>
      </c>
      <c r="D17" t="inlineStr">
        <is>
          <t>intisamuderamas@gmail.com</t>
        </is>
      </c>
      <c r="E17" t="inlineStr">
        <is>
          <t>https://lpjk.pu.go.id/search-badan-usaha-detail/Q00xOW15NXljeWw5ME9TRDZEUWtYUT09</t>
        </is>
      </c>
      <c r="F17" t="n">
        <v>5</v>
      </c>
      <c r="G17" t="inlineStr">
        <is>
          <t>BG001, BG002, BG003, BG006, BG007</t>
        </is>
      </c>
      <c r="H17" t="inlineStr">
        <is>
          <t>16 September 2023</t>
        </is>
      </c>
      <c r="I17" s="2" t="n">
        <v>46295</v>
      </c>
      <c r="J17" t="inlineStr">
        <is>
          <t>Pencabutan</t>
        </is>
      </c>
      <c r="K17" t="n">
        <v>30</v>
      </c>
      <c r="L17" t="inlineStr">
        <is>
          <t>30 September 2026</t>
        </is>
      </c>
      <c r="M17" t="inlineStr">
        <is>
          <t>Konstruksi Gedung Hunian, Konstruksi Gedung Industri, Konstruksi Gedung Pendidikan, Konstruksi Gedung Penginapan, Konstruksi Gedung Perkantoran</t>
        </is>
      </c>
      <c r="N17" t="inlineStr">
        <is>
          <t>K</t>
        </is>
      </c>
      <c r="O17" t="inlineStr">
        <is>
          <t>20230930</t>
        </is>
      </c>
      <c r="P17" t="inlineStr">
        <is>
          <t>Jawa Tengah</t>
        </is>
      </c>
      <c r="Q17" t="inlineStr"/>
    </row>
    <row r="18">
      <c r="A18" t="inlineStr">
        <is>
          <t>JAYA ABADI</t>
        </is>
      </c>
      <c r="B18" t="inlineStr">
        <is>
          <t>Kab. Sanggau</t>
        </is>
      </c>
      <c r="C18" t="inlineStr">
        <is>
          <t>085245250869</t>
        </is>
      </c>
      <c r="D18" t="inlineStr">
        <is>
          <t>cvjayaabadi797@gmail.com</t>
        </is>
      </c>
      <c r="E18" t="inlineStr">
        <is>
          <t>https://lpjk.pu.go.id/search-badan-usaha-detail/QVJ1QnRtZkVDZlc2MStlRURsRlZEUT09</t>
        </is>
      </c>
      <c r="F18" t="n">
        <v>1</v>
      </c>
      <c r="G18" t="inlineStr">
        <is>
          <t>BG006</t>
        </is>
      </c>
      <c r="H18" t="inlineStr">
        <is>
          <t>22 Juni 2012</t>
        </is>
      </c>
      <c r="I18" s="2" t="n">
        <v>46295</v>
      </c>
      <c r="J18" t="inlineStr">
        <is>
          <t>Pencabutan</t>
        </is>
      </c>
      <c r="K18" t="n">
        <v>30</v>
      </c>
      <c r="L18" t="inlineStr">
        <is>
          <t>30 September 2026</t>
        </is>
      </c>
      <c r="M18" t="inlineStr">
        <is>
          <t>Konstruksi Gedung Pendidikan</t>
        </is>
      </c>
      <c r="N18" t="inlineStr">
        <is>
          <t>K</t>
        </is>
      </c>
      <c r="O18" t="inlineStr">
        <is>
          <t>20230923</t>
        </is>
      </c>
      <c r="P18" t="inlineStr">
        <is>
          <t>Kalimantan Barat</t>
        </is>
      </c>
      <c r="Q18" t="inlineStr"/>
    </row>
    <row r="19">
      <c r="A19" t="inlineStr">
        <is>
          <t>KARYA PRIBUMI</t>
        </is>
      </c>
      <c r="B19" t="inlineStr">
        <is>
          <t>Kab. Pinrang</t>
        </is>
      </c>
      <c r="C19" t="inlineStr">
        <is>
          <t>0852 5082 2177</t>
        </is>
      </c>
      <c r="D19" t="inlineStr">
        <is>
          <t>karyapribumi14@gmail.com</t>
        </is>
      </c>
      <c r="E19" t="inlineStr">
        <is>
          <t>https://lpjk.pu.go.id/search-badan-usaha-detail/dDJBbUNkNC9wL0k1VE1UN0lxR0QwQT09</t>
        </is>
      </c>
      <c r="F19" t="n">
        <v>2</v>
      </c>
      <c r="G19" t="inlineStr">
        <is>
          <t>BG005, BG009</t>
        </is>
      </c>
      <c r="H19" t="inlineStr">
        <is>
          <t>14 April 2014</t>
        </is>
      </c>
      <c r="I19" s="2" t="n">
        <v>46295</v>
      </c>
      <c r="J19" t="inlineStr">
        <is>
          <t>Disetujui</t>
        </is>
      </c>
      <c r="K19" t="n">
        <v>30</v>
      </c>
      <c r="L19" t="inlineStr">
        <is>
          <t>30 September 2026</t>
        </is>
      </c>
      <c r="M19" t="inlineStr">
        <is>
          <t>Konstruksi Gedung Kesehatan, Konstruksi Gedung Lainnya</t>
        </is>
      </c>
      <c r="N19" t="inlineStr">
        <is>
          <t>K</t>
        </is>
      </c>
      <c r="O19" t="inlineStr">
        <is>
          <t>20211208, 20230928</t>
        </is>
      </c>
      <c r="P19" t="inlineStr">
        <is>
          <t>Sulawesi Selatan</t>
        </is>
      </c>
      <c r="Q19" t="inlineStr"/>
    </row>
    <row r="20">
      <c r="A20" t="inlineStr">
        <is>
          <t>LISANDO NUSANTARA KARYA</t>
        </is>
      </c>
      <c r="B20" t="inlineStr">
        <is>
          <t>Kab. Majalengka</t>
        </is>
      </c>
      <c r="C20" t="inlineStr">
        <is>
          <t>081221608720</t>
        </is>
      </c>
      <c r="D20" t="inlineStr">
        <is>
          <t>lindonusakarya@gmail.com</t>
        </is>
      </c>
      <c r="E20" t="inlineStr">
        <is>
          <t>https://lpjk.pu.go.id/search-badan-usaha-detail/L2YrYXAzY0p4MDg3MFZEbTJFT00zZz09</t>
        </is>
      </c>
      <c r="F20" t="n">
        <v>1</v>
      </c>
      <c r="G20" t="inlineStr">
        <is>
          <t>BS004</t>
        </is>
      </c>
      <c r="H20" t="inlineStr">
        <is>
          <t>14 Oktober 2020</t>
        </is>
      </c>
      <c r="I20" s="2" t="n">
        <v>46295</v>
      </c>
      <c r="J20" t="inlineStr">
        <is>
          <t>Disetujui</t>
        </is>
      </c>
      <c r="K20" t="n">
        <v>30</v>
      </c>
      <c r="L20" t="inlineStr">
        <is>
          <t>30 September 2026</t>
        </is>
      </c>
      <c r="M20" t="inlineStr">
        <is>
          <t>Konstruksi Jaringan Irigasi dan Drainase</t>
        </is>
      </c>
      <c r="N20" t="inlineStr">
        <is>
          <t>K</t>
        </is>
      </c>
      <c r="O20" t="inlineStr">
        <is>
          <t>20230929</t>
        </is>
      </c>
      <c r="P20" t="inlineStr">
        <is>
          <t>Jawa Barat</t>
        </is>
      </c>
      <c r="Q20" t="inlineStr"/>
    </row>
    <row r="21">
      <c r="A21" t="inlineStr">
        <is>
          <t>MEDIANA INDO GROUP</t>
        </is>
      </c>
      <c r="B21" t="inlineStr">
        <is>
          <t>Kota Makassar</t>
        </is>
      </c>
      <c r="C21" t="inlineStr">
        <is>
          <t>085399137984</t>
        </is>
      </c>
      <c r="D21" t="inlineStr">
        <is>
          <t>ptmedianaindogrouop@gmail.com</t>
        </is>
      </c>
      <c r="E21" t="inlineStr">
        <is>
          <t>https://lpjk.pu.go.id/search-badan-usaha-detail/Z2xJNkI4bG5DcUU2TDRmcERqcmJGZz09</t>
        </is>
      </c>
      <c r="F21" t="n">
        <v>2</v>
      </c>
      <c r="G21" t="inlineStr">
        <is>
          <t>BG009</t>
        </is>
      </c>
      <c r="H21" t="inlineStr">
        <is>
          <t>4 Februari 2023</t>
        </is>
      </c>
      <c r="I21" s="2" t="n">
        <v>46295</v>
      </c>
      <c r="J21" t="inlineStr">
        <is>
          <t>Pencabutan</t>
        </is>
      </c>
      <c r="K21" t="n">
        <v>30</v>
      </c>
      <c r="L21" t="inlineStr">
        <is>
          <t>30 September 2026</t>
        </is>
      </c>
      <c r="M21" t="inlineStr">
        <is>
          <t>Konstruksi Gedung Lainnya</t>
        </is>
      </c>
      <c r="N21" t="inlineStr">
        <is>
          <t>K</t>
        </is>
      </c>
      <c r="O21" t="inlineStr">
        <is>
          <t>20230930</t>
        </is>
      </c>
      <c r="P21" t="inlineStr">
        <is>
          <t>Sulawesi Selatan</t>
        </is>
      </c>
      <c r="Q21" t="inlineStr"/>
    </row>
    <row r="22">
      <c r="A22" t="inlineStr">
        <is>
          <t>MUTIARA KARYA FAMILY</t>
        </is>
      </c>
      <c r="B22" t="inlineStr">
        <is>
          <t>Kab. Maluku Tengah</t>
        </is>
      </c>
      <c r="C22" t="inlineStr">
        <is>
          <t>85236145324</t>
        </is>
      </c>
      <c r="D22" t="inlineStr">
        <is>
          <t>mutiaraalyacv@gmail.com</t>
        </is>
      </c>
      <c r="E22" t="inlineStr">
        <is>
          <t>https://lpjk.pu.go.id/search-badan-usaha-detail/Y1lWVTRUZVNPYWRoblhsUXJxVklzUT09</t>
        </is>
      </c>
      <c r="F22" t="n">
        <v>4</v>
      </c>
      <c r="G22" t="inlineStr">
        <is>
          <t>BS002, BS004</t>
        </is>
      </c>
      <c r="H22" t="inlineStr">
        <is>
          <t>21 Agustus 2023</t>
        </is>
      </c>
      <c r="I22" s="2" t="n">
        <v>46295</v>
      </c>
      <c r="J22" t="inlineStr">
        <is>
          <t>Disetujui</t>
        </is>
      </c>
      <c r="K22" t="n">
        <v>30</v>
      </c>
      <c r="L22" t="inlineStr">
        <is>
          <t>30 September 2026</t>
        </is>
      </c>
      <c r="M22" t="inlineStr">
        <is>
          <t>Bangunan Sipil Jembatan, Jalan Layang, Fly Over, dan Underpass, Konstruksi Jaringan Irigasi dan Drainase</t>
        </is>
      </c>
      <c r="N22" t="inlineStr">
        <is>
          <t>K</t>
        </is>
      </c>
      <c r="O22" t="inlineStr">
        <is>
          <t>20230929</t>
        </is>
      </c>
      <c r="P22" t="inlineStr">
        <is>
          <t>Maluku</t>
        </is>
      </c>
      <c r="Q22" t="inlineStr"/>
    </row>
    <row r="23">
      <c r="A23" t="inlineStr">
        <is>
          <t>NABILA SALMA</t>
        </is>
      </c>
      <c r="B23" t="inlineStr">
        <is>
          <t>Kab. Subang</t>
        </is>
      </c>
      <c r="C23" t="inlineStr">
        <is>
          <t>085158811627</t>
        </is>
      </c>
      <c r="D23" t="inlineStr">
        <is>
          <t>cv.nabilasalma@gmail.com</t>
        </is>
      </c>
      <c r="E23" t="inlineStr">
        <is>
          <t>https://lpjk.pu.go.id/search-badan-usaha-detail/S2NhZFFRMjlOcGJ6MUdrLytpZy9Pdz09</t>
        </is>
      </c>
      <c r="F23" t="n">
        <v>4</v>
      </c>
      <c r="G23" t="inlineStr">
        <is>
          <t>BS001, BS004</t>
        </is>
      </c>
      <c r="H23" t="inlineStr">
        <is>
          <t>31 Juli 2023</t>
        </is>
      </c>
      <c r="I23" s="2" t="n">
        <v>46295</v>
      </c>
      <c r="J23" t="inlineStr">
        <is>
          <t>Pencabutan</t>
        </is>
      </c>
      <c r="K23" t="n">
        <v>30</v>
      </c>
      <c r="L23" t="inlineStr">
        <is>
          <t>30 September 2026</t>
        </is>
      </c>
      <c r="M23" t="inlineStr">
        <is>
          <t>Konstruksi Bangunan Sipil Jalan, Konstruksi Jaringan Irigasi dan Drainase</t>
        </is>
      </c>
      <c r="N23" t="inlineStr">
        <is>
          <t>K</t>
        </is>
      </c>
      <c r="O23" t="inlineStr">
        <is>
          <t>20230930</t>
        </is>
      </c>
      <c r="P23" t="inlineStr">
        <is>
          <t>Jawa Barat</t>
        </is>
      </c>
      <c r="Q23" t="inlineStr"/>
    </row>
    <row r="24">
      <c r="A24" t="inlineStr">
        <is>
          <t>RAJENDRA</t>
        </is>
      </c>
      <c r="B24" t="inlineStr">
        <is>
          <t>Kota Madiun</t>
        </is>
      </c>
      <c r="C24" t="inlineStr">
        <is>
          <t>0351455300</t>
        </is>
      </c>
      <c r="D24" t="inlineStr">
        <is>
          <t>cvrajendra002@gmail.com</t>
        </is>
      </c>
      <c r="E24" t="inlineStr">
        <is>
          <t>https://lpjk.pu.go.id/search-badan-usaha-detail/UWJDTGkwbmRJY3crK3BWRXJIL0d1Zz09</t>
        </is>
      </c>
      <c r="F24" t="n">
        <v>5</v>
      </c>
      <c r="G24" t="inlineStr">
        <is>
          <t>BG002, BG004, BG005, BG006, BG009</t>
        </is>
      </c>
      <c r="H24" t="inlineStr">
        <is>
          <t>11 Mei 1994</t>
        </is>
      </c>
      <c r="I24" s="2" t="n">
        <v>46295</v>
      </c>
      <c r="J24" t="inlineStr">
        <is>
          <t>Disetujui</t>
        </is>
      </c>
      <c r="K24" t="n">
        <v>30</v>
      </c>
      <c r="L24" t="inlineStr">
        <is>
          <t>30 September 2026</t>
        </is>
      </c>
      <c r="M24" t="inlineStr">
        <is>
          <t>Konstruksi Gedung Kesehatan, Konstruksi Gedung Lainnya, Konstruksi Gedung Pendidikan, Konstruksi Gedung Perbelanjaan, Konstruksi Gedung Perkantoran</t>
        </is>
      </c>
      <c r="N24" t="inlineStr">
        <is>
          <t>K</t>
        </is>
      </c>
      <c r="O24" t="inlineStr">
        <is>
          <t>20230927, 20230928</t>
        </is>
      </c>
      <c r="P24" t="inlineStr">
        <is>
          <t>Jawa Timur</t>
        </is>
      </c>
      <c r="Q24" t="inlineStr"/>
    </row>
    <row r="25">
      <c r="A25" t="inlineStr">
        <is>
          <t>SEROJA PERSADA MANDIRI</t>
        </is>
      </c>
      <c r="B25" t="inlineStr">
        <is>
          <t>Kota Tangerang Selatan</t>
        </is>
      </c>
      <c r="C25" t="inlineStr">
        <is>
          <t>082210790601</t>
        </is>
      </c>
      <c r="D25" t="inlineStr">
        <is>
          <t>serojapersada.cv@gmail.com</t>
        </is>
      </c>
      <c r="E25" t="inlineStr">
        <is>
          <t>https://lpjk.pu.go.id/search-badan-usaha-detail/TXhJNXMrN3lRQTE0bE1yZkhrZDZkUT09</t>
        </is>
      </c>
      <c r="F25" t="n">
        <v>2</v>
      </c>
      <c r="G25" t="inlineStr">
        <is>
          <t>BG009, BS004</t>
        </is>
      </c>
      <c r="H25" t="inlineStr">
        <is>
          <t>18 Agustus 2020</t>
        </is>
      </c>
      <c r="I25" s="2" t="n">
        <v>46295</v>
      </c>
      <c r="J25" t="inlineStr">
        <is>
          <t>Disetujui</t>
        </is>
      </c>
      <c r="K25" t="n">
        <v>30</v>
      </c>
      <c r="L25" t="inlineStr">
        <is>
          <t>30 September 2026</t>
        </is>
      </c>
      <c r="M25" t="inlineStr">
        <is>
          <t>Konstruksi Gedung Lainnya, Konstruksi Jaringan Irigasi dan Drainase</t>
        </is>
      </c>
      <c r="N25" t="inlineStr">
        <is>
          <t>K</t>
        </is>
      </c>
      <c r="O25" t="inlineStr">
        <is>
          <t>20230929</t>
        </is>
      </c>
      <c r="P25" t="inlineStr">
        <is>
          <t>Banten</t>
        </is>
      </c>
      <c r="Q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2026-08-31T05:35:50Z</dcterms:created>
  <dcterms:modified xsi:type="dcterms:W3CDTF">2026-08-31T05:35:50Z</dcterms:modified>
</cp:coreProperties>
</file>