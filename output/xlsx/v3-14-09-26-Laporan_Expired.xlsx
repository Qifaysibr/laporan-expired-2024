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0"/>
  <sheetViews>
    <sheetView workbookViewId="0">
      <selection activeCell="A1" sqref="A1"/>
    </sheetView>
  </sheetViews>
  <sheetFormatPr baseColWidth="8" defaultRowHeight="15"/>
  <cols>
    <col width="32" customWidth="1" min="1" max="1"/>
    <col width="27" customWidth="1" min="2" max="2"/>
    <col width="16" customWidth="1" min="3" max="3"/>
    <col width="38"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ASRI KEMASINDO</t>
        </is>
      </c>
      <c r="B2" t="inlineStr">
        <is>
          <t>Kab. Bekasi</t>
        </is>
      </c>
      <c r="C2" t="inlineStr">
        <is>
          <t>081310138585</t>
        </is>
      </c>
      <c r="D2" t="inlineStr">
        <is>
          <t>lily.utami@asrikemasindo.com</t>
        </is>
      </c>
      <c r="E2" t="inlineStr">
        <is>
          <t>https://lpjk.pu.go.id/search-badan-usaha-detail/eFY1YzMwYURjMmtiN0V2eGJFcWphZz09</t>
        </is>
      </c>
      <c r="F2" t="n">
        <v>2</v>
      </c>
      <c r="G2" t="inlineStr">
        <is>
          <t>PL004, PL006</t>
        </is>
      </c>
      <c r="H2" t="inlineStr">
        <is>
          <t>25 Februari 2005</t>
        </is>
      </c>
      <c r="I2" s="2" t="n">
        <v>46366</v>
      </c>
      <c r="J2" t="inlineStr">
        <is>
          <t>Disetujui</t>
        </is>
      </c>
      <c r="K2" t="n">
        <v>87</v>
      </c>
      <c r="L2" t="inlineStr">
        <is>
          <t>10 Desember 2026</t>
        </is>
      </c>
      <c r="M2" t="inlineStr">
        <is>
          <t>Pekerjaan Tanah, Pelaksanaan Pekerjaan Utilitas</t>
        </is>
      </c>
      <c r="N2" t="inlineStr">
        <is>
          <t>Spesialis</t>
        </is>
      </c>
      <c r="O2" t="inlineStr">
        <is>
          <t>20231207</t>
        </is>
      </c>
      <c r="P2" t="inlineStr">
        <is>
          <t>Jawa Barat</t>
        </is>
      </c>
      <c r="Q2" s="3">
        <f>HYPERLINK("https://wa.me/6281310138585?text=Selamat siang Bapak/Ibu pimpinan ASRI KEMASINDO,%0A%0ASemoga Bapak/Ibu dalam keadaan baik.%0ABerdasarkan data LPJK, masa berlaku SBU perusahaan Bapak/Ibu akan berakhir sekitar 3 bulan lagi (pada 10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KAIZEN PANAME IDOTAMA</t>
        </is>
      </c>
      <c r="B3" t="inlineStr">
        <is>
          <t>Kota Adm. Jakarta Timur</t>
        </is>
      </c>
      <c r="C3" t="inlineStr">
        <is>
          <t>628138344153</t>
        </is>
      </c>
      <c r="D3" t="inlineStr">
        <is>
          <t>ptkaizen2023@gmail.com</t>
        </is>
      </c>
      <c r="E3" t="inlineStr">
        <is>
          <t>https://lpjk.pu.go.id/search-badan-usaha-detail/OWdaZ25KUEEyNTJ6aXZLNnhMb2ZZdz09</t>
        </is>
      </c>
      <c r="F3" t="n">
        <v>1</v>
      </c>
      <c r="G3" t="inlineStr">
        <is>
          <t>BS001</t>
        </is>
      </c>
      <c r="H3" t="inlineStr">
        <is>
          <t>24 Agustus 2023</t>
        </is>
      </c>
      <c r="I3" s="2" t="n">
        <v>46366</v>
      </c>
      <c r="J3" t="inlineStr">
        <is>
          <t>Disetujui</t>
        </is>
      </c>
      <c r="K3" t="n">
        <v>87</v>
      </c>
      <c r="L3" t="inlineStr">
        <is>
          <t>10 Desember 2026</t>
        </is>
      </c>
      <c r="M3" t="inlineStr">
        <is>
          <t>Konstruksi Bangunan Sipil Jalan</t>
        </is>
      </c>
      <c r="N3" t="inlineStr">
        <is>
          <t>K</t>
        </is>
      </c>
      <c r="O3" t="inlineStr">
        <is>
          <t>20231201</t>
        </is>
      </c>
      <c r="P3" t="inlineStr">
        <is>
          <t>DKI Jakarta</t>
        </is>
      </c>
      <c r="Q3" s="3">
        <f>HYPERLINK("https://wa.me/628138344153?text=Selamat siang Bapak/Ibu pimpinan KAIZEN PANAME IDOTAMA,%0A%0ASemoga Bapak/Ibu dalam keadaan baik.%0ABerdasarkan data LPJK, masa berlaku SBU perusahaan Bapak/Ibu akan berakhir sekitar 3 bulan lagi (pada 10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PESONA GAZA</t>
        </is>
      </c>
      <c r="B4" t="inlineStr">
        <is>
          <t>Kota Depok</t>
        </is>
      </c>
      <c r="C4" t="inlineStr">
        <is>
          <t>087878772722</t>
        </is>
      </c>
      <c r="D4" t="inlineStr">
        <is>
          <t>fauzan.gaza@yahoo.com</t>
        </is>
      </c>
      <c r="E4" t="inlineStr">
        <is>
          <t>https://lpjk.pu.go.id/search-badan-usaha-detail/aHkwSDF5UFdGa25tRWtrVWtNS2E5UT09</t>
        </is>
      </c>
      <c r="F4" t="n">
        <v>1</v>
      </c>
      <c r="G4" t="inlineStr">
        <is>
          <t>BS004</t>
        </is>
      </c>
      <c r="H4" t="inlineStr">
        <is>
          <t>3 Februari 2010</t>
        </is>
      </c>
      <c r="I4" s="2" t="n">
        <v>46366</v>
      </c>
      <c r="J4" t="inlineStr">
        <is>
          <t>Disetujui</t>
        </is>
      </c>
      <c r="K4" t="n">
        <v>87</v>
      </c>
      <c r="L4" t="inlineStr">
        <is>
          <t>10 Desember 2026</t>
        </is>
      </c>
      <c r="M4" t="inlineStr">
        <is>
          <t>Konstruksi Jaringan Irigasi dan Drainase</t>
        </is>
      </c>
      <c r="N4" t="inlineStr">
        <is>
          <t>K</t>
        </is>
      </c>
      <c r="O4" t="inlineStr">
        <is>
          <t>20231205</t>
        </is>
      </c>
      <c r="P4" t="inlineStr">
        <is>
          <t>Jawa Barat</t>
        </is>
      </c>
      <c r="Q4" s="3">
        <f>HYPERLINK("https://wa.me/6287878772722?text=Selamat siang Bapak/Ibu pimpinan PESONA GAZA,%0A%0ASemoga Bapak/Ibu dalam keadaan baik.%0ABerdasarkan data LPJK, masa berlaku SBU perusahaan Bapak/Ibu akan berakhir sekitar 3 bulan lagi (pada 10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PUTRA KARYA INDONESIA</t>
        </is>
      </c>
      <c r="B5" t="inlineStr">
        <is>
          <t>Kota Adm. Jakarta Timur</t>
        </is>
      </c>
      <c r="C5" t="inlineStr">
        <is>
          <t>085778315624</t>
        </is>
      </c>
      <c r="D5" t="inlineStr">
        <is>
          <t>cvputrakaryaindo@gmail.com</t>
        </is>
      </c>
      <c r="E5" t="inlineStr">
        <is>
          <t>https://lpjk.pu.go.id/search-badan-usaha-detail/cDJ4aG1NSW95L0ZSU1A3Wm5jY1VhQT09</t>
        </is>
      </c>
      <c r="F5" t="n">
        <v>1</v>
      </c>
      <c r="G5" t="inlineStr">
        <is>
          <t>BG001</t>
        </is>
      </c>
      <c r="H5" t="inlineStr">
        <is>
          <t>4 Desember 2023</t>
        </is>
      </c>
      <c r="I5" s="2" t="n">
        <v>46366</v>
      </c>
      <c r="J5" t="inlineStr">
        <is>
          <t>Disetujui</t>
        </is>
      </c>
      <c r="K5" t="n">
        <v>87</v>
      </c>
      <c r="L5" t="inlineStr">
        <is>
          <t>10 Desember 2026</t>
        </is>
      </c>
      <c r="M5" t="inlineStr">
        <is>
          <t>Konstruksi Gedung Hunian</t>
        </is>
      </c>
      <c r="N5" t="inlineStr">
        <is>
          <t>K</t>
        </is>
      </c>
      <c r="O5" t="inlineStr">
        <is>
          <t>20231208</t>
        </is>
      </c>
      <c r="P5" t="inlineStr">
        <is>
          <t>DKI Jakarta</t>
        </is>
      </c>
      <c r="Q5" s="3">
        <f>HYPERLINK("https://wa.me/6285778315624?text=Selamat siang Bapak/Ibu pimpinan PUTRA KARYA INDONESIA,%0A%0ASemoga Bapak/Ibu dalam keadaan baik.%0ABerdasarkan data LPJK, masa berlaku SBU perusahaan Bapak/Ibu akan berakhir sekitar 3 bulan lagi (pada 10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RIDA SUKSES MAKMUR</t>
        </is>
      </c>
      <c r="B6" t="inlineStr">
        <is>
          <t>Kota Adm. Jakarta Timur</t>
        </is>
      </c>
      <c r="C6" t="inlineStr">
        <is>
          <t>085640314260</t>
        </is>
      </c>
      <c r="D6" t="inlineStr">
        <is>
          <t>ridasuksesmakmur@gmail.com</t>
        </is>
      </c>
      <c r="E6" t="inlineStr">
        <is>
          <t>https://lpjk.pu.go.id/search-badan-usaha-detail/VEJObkFaTnhSK3FiMU8yWVJNb3BBdz09</t>
        </is>
      </c>
      <c r="F6" t="n">
        <v>1</v>
      </c>
      <c r="G6" t="inlineStr">
        <is>
          <t>BG006</t>
        </is>
      </c>
      <c r="H6" t="inlineStr">
        <is>
          <t>2 Oktober 2023</t>
        </is>
      </c>
      <c r="I6" s="2" t="n">
        <v>46366</v>
      </c>
      <c r="J6" t="inlineStr">
        <is>
          <t>Disetujui</t>
        </is>
      </c>
      <c r="K6" t="n">
        <v>87</v>
      </c>
      <c r="L6" t="inlineStr">
        <is>
          <t>10 Desember 2026</t>
        </is>
      </c>
      <c r="M6" t="inlineStr">
        <is>
          <t>Konstruksi Gedung Pendidikan</t>
        </is>
      </c>
      <c r="N6" t="inlineStr">
        <is>
          <t>K</t>
        </is>
      </c>
      <c r="O6" t="inlineStr">
        <is>
          <t>20231206</t>
        </is>
      </c>
      <c r="P6" t="inlineStr">
        <is>
          <t>DKI Jakarta</t>
        </is>
      </c>
      <c r="Q6" s="3">
        <f>HYPERLINK("https://wa.me/6285640314260?text=Selamat siang Bapak/Ibu pimpinan RIDA SUKSES MAKMUR,%0A%0ASemoga Bapak/Ibu dalam keadaan baik.%0ABerdasarkan data LPJK, masa berlaku SBU perusahaan Bapak/Ibu akan berakhir sekitar 3 bulan lagi (pada 10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ADI PUTRA</t>
        </is>
      </c>
      <c r="B7" t="inlineStr">
        <is>
          <t>Kab. Gresik</t>
        </is>
      </c>
      <c r="C7" t="inlineStr">
        <is>
          <t>081331675777</t>
        </is>
      </c>
      <c r="D7" t="inlineStr">
        <is>
          <t>cv.adiputra27@gmail.com</t>
        </is>
      </c>
      <c r="E7" t="inlineStr">
        <is>
          <t>https://lpjk.pu.go.id/search-badan-usaha-detail/MzNva1h5YVQzcEEvdjRnYmJTNUNOQT09</t>
        </is>
      </c>
      <c r="F7" t="n">
        <v>5</v>
      </c>
      <c r="G7" t="inlineStr">
        <is>
          <t>BG005, BG006, BG009, BS001, BS004</t>
        </is>
      </c>
      <c r="H7" t="inlineStr">
        <is>
          <t>14 Maret 2005</t>
        </is>
      </c>
      <c r="I7" s="2" t="n">
        <v>46366</v>
      </c>
      <c r="J7" t="inlineStr">
        <is>
          <t>Disetujui, Pencabutan</t>
        </is>
      </c>
      <c r="K7" t="n">
        <v>87</v>
      </c>
      <c r="L7" t="inlineStr">
        <is>
          <t>10 Desember 2026</t>
        </is>
      </c>
      <c r="M7" t="inlineStr">
        <is>
          <t>Konstruksi Bangunan Sipil Jalan, Konstruksi Gedung Kesehatan, Konstruksi Gedung Lainnya, Konstruksi Gedung Pendidikan, Konstruksi Jaringan Irigasi dan Drainase</t>
        </is>
      </c>
      <c r="N7" t="inlineStr">
        <is>
          <t>K</t>
        </is>
      </c>
      <c r="O7" t="inlineStr">
        <is>
          <t>20231106</t>
        </is>
      </c>
      <c r="P7" t="inlineStr">
        <is>
          <t>Jawa Timur</t>
        </is>
      </c>
      <c r="Q7" t="inlineStr"/>
    </row>
    <row r="8">
      <c r="A8" t="inlineStr">
        <is>
          <t>AISY MUHIBBIN</t>
        </is>
      </c>
      <c r="B8" t="inlineStr">
        <is>
          <t>Kota Palembang</t>
        </is>
      </c>
      <c r="C8" t="inlineStr">
        <is>
          <t>085381814858</t>
        </is>
      </c>
      <c r="D8" t="inlineStr">
        <is>
          <t>cvaisymuhibbin@gmail.com</t>
        </is>
      </c>
      <c r="E8" t="inlineStr">
        <is>
          <t>https://lpjk.pu.go.id/search-badan-usaha-detail/dTVkU09xVGlrWGRWTk41cDdZaUh2Zz09</t>
        </is>
      </c>
      <c r="F8" t="n">
        <v>5</v>
      </c>
      <c r="G8" t="inlineStr">
        <is>
          <t>BG001, BG002, BG005, BG006, BG009</t>
        </is>
      </c>
      <c r="H8" t="inlineStr">
        <is>
          <t>24 Mei 2023</t>
        </is>
      </c>
      <c r="I8" s="2" t="n">
        <v>46366</v>
      </c>
      <c r="J8" t="inlineStr">
        <is>
          <t>Disetujui</t>
        </is>
      </c>
      <c r="K8" t="n">
        <v>87</v>
      </c>
      <c r="L8" t="inlineStr">
        <is>
          <t>10 Desember 2026</t>
        </is>
      </c>
      <c r="M8" t="inlineStr">
        <is>
          <t>Konstruksi Gedung Hunian, Konstruksi Gedung Kesehatan, Konstruksi Gedung Lainnya, Konstruksi Gedung Pendidikan, Konstruksi Gedung Perkantoran</t>
        </is>
      </c>
      <c r="N8" t="inlineStr">
        <is>
          <t>K</t>
        </is>
      </c>
      <c r="O8" t="inlineStr">
        <is>
          <t>20231207, 20231209, 20231212</t>
        </is>
      </c>
      <c r="P8" t="inlineStr">
        <is>
          <t>Sumatera Selatan</t>
        </is>
      </c>
      <c r="Q8" t="inlineStr"/>
    </row>
    <row r="9">
      <c r="A9" t="inlineStr">
        <is>
          <t>AKA REKAYASA GEMILANG</t>
        </is>
      </c>
      <c r="B9" t="inlineStr">
        <is>
          <t>Kab. Tangerang</t>
        </is>
      </c>
      <c r="C9" t="inlineStr">
        <is>
          <t>02159648370</t>
        </is>
      </c>
      <c r="D9" t="inlineStr">
        <is>
          <t>akarekayasa@gmail.com</t>
        </is>
      </c>
      <c r="E9" t="inlineStr">
        <is>
          <t>https://lpjk.pu.go.id/search-badan-usaha-detail/TEpiNmJWODAyTWNUVEpYTHVQNTg3dz09</t>
        </is>
      </c>
      <c r="F9" t="n">
        <v>2</v>
      </c>
      <c r="G9" t="inlineStr">
        <is>
          <t>AR001, AR002</t>
        </is>
      </c>
      <c r="H9" t="inlineStr">
        <is>
          <t>15 September 2022</t>
        </is>
      </c>
      <c r="I9" s="2" t="n">
        <v>46366</v>
      </c>
      <c r="J9" t="inlineStr">
        <is>
          <t>Disetujui</t>
        </is>
      </c>
      <c r="K9" t="n">
        <v>87</v>
      </c>
      <c r="L9" t="inlineStr">
        <is>
          <t>10 Desember 2026</t>
        </is>
      </c>
      <c r="M9" t="inlineStr">
        <is>
          <t>Jasa Arsitektural Bangunan Gedung Hunian dan Non Hunian, Jasa Arsitektural Lainnya</t>
        </is>
      </c>
      <c r="N9" t="inlineStr">
        <is>
          <t>K</t>
        </is>
      </c>
      <c r="O9" t="inlineStr">
        <is>
          <t>20231125</t>
        </is>
      </c>
      <c r="P9" t="inlineStr">
        <is>
          <t>Banten</t>
        </is>
      </c>
      <c r="Q9" t="inlineStr"/>
    </row>
    <row r="10">
      <c r="A10" t="inlineStr">
        <is>
          <t>ALFIAN KARYA</t>
        </is>
      </c>
      <c r="B10" t="inlineStr">
        <is>
          <t>Kota Bandung</t>
        </is>
      </c>
      <c r="C10" t="inlineStr">
        <is>
          <t>082129797999</t>
        </is>
      </c>
      <c r="D10" t="inlineStr">
        <is>
          <t>cv.alfiyankarya@ymail.com</t>
        </is>
      </c>
      <c r="E10" t="inlineStr">
        <is>
          <t>https://lpjk.pu.go.id/search-badan-usaha-detail/N3JkTnhhdkpKYlFJZ1lJVllMcWJ5UT09</t>
        </is>
      </c>
      <c r="F10" t="n">
        <v>1</v>
      </c>
      <c r="G10" t="inlineStr">
        <is>
          <t>BG009</t>
        </is>
      </c>
      <c r="H10" t="inlineStr">
        <is>
          <t>6 September 2011</t>
        </is>
      </c>
      <c r="I10" s="2" t="n">
        <v>46366</v>
      </c>
      <c r="J10" t="inlineStr">
        <is>
          <t>Disetujui</t>
        </is>
      </c>
      <c r="K10" t="n">
        <v>87</v>
      </c>
      <c r="L10" t="inlineStr">
        <is>
          <t>10 Desember 2026</t>
        </is>
      </c>
      <c r="M10" t="inlineStr">
        <is>
          <t>Konstruksi Gedung Lainnya</t>
        </is>
      </c>
      <c r="N10" t="inlineStr">
        <is>
          <t>K</t>
        </is>
      </c>
      <c r="O10" t="inlineStr">
        <is>
          <t>20231113</t>
        </is>
      </c>
      <c r="P10" t="inlineStr">
        <is>
          <t>Jawa Barat</t>
        </is>
      </c>
      <c r="Q10" t="inlineStr"/>
    </row>
    <row r="11">
      <c r="A11" t="inlineStr">
        <is>
          <t>ARCANSIA DWITAMA KONSULTAN</t>
        </is>
      </c>
      <c r="B11" t="inlineStr">
        <is>
          <t>Kota Makassar</t>
        </is>
      </c>
      <c r="C11" t="inlineStr">
        <is>
          <t>081938198888</t>
        </is>
      </c>
      <c r="D11" t="inlineStr">
        <is>
          <t>arcansiadwitamakonsultan@gmail.com</t>
        </is>
      </c>
      <c r="E11" t="inlineStr">
        <is>
          <t>https://lpjk.pu.go.id/search-badan-usaha-detail/NnZyMW5oZU5UTis0ZHNDZXpMMXI0dz09</t>
        </is>
      </c>
      <c r="F11" t="n">
        <v>7</v>
      </c>
      <c r="G11" t="inlineStr">
        <is>
          <t>AR001, AR002, AR003, RK001, RK002, RK003, RK005</t>
        </is>
      </c>
      <c r="H11" t="inlineStr">
        <is>
          <t>10 Oktober 2009</t>
        </is>
      </c>
      <c r="I11" s="2" t="n">
        <v>46366</v>
      </c>
      <c r="J11" t="inlineStr">
        <is>
          <t>Disetujui</t>
        </is>
      </c>
      <c r="K11" t="n">
        <v>87</v>
      </c>
      <c r="L11" t="inlineStr">
        <is>
          <t>10 Desember 2026</t>
        </is>
      </c>
      <c r="M11" t="inlineStr">
        <is>
          <t>Jasa Arsitektural Bangunan Gedung Hunian dan Non Hunian, Jasa Arsitektural Lainnya, Jasa Desain Interior pada Bangunan Gedung dan Bangunan Sipil, Jasa Rekayasa Konstruksi Bangunan Gedung Hunian dan Non Hunian, Jasa Rekayasa Lainnya, Jasa Rekayasa Pekerjaan Teknik Sipil Sumber Daya Air, Jasa Rekayasa Pekerjaan Teknik Sipil Transportasi</t>
        </is>
      </c>
      <c r="N11" t="inlineStr">
        <is>
          <t>K</t>
        </is>
      </c>
      <c r="O11" t="inlineStr">
        <is>
          <t>20231201, 20231205, 20231206</t>
        </is>
      </c>
      <c r="P11" t="inlineStr">
        <is>
          <t>Sulawesi Selatan</t>
        </is>
      </c>
      <c r="Q11" t="inlineStr"/>
    </row>
    <row r="12">
      <c r="A12" t="inlineStr">
        <is>
          <t>ARIF PUTRA PRATAMA</t>
        </is>
      </c>
      <c r="B12" t="inlineStr">
        <is>
          <t>Kab. Kutai Timur</t>
        </is>
      </c>
      <c r="C12" t="inlineStr">
        <is>
          <t>081346200786</t>
        </is>
      </c>
      <c r="D12" t="inlineStr">
        <is>
          <t>pt.arifputrapratama.app@gmail.com</t>
        </is>
      </c>
      <c r="E12" t="inlineStr">
        <is>
          <t>https://lpjk.pu.go.id/search-badan-usaha-detail/aXdHM3FCQ0lvTjdPMy93aW9GRi9CUT09</t>
        </is>
      </c>
      <c r="F12" t="n">
        <v>2</v>
      </c>
      <c r="G12" t="inlineStr">
        <is>
          <t>BG002, BG003</t>
        </is>
      </c>
      <c r="H12" t="inlineStr">
        <is>
          <t>16 Juni 2014</t>
        </is>
      </c>
      <c r="I12" s="2" t="n">
        <v>46366</v>
      </c>
      <c r="J12" t="inlineStr">
        <is>
          <t>Disetujui</t>
        </is>
      </c>
      <c r="K12" t="n">
        <v>87</v>
      </c>
      <c r="L12" t="inlineStr">
        <is>
          <t>10 Desember 2026</t>
        </is>
      </c>
      <c r="M12" t="inlineStr">
        <is>
          <t>Konstruksi Gedung Industri, Konstruksi Gedung Perkantoran</t>
        </is>
      </c>
      <c r="N12" t="inlineStr">
        <is>
          <t>K</t>
        </is>
      </c>
      <c r="O12" t="inlineStr">
        <is>
          <t>20231207</t>
        </is>
      </c>
      <c r="P12" t="inlineStr">
        <is>
          <t>Kalimantan Timur</t>
        </is>
      </c>
      <c r="Q12" t="inlineStr"/>
    </row>
    <row r="13">
      <c r="A13" t="inlineStr">
        <is>
          <t>ARKHA DIPTA ENGINEERING</t>
        </is>
      </c>
      <c r="B13" t="inlineStr">
        <is>
          <t>Kota Ternate</t>
        </is>
      </c>
      <c r="C13" t="inlineStr">
        <is>
          <t>082269629847</t>
        </is>
      </c>
      <c r="D13" t="inlineStr">
        <is>
          <t>Arkhadiptaengineering@outlook.co.id</t>
        </is>
      </c>
      <c r="E13" t="inlineStr">
        <is>
          <t>https://lpjk.pu.go.id/search-badan-usaha-detail/d3VIMm9OcFFEUERaSU1VQ3Mrd1NhQT09</t>
        </is>
      </c>
      <c r="F13" t="n">
        <v>12</v>
      </c>
      <c r="G13" t="inlineStr">
        <is>
          <t>AR001, AR002, RK001, RK002, RK003, RK005</t>
        </is>
      </c>
      <c r="H13" t="inlineStr">
        <is>
          <t>28 Juli 2023</t>
        </is>
      </c>
      <c r="I13" s="2" t="n">
        <v>46366</v>
      </c>
      <c r="J13" t="inlineStr">
        <is>
          <t>Disetujui</t>
        </is>
      </c>
      <c r="K13" t="n">
        <v>87</v>
      </c>
      <c r="L13" t="inlineStr">
        <is>
          <t>10 Desember 2026</t>
        </is>
      </c>
      <c r="M13" t="inlineStr">
        <is>
          <t>Jasa Arsitektural Bangunan Gedung Hunian dan Non Hunian, Jasa Arsitektural Lainnya, Jasa Rekayasa Konstruksi Bangunan Gedung Hunian dan Non Hunian, Jasa Rekayasa Lainnya, Jasa Rekayasa Pekerjaan Teknik Sipil Sumber Daya Air, Jasa Rekayasa Pekerjaan Teknik Sipil Transportasi</t>
        </is>
      </c>
      <c r="N13" t="inlineStr">
        <is>
          <t>K</t>
        </is>
      </c>
      <c r="O13" t="inlineStr">
        <is>
          <t>20231130, 20231204</t>
        </is>
      </c>
      <c r="P13" t="inlineStr">
        <is>
          <t>Maluku Utara</t>
        </is>
      </c>
      <c r="Q13" t="inlineStr"/>
    </row>
    <row r="14">
      <c r="A14" t="inlineStr">
        <is>
          <t>ASA ADIGUNA</t>
        </is>
      </c>
      <c r="B14" t="inlineStr">
        <is>
          <t>Kota Adm. Jakarta Pusat</t>
        </is>
      </c>
      <c r="C14" t="inlineStr">
        <is>
          <t>02129614353</t>
        </is>
      </c>
      <c r="D14" t="inlineStr">
        <is>
          <t>admin@asatheoffice.com</t>
        </is>
      </c>
      <c r="E14" t="inlineStr">
        <is>
          <t>https://lpjk.pu.go.id/search-badan-usaha-detail/Y3ZaZVdZWGtXU1RWSlQ4aldPVHR1QT09</t>
        </is>
      </c>
      <c r="F14" t="n">
        <v>1</v>
      </c>
      <c r="G14" t="inlineStr">
        <is>
          <t>AR003</t>
        </is>
      </c>
      <c r="H14" t="inlineStr">
        <is>
          <t>6 November 2013</t>
        </is>
      </c>
      <c r="I14" s="2" t="n">
        <v>46366</v>
      </c>
      <c r="J14" t="inlineStr">
        <is>
          <t>Disetujui</t>
        </is>
      </c>
      <c r="K14" t="n">
        <v>87</v>
      </c>
      <c r="L14" t="inlineStr">
        <is>
          <t>10 Desember 2026</t>
        </is>
      </c>
      <c r="M14" t="inlineStr">
        <is>
          <t>Jasa Desain Interior pada Bangunan Gedung dan Bangunan Sipil</t>
        </is>
      </c>
      <c r="N14" t="inlineStr">
        <is>
          <t>M</t>
        </is>
      </c>
      <c r="O14" t="inlineStr">
        <is>
          <t>20231117</t>
        </is>
      </c>
      <c r="P14" t="inlineStr">
        <is>
          <t>DKI Jakarta</t>
        </is>
      </c>
      <c r="Q14" t="inlineStr"/>
    </row>
    <row r="15">
      <c r="A15" t="inlineStr">
        <is>
          <t>ASIA TENGAH KONSTRUKSI</t>
        </is>
      </c>
      <c r="B15" t="inlineStr">
        <is>
          <t>Kab. Tangerang</t>
        </is>
      </c>
      <c r="C15" t="inlineStr">
        <is>
          <t>02180600994</t>
        </is>
      </c>
      <c r="D15" t="inlineStr">
        <is>
          <t>pt.asiatengahkonstruksi@gmail.com</t>
        </is>
      </c>
      <c r="E15" t="inlineStr">
        <is>
          <t>https://lpjk.pu.go.id/search-badan-usaha-detail/Rk9rajhpdmpyYXhHODc1NUlLdkVyZz09</t>
        </is>
      </c>
      <c r="F15" t="n">
        <v>1</v>
      </c>
      <c r="G15" t="inlineStr">
        <is>
          <t>BS006</t>
        </is>
      </c>
      <c r="H15" t="inlineStr">
        <is>
          <t>9 Agustus 2017</t>
        </is>
      </c>
      <c r="I15" s="2" t="n">
        <v>46366</v>
      </c>
      <c r="J15" t="inlineStr">
        <is>
          <t>Pencabutan</t>
        </is>
      </c>
      <c r="K15" t="n">
        <v>87</v>
      </c>
      <c r="L15" t="inlineStr">
        <is>
          <t>10 Desember 2026</t>
        </is>
      </c>
      <c r="M15" t="inlineStr">
        <is>
          <t>Konstruksi Bangunan Sipil Prasarana dan Sarana Sistem Pengolahan Limbah Padat, Cair, dan Gas</t>
        </is>
      </c>
      <c r="N15" t="inlineStr">
        <is>
          <t>B</t>
        </is>
      </c>
      <c r="O15" t="inlineStr">
        <is>
          <t>20231207</t>
        </is>
      </c>
      <c r="P15" t="inlineStr">
        <is>
          <t>Banten</t>
        </is>
      </c>
      <c r="Q15" t="inlineStr"/>
    </row>
    <row r="16">
      <c r="A16" t="inlineStr">
        <is>
          <t>ATHIRA JAYA PERKASA</t>
        </is>
      </c>
      <c r="B16" t="inlineStr">
        <is>
          <t>Kab. Maros</t>
        </is>
      </c>
      <c r="C16" t="inlineStr">
        <is>
          <t>082348320477</t>
        </is>
      </c>
      <c r="D16" t="inlineStr">
        <is>
          <t>cv.athirajayaperkasa@gmail.com</t>
        </is>
      </c>
      <c r="E16" t="inlineStr">
        <is>
          <t>https://lpjk.pu.go.id/search-badan-usaha-detail/UXlwUzRqS1JYaEdVdHR2c3orb1Nwdz09</t>
        </is>
      </c>
      <c r="F16" t="n">
        <v>5</v>
      </c>
      <c r="G16" t="inlineStr">
        <is>
          <t>BG002, BG004, BG005, BG006, BG009</t>
        </is>
      </c>
      <c r="H16" t="inlineStr">
        <is>
          <t>27 September 2023</t>
        </is>
      </c>
      <c r="I16" s="2" t="n">
        <v>46366</v>
      </c>
      <c r="J16" t="inlineStr">
        <is>
          <t>Disetujui, Pencabutan</t>
        </is>
      </c>
      <c r="K16" t="n">
        <v>87</v>
      </c>
      <c r="L16" t="inlineStr">
        <is>
          <t>10 Desember 2026</t>
        </is>
      </c>
      <c r="M16" t="inlineStr">
        <is>
          <t>Konstruksi Gedung Kesehatan, Konstruksi Gedung Lainnya, Konstruksi Gedung Pendidikan, Konstruksi Gedung Perbelanjaan, Konstruksi Gedung Perkantoran</t>
        </is>
      </c>
      <c r="N16" t="inlineStr">
        <is>
          <t>K</t>
        </is>
      </c>
      <c r="O16" t="inlineStr">
        <is>
          <t>20231206, 20231207</t>
        </is>
      </c>
      <c r="P16" t="inlineStr">
        <is>
          <t>Sulawesi Selatan</t>
        </is>
      </c>
      <c r="Q16" t="inlineStr"/>
    </row>
    <row r="17">
      <c r="A17" t="inlineStr">
        <is>
          <t>BAGJA JAYA LAKSANA</t>
        </is>
      </c>
      <c r="B17" t="inlineStr">
        <is>
          <t>Kab. Garut</t>
        </is>
      </c>
      <c r="C17" t="inlineStr">
        <is>
          <t>085220153949</t>
        </is>
      </c>
      <c r="D17" t="inlineStr">
        <is>
          <t>bagjajayalaksana21@gmail.com</t>
        </is>
      </c>
      <c r="E17" t="inlineStr">
        <is>
          <t>https://lpjk.pu.go.id/search-badan-usaha-detail/NS9PZGNyOXl1RVR6Zi9vWEtBL01mQT09</t>
        </is>
      </c>
      <c r="F17" t="n">
        <v>1</v>
      </c>
      <c r="G17" t="inlineStr">
        <is>
          <t>BS001</t>
        </is>
      </c>
      <c r="H17" t="inlineStr">
        <is>
          <t>29 April 2020</t>
        </is>
      </c>
      <c r="I17" s="2" t="n">
        <v>46366</v>
      </c>
      <c r="J17" t="inlineStr">
        <is>
          <t>Disetujui</t>
        </is>
      </c>
      <c r="K17" t="n">
        <v>87</v>
      </c>
      <c r="L17" t="inlineStr">
        <is>
          <t>10 Desember 2026</t>
        </is>
      </c>
      <c r="M17" t="inlineStr">
        <is>
          <t>Konstruksi Bangunan Sipil Jalan</t>
        </is>
      </c>
      <c r="N17" t="inlineStr">
        <is>
          <t>K</t>
        </is>
      </c>
      <c r="O17" t="inlineStr">
        <is>
          <t>20231204</t>
        </is>
      </c>
      <c r="P17" t="inlineStr">
        <is>
          <t>Jawa Barat</t>
        </is>
      </c>
      <c r="Q17" t="inlineStr"/>
    </row>
    <row r="18">
      <c r="A18" t="inlineStr">
        <is>
          <t>BINTANG CAKRAWALA PROPERTI</t>
        </is>
      </c>
      <c r="B18" t="inlineStr">
        <is>
          <t>Kota Palu</t>
        </is>
      </c>
      <c r="C18" t="inlineStr">
        <is>
          <t>082190449767</t>
        </is>
      </c>
      <c r="D18" t="inlineStr">
        <is>
          <t>ptbintangcakrawalaproperti@gmail.com</t>
        </is>
      </c>
      <c r="E18" t="inlineStr">
        <is>
          <t>https://lpjk.pu.go.id/search-badan-usaha-detail/VkZ4S3B3TWhNVmQ3cksvbkR1cmJhUT09</t>
        </is>
      </c>
      <c r="F18" t="n">
        <v>2</v>
      </c>
      <c r="G18" t="inlineStr">
        <is>
          <t>BS001</t>
        </is>
      </c>
      <c r="H18" t="inlineStr">
        <is>
          <t>8 Maret 2021</t>
        </is>
      </c>
      <c r="I18" s="2" t="n">
        <v>46366</v>
      </c>
      <c r="J18" t="inlineStr">
        <is>
          <t>Disetujui</t>
        </is>
      </c>
      <c r="K18" t="n">
        <v>87</v>
      </c>
      <c r="L18" t="inlineStr">
        <is>
          <t>10 Desember 2026</t>
        </is>
      </c>
      <c r="M18" t="inlineStr">
        <is>
          <t>Konstruksi Bangunan Sipil Jalan</t>
        </is>
      </c>
      <c r="N18" t="inlineStr">
        <is>
          <t>K</t>
        </is>
      </c>
      <c r="O18" t="inlineStr">
        <is>
          <t>20231129</t>
        </is>
      </c>
      <c r="P18" t="inlineStr">
        <is>
          <t>Sulawesi Tengah</t>
        </is>
      </c>
      <c r="Q18" t="inlineStr"/>
    </row>
    <row r="19">
      <c r="A19" t="inlineStr">
        <is>
          <t>BUMISENTOSA DWIAGUNG</t>
        </is>
      </c>
      <c r="B19" t="inlineStr">
        <is>
          <t>Kota Tangerang</t>
        </is>
      </c>
      <c r="C19" t="inlineStr">
        <is>
          <t>02122599771</t>
        </is>
      </c>
      <c r="D19" t="inlineStr">
        <is>
          <t>hrd@ptbsda.com</t>
        </is>
      </c>
      <c r="E19" t="inlineStr">
        <is>
          <t>https://lpjk.pu.go.id/search-badan-usaha-detail/T1lmMUNaZlpDWUNNN01qTi9GY2JGUT09</t>
        </is>
      </c>
      <c r="F19" t="n">
        <v>3</v>
      </c>
      <c r="G19" t="inlineStr">
        <is>
          <t>IN003, PL002, PL003</t>
        </is>
      </c>
      <c r="H19" t="inlineStr">
        <is>
          <t>15 Juli 1991</t>
        </is>
      </c>
      <c r="I19" s="2" t="n">
        <v>46366</v>
      </c>
      <c r="J19" t="inlineStr">
        <is>
          <t>Disetujui</t>
        </is>
      </c>
      <c r="K19" t="n">
        <v>87</v>
      </c>
      <c r="L19" t="inlineStr">
        <is>
          <t>10 Desember 2026</t>
        </is>
      </c>
      <c r="M19" t="inlineStr">
        <is>
          <t>Instalasi Peralatan Infrastruktur Pertambangan dan Manufaktur, Pengerukan, Penyiapan Lahan Konstruksi</t>
        </is>
      </c>
      <c r="N19" t="inlineStr">
        <is>
          <t>Spesialis</t>
        </is>
      </c>
      <c r="O19" t="inlineStr">
        <is>
          <t>20231013</t>
        </is>
      </c>
      <c r="P19" t="inlineStr">
        <is>
          <t>Banten</t>
        </is>
      </c>
      <c r="Q19" t="inlineStr"/>
    </row>
    <row r="20">
      <c r="A20" t="inlineStr">
        <is>
          <t>CARAKA REKAYASA GEDUNG</t>
        </is>
      </c>
      <c r="B20" t="inlineStr">
        <is>
          <t>Kota Bandung</t>
        </is>
      </c>
      <c r="C20" t="inlineStr">
        <is>
          <t>081319879828</t>
        </is>
      </c>
      <c r="D20" t="inlineStr">
        <is>
          <t>carakarekayasa@gmail.com</t>
        </is>
      </c>
      <c r="E20" t="inlineStr">
        <is>
          <t>https://lpjk.pu.go.id/search-badan-usaha-detail/S0tuNnM4VXFZbG1UYU1iejUvM0lZUT09</t>
        </is>
      </c>
      <c r="F20" t="n">
        <v>3</v>
      </c>
      <c r="G20" t="inlineStr">
        <is>
          <t>AR001, AR002, AR003</t>
        </is>
      </c>
      <c r="H20" t="inlineStr">
        <is>
          <t>27 November 2023</t>
        </is>
      </c>
      <c r="I20" s="2" t="n">
        <v>46366</v>
      </c>
      <c r="J20" t="inlineStr">
        <is>
          <t>Disetujui</t>
        </is>
      </c>
      <c r="K20" t="n">
        <v>87</v>
      </c>
      <c r="L20" t="inlineStr">
        <is>
          <t>10 Desember 2026</t>
        </is>
      </c>
      <c r="M20" t="inlineStr">
        <is>
          <t>Jasa Arsitektural Bangunan Gedung Hunian dan Non Hunian, Jasa Arsitektural Lainnya, Jasa Desain Interior pada Bangunan Gedung dan Bangunan Sipil</t>
        </is>
      </c>
      <c r="N20" t="inlineStr">
        <is>
          <t>K</t>
        </is>
      </c>
      <c r="O20" t="inlineStr">
        <is>
          <t>20231130, 20231201</t>
        </is>
      </c>
      <c r="P20" t="inlineStr">
        <is>
          <t>Jawa Barat</t>
        </is>
      </c>
      <c r="Q20" t="inlineStr"/>
    </row>
    <row r="21">
      <c r="A21" t="inlineStr">
        <is>
          <t>CENTRAL GRAFIKA PRINT</t>
        </is>
      </c>
      <c r="B21" t="inlineStr">
        <is>
          <t>Kab. Mandailing Natal</t>
        </is>
      </c>
      <c r="C21" t="inlineStr">
        <is>
          <t>082166466469</t>
        </is>
      </c>
      <c r="D21" t="inlineStr">
        <is>
          <t>centralgrafikaprint.cv@gmail.com</t>
        </is>
      </c>
      <c r="E21" t="inlineStr">
        <is>
          <t>https://lpjk.pu.go.id/search-badan-usaha-detail/MmxiU25aY2FnZkN2R0V5M0VKSVI4UT09</t>
        </is>
      </c>
      <c r="F21" t="n">
        <v>2</v>
      </c>
      <c r="G21" t="inlineStr">
        <is>
          <t>BG008</t>
        </is>
      </c>
      <c r="H21" t="inlineStr">
        <is>
          <t>6 Mei 2019</t>
        </is>
      </c>
      <c r="I21" s="2" t="n">
        <v>46366</v>
      </c>
      <c r="J21" t="inlineStr">
        <is>
          <t>Disetujui</t>
        </is>
      </c>
      <c r="K21" t="n">
        <v>87</v>
      </c>
      <c r="L21" t="inlineStr">
        <is>
          <t>10 Desember 2026</t>
        </is>
      </c>
      <c r="M21" t="inlineStr">
        <is>
          <t>Konstruksi Gedung Tempat Hiburan dan Olahraga</t>
        </is>
      </c>
      <c r="N21" t="inlineStr">
        <is>
          <t>K</t>
        </is>
      </c>
      <c r="O21" t="inlineStr">
        <is>
          <t>20231205</t>
        </is>
      </c>
      <c r="P21" t="inlineStr">
        <is>
          <t>Sumatera Utara</t>
        </is>
      </c>
      <c r="Q21" t="inlineStr"/>
    </row>
    <row r="22">
      <c r="A22" t="inlineStr">
        <is>
          <t>CIPTA NGUDHI KARYA</t>
        </is>
      </c>
      <c r="B22" t="inlineStr">
        <is>
          <t>Kab. Karawang</t>
        </is>
      </c>
      <c r="C22" t="inlineStr">
        <is>
          <t>08129886155</t>
        </is>
      </c>
      <c r="D22" t="inlineStr">
        <is>
          <t>ptciptagundhikarya@gmail.com</t>
        </is>
      </c>
      <c r="E22" t="inlineStr">
        <is>
          <t>https://lpjk.pu.go.id/search-badan-usaha-detail/akVjaENBVkhiQWttSkxDa014RlZJQT09</t>
        </is>
      </c>
      <c r="F22" t="n">
        <v>2</v>
      </c>
      <c r="G22" t="inlineStr">
        <is>
          <t>BG001</t>
        </is>
      </c>
      <c r="H22" t="inlineStr">
        <is>
          <t>3 November 1995</t>
        </is>
      </c>
      <c r="I22" s="2" t="n">
        <v>46366</v>
      </c>
      <c r="J22" t="inlineStr">
        <is>
          <t>Disetujui</t>
        </is>
      </c>
      <c r="K22" t="n">
        <v>87</v>
      </c>
      <c r="L22" t="inlineStr">
        <is>
          <t>10 Desember 2026</t>
        </is>
      </c>
      <c r="M22" t="inlineStr">
        <is>
          <t>Konstruksi Gedung Hunian</t>
        </is>
      </c>
      <c r="N22" t="inlineStr">
        <is>
          <t>K</t>
        </is>
      </c>
      <c r="O22" t="inlineStr">
        <is>
          <t>20231205</t>
        </is>
      </c>
      <c r="P22" t="inlineStr">
        <is>
          <t>Jawa Barat</t>
        </is>
      </c>
      <c r="Q22" t="inlineStr"/>
    </row>
    <row r="23">
      <c r="A23" t="inlineStr">
        <is>
          <t>CITRA ABADI TIRTA</t>
        </is>
      </c>
      <c r="B23" t="inlineStr">
        <is>
          <t>Kota Adm. Jakarta Pusat</t>
        </is>
      </c>
      <c r="C23" t="inlineStr">
        <is>
          <t>0811118407</t>
        </is>
      </c>
      <c r="D23" t="inlineStr">
        <is>
          <t>ptcitraabaditirta@gmail.com</t>
        </is>
      </c>
      <c r="E23" t="inlineStr">
        <is>
          <t>https://lpjk.pu.go.id/search-badan-usaha-detail/OWJybGVuQ3pDenROQ05xdUxzTS85dz09</t>
        </is>
      </c>
      <c r="F23" t="n">
        <v>1</v>
      </c>
      <c r="G23" t="inlineStr">
        <is>
          <t>BS005</t>
        </is>
      </c>
      <c r="H23" t="inlineStr">
        <is>
          <t>23 Februari 2023</t>
        </is>
      </c>
      <c r="I23" s="2" t="n">
        <v>46366</v>
      </c>
      <c r="J23" t="inlineStr">
        <is>
          <t>Disetujui</t>
        </is>
      </c>
      <c r="K23" t="n">
        <v>87</v>
      </c>
      <c r="L23" t="inlineStr">
        <is>
          <t>10 Desember 2026</t>
        </is>
      </c>
      <c r="M23" t="inlineStr">
        <is>
          <t>Konstruksi Bangunan Sipil Pengolahan Air Bersih</t>
        </is>
      </c>
      <c r="N23" t="inlineStr">
        <is>
          <t>K</t>
        </is>
      </c>
      <c r="O23" t="inlineStr">
        <is>
          <t>20231128</t>
        </is>
      </c>
      <c r="P23" t="inlineStr">
        <is>
          <t>DKI Jakarta</t>
        </is>
      </c>
      <c r="Q23" t="inlineStr"/>
    </row>
    <row r="24">
      <c r="A24" t="inlineStr">
        <is>
          <t>CITRA BERKAH JAYA</t>
        </is>
      </c>
      <c r="B24" t="inlineStr">
        <is>
          <t>Kota Surabaya</t>
        </is>
      </c>
      <c r="C24" t="inlineStr">
        <is>
          <t>081230463317</t>
        </is>
      </c>
      <c r="D24" t="inlineStr">
        <is>
          <t>citraberkahjaya@yahoo.com</t>
        </is>
      </c>
      <c r="E24" t="inlineStr">
        <is>
          <t>https://lpjk.pu.go.id/search-badan-usaha-detail/V2thWEJrTTVnN2p6VWJ3SHdaN0FSZz09</t>
        </is>
      </c>
      <c r="F24" t="n">
        <v>5</v>
      </c>
      <c r="G24" t="inlineStr">
        <is>
          <t>BG002, BG004, BG005, BG006, BG009</t>
        </is>
      </c>
      <c r="H24" t="inlineStr">
        <is>
          <t>15 September 2017</t>
        </is>
      </c>
      <c r="I24" s="2" t="n">
        <v>46366</v>
      </c>
      <c r="J24" t="inlineStr">
        <is>
          <t>Disetujui</t>
        </is>
      </c>
      <c r="K24" t="n">
        <v>87</v>
      </c>
      <c r="L24" t="inlineStr">
        <is>
          <t>10 Desember 2026</t>
        </is>
      </c>
      <c r="M24" t="inlineStr">
        <is>
          <t>Konstruksi Gedung Kesehatan, Konstruksi Gedung Lainnya, Konstruksi Gedung Pendidikan, Konstruksi Gedung Perbelanjaan, Konstruksi Gedung Perkantoran</t>
        </is>
      </c>
      <c r="N24" t="inlineStr">
        <is>
          <t>K</t>
        </is>
      </c>
      <c r="O24" t="inlineStr">
        <is>
          <t>20231207, 20231212</t>
        </is>
      </c>
      <c r="P24" t="inlineStr">
        <is>
          <t>Jawa Timur</t>
        </is>
      </c>
      <c r="Q24" t="inlineStr"/>
    </row>
    <row r="25">
      <c r="A25" t="inlineStr">
        <is>
          <t>CITRA JAYA ABADI</t>
        </is>
      </c>
      <c r="B25" t="inlineStr">
        <is>
          <t>Kab. Blitar</t>
        </is>
      </c>
      <c r="C25" t="inlineStr">
        <is>
          <t>085794343626</t>
        </is>
      </c>
      <c r="D25" t="inlineStr">
        <is>
          <t>citra.jayaabadi2022@gmail.com</t>
        </is>
      </c>
      <c r="E25" t="inlineStr">
        <is>
          <t>https://lpjk.pu.go.id/search-badan-usaha-detail/cHVuNTNIK1BEVHY5UDFxeGl1dTdHQT09</t>
        </is>
      </c>
      <c r="F25" t="n">
        <v>1</v>
      </c>
      <c r="G25" t="inlineStr">
        <is>
          <t>BG009</t>
        </is>
      </c>
      <c r="H25" t="inlineStr">
        <is>
          <t>22 Mei 2017</t>
        </is>
      </c>
      <c r="I25" s="2" t="n">
        <v>46366</v>
      </c>
      <c r="J25" t="inlineStr">
        <is>
          <t>Disetujui</t>
        </is>
      </c>
      <c r="K25" t="n">
        <v>87</v>
      </c>
      <c r="L25" t="inlineStr">
        <is>
          <t>10 Desember 2026</t>
        </is>
      </c>
      <c r="M25" t="inlineStr">
        <is>
          <t>Konstruksi Gedung Lainnya</t>
        </is>
      </c>
      <c r="N25" t="inlineStr">
        <is>
          <t>K</t>
        </is>
      </c>
      <c r="O25" t="inlineStr">
        <is>
          <t>20231206</t>
        </is>
      </c>
      <c r="P25" t="inlineStr">
        <is>
          <t>Jawa Timur</t>
        </is>
      </c>
      <c r="Q25" t="inlineStr"/>
    </row>
    <row r="26">
      <c r="A26" t="inlineStr">
        <is>
          <t>CITRA PRIMA TATA INDAH</t>
        </is>
      </c>
      <c r="B26" t="inlineStr">
        <is>
          <t>Kota Adm. Jakarta Selatan</t>
        </is>
      </c>
      <c r="C26" t="inlineStr">
        <is>
          <t>02128541025</t>
        </is>
      </c>
      <c r="D26" t="inlineStr">
        <is>
          <t>ptcitraprimatataindah@gmail.com</t>
        </is>
      </c>
      <c r="E26" t="inlineStr">
        <is>
          <t>https://lpjk.pu.go.id/search-badan-usaha-detail/VkxxMG1UUUlzYmJlVmtQcG1mZm9hUT09</t>
        </is>
      </c>
      <c r="F26" t="n">
        <v>7</v>
      </c>
      <c r="G26" t="inlineStr">
        <is>
          <t>BG001, BG002, BG003, BG005, BG006, BG007, BG009</t>
        </is>
      </c>
      <c r="H26" t="inlineStr">
        <is>
          <t>2 Desember 1992</t>
        </is>
      </c>
      <c r="I26" s="2" t="n">
        <v>46366</v>
      </c>
      <c r="J26" t="inlineStr">
        <is>
          <t>Disetujui</t>
        </is>
      </c>
      <c r="K26" t="n">
        <v>87</v>
      </c>
      <c r="L26" t="inlineStr">
        <is>
          <t>10 Desember 2026</t>
        </is>
      </c>
      <c r="M26" t="inlineStr">
        <is>
          <t>Konstruksi Gedung Hunian, Konstruksi Gedung Industri, Konstruksi Gedung Kesehatan, Konstruksi Gedung Lainnya, Konstruksi Gedung Pendidikan, Konstruksi Gedung Penginapan, Konstruksi Gedung Perkantoran</t>
        </is>
      </c>
      <c r="N26" t="inlineStr">
        <is>
          <t>K, M</t>
        </is>
      </c>
      <c r="O26" t="inlineStr">
        <is>
          <t>20230908, 20231207, 20231212</t>
        </is>
      </c>
      <c r="P26" t="inlineStr">
        <is>
          <t>DKI Jakarta</t>
        </is>
      </c>
      <c r="Q26" t="inlineStr"/>
    </row>
    <row r="27">
      <c r="A27" t="inlineStr">
        <is>
          <t>DUTA KREASI ENGINEERING</t>
        </is>
      </c>
      <c r="B27" t="inlineStr">
        <is>
          <t>Kota Padang Sidempuan</t>
        </is>
      </c>
      <c r="C27" t="inlineStr">
        <is>
          <t>081214077937</t>
        </is>
      </c>
      <c r="D27" t="inlineStr">
        <is>
          <t>cv.dkengineering@gmail.com</t>
        </is>
      </c>
      <c r="E27" t="inlineStr">
        <is>
          <t>https://lpjk.pu.go.id/search-badan-usaha-detail/V09aM1lHVi9Za3JXQzN3QWRIMkNlUT09</t>
        </is>
      </c>
      <c r="F27" t="n">
        <v>5</v>
      </c>
      <c r="G27" t="inlineStr">
        <is>
          <t>BG002, BG006, BG009, BS001, BS004</t>
        </is>
      </c>
      <c r="H27" t="inlineStr">
        <is>
          <t>8 November 2023</t>
        </is>
      </c>
      <c r="I27" s="2" t="n">
        <v>46366</v>
      </c>
      <c r="J27" t="inlineStr">
        <is>
          <t>Disetujui</t>
        </is>
      </c>
      <c r="K27" t="n">
        <v>87</v>
      </c>
      <c r="L27" t="inlineStr">
        <is>
          <t>10 Desember 2026</t>
        </is>
      </c>
      <c r="M27" t="inlineStr">
        <is>
          <t>Konstruksi Bangunan Sipil Jalan, Konstruksi Gedung Lainnya, Konstruksi Gedung Pendidikan, Konstruksi Gedung Perkantoran, Konstruksi Jaringan Irigasi dan Drainase</t>
        </is>
      </c>
      <c r="N27" t="inlineStr">
        <is>
          <t>K</t>
        </is>
      </c>
      <c r="O27" t="inlineStr">
        <is>
          <t>20231111</t>
        </is>
      </c>
      <c r="P27" t="inlineStr">
        <is>
          <t>Sumatera Utara</t>
        </is>
      </c>
      <c r="Q27" t="inlineStr"/>
    </row>
    <row r="28">
      <c r="A28" t="inlineStr">
        <is>
          <t>FAJAR PUTRA PERKASA</t>
        </is>
      </c>
      <c r="B28" t="inlineStr">
        <is>
          <t>Kab. Maros</t>
        </is>
      </c>
      <c r="C28" t="inlineStr">
        <is>
          <t>081342789438</t>
        </is>
      </c>
      <c r="D28" t="inlineStr">
        <is>
          <t>fajarputraperkasa77@gmail.com</t>
        </is>
      </c>
      <c r="E28" t="inlineStr">
        <is>
          <t>https://lpjk.pu.go.id/search-badan-usaha-detail/eHZZbWh2QjBiSmRJd0lFdVErOWxSdz09</t>
        </is>
      </c>
      <c r="F28" t="n">
        <v>1</v>
      </c>
      <c r="G28" t="inlineStr">
        <is>
          <t>BS002</t>
        </is>
      </c>
      <c r="H28" t="inlineStr">
        <is>
          <t>10 April 2023</t>
        </is>
      </c>
      <c r="I28" s="2" t="n">
        <v>46366</v>
      </c>
      <c r="J28" t="inlineStr">
        <is>
          <t>Disetujui</t>
        </is>
      </c>
      <c r="K28" t="n">
        <v>87</v>
      </c>
      <c r="L28" t="inlineStr">
        <is>
          <t>10 Desember 2026</t>
        </is>
      </c>
      <c r="M28" t="inlineStr">
        <is>
          <t>Bangunan Sipil Jembatan, Jalan Layang, Fly Over, dan Underpass</t>
        </is>
      </c>
      <c r="N28" t="inlineStr">
        <is>
          <t>K</t>
        </is>
      </c>
      <c r="O28" t="inlineStr">
        <is>
          <t>20231208</t>
        </is>
      </c>
      <c r="P28" t="inlineStr">
        <is>
          <t>Sulawesi Selatan</t>
        </is>
      </c>
      <c r="Q28" t="inlineStr"/>
    </row>
    <row r="29">
      <c r="A29" t="inlineStr">
        <is>
          <t>GLOBAL NAROTAMA SAKTI</t>
        </is>
      </c>
      <c r="B29" t="inlineStr">
        <is>
          <t>Kab. Sidoarjo</t>
        </is>
      </c>
      <c r="C29" t="inlineStr">
        <is>
          <t>081235313648</t>
        </is>
      </c>
      <c r="D29" t="inlineStr">
        <is>
          <t>info.glonas@gmail.com</t>
        </is>
      </c>
      <c r="E29" t="inlineStr">
        <is>
          <t>https://lpjk.pu.go.id/search-badan-usaha-detail/ZFlFaHI3WTM0dEFmVStvNjB2cWVuQT09</t>
        </is>
      </c>
      <c r="F29" t="n">
        <v>3</v>
      </c>
      <c r="G29" t="inlineStr">
        <is>
          <t>AR001, AR003, RK001</t>
        </is>
      </c>
      <c r="H29" t="inlineStr">
        <is>
          <t>21 Agustus 2017</t>
        </is>
      </c>
      <c r="I29" s="2" t="n">
        <v>46366</v>
      </c>
      <c r="J29" t="inlineStr">
        <is>
          <t>Disetujui</t>
        </is>
      </c>
      <c r="K29" t="n">
        <v>87</v>
      </c>
      <c r="L29" t="inlineStr">
        <is>
          <t>10 Desember 2026</t>
        </is>
      </c>
      <c r="M29" t="inlineStr">
        <is>
          <t>Jasa Arsitektural Bangunan Gedung Hunian dan Non Hunian, Jasa Desain Interior pada Bangunan Gedung dan Bangunan Sipil, Jasa Rekayasa Konstruksi Bangunan Gedung Hunian dan Non Hunian</t>
        </is>
      </c>
      <c r="N29" t="inlineStr">
        <is>
          <t>K</t>
        </is>
      </c>
      <c r="O29" t="inlineStr">
        <is>
          <t>20230828, 20231127, 20231128</t>
        </is>
      </c>
      <c r="P29" t="inlineStr">
        <is>
          <t>Jawa Timur</t>
        </is>
      </c>
      <c r="Q29" t="inlineStr"/>
    </row>
    <row r="30">
      <c r="A30" t="inlineStr">
        <is>
          <t>INDOKARYA MITRA PRIMA</t>
        </is>
      </c>
      <c r="B30" t="inlineStr">
        <is>
          <t>Kota Batam</t>
        </is>
      </c>
      <c r="C30" t="inlineStr">
        <is>
          <t>082172596560</t>
        </is>
      </c>
      <c r="D30" t="inlineStr">
        <is>
          <t>mitraglobalprima.cv@gmail.com</t>
        </is>
      </c>
      <c r="E30" t="inlineStr">
        <is>
          <t>https://lpjk.pu.go.id/search-badan-usaha-detail/MXh1ZXduTWdKV0pQOFY3ZnVvOUJ5Zz09</t>
        </is>
      </c>
      <c r="F30" t="n">
        <v>2</v>
      </c>
      <c r="G30" t="inlineStr">
        <is>
          <t>BG001</t>
        </is>
      </c>
      <c r="H30" t="inlineStr">
        <is>
          <t>15 Desember 2014</t>
        </is>
      </c>
      <c r="I30" s="2" t="n">
        <v>46366</v>
      </c>
      <c r="J30" t="inlineStr">
        <is>
          <t>Disetujui</t>
        </is>
      </c>
      <c r="K30" t="n">
        <v>87</v>
      </c>
      <c r="L30" t="inlineStr">
        <is>
          <t>10 Desember 2026</t>
        </is>
      </c>
      <c r="M30" t="inlineStr">
        <is>
          <t>Konstruksi Gedung Hunian</t>
        </is>
      </c>
      <c r="N30" t="inlineStr">
        <is>
          <t>K</t>
        </is>
      </c>
      <c r="O30" t="inlineStr">
        <is>
          <t>20231204</t>
        </is>
      </c>
      <c r="P30" t="inlineStr">
        <is>
          <t>Kepulauan Riau</t>
        </is>
      </c>
      <c r="Q30" t="inlineStr"/>
    </row>
    <row r="31">
      <c r="A31" t="inlineStr">
        <is>
          <t>INDOPILAR DJAYA TEKNIK</t>
        </is>
      </c>
      <c r="B31" t="inlineStr">
        <is>
          <t>Kab. Sidoarjo</t>
        </is>
      </c>
      <c r="C31" t="inlineStr">
        <is>
          <t>081283293309</t>
        </is>
      </c>
      <c r="D31" t="inlineStr">
        <is>
          <t>cvindopilardjayateknik@gmail.com</t>
        </is>
      </c>
      <c r="E31" t="inlineStr">
        <is>
          <t>https://lpjk.pu.go.id/search-badan-usaha-detail/RHYvWkk3eTBYNjJEL1hmbnoxTGZuQT09</t>
        </is>
      </c>
      <c r="F31" t="n">
        <v>2</v>
      </c>
      <c r="G31" t="inlineStr">
        <is>
          <t>IN001, IN004</t>
        </is>
      </c>
      <c r="H31" t="inlineStr">
        <is>
          <t>20 Mei 2023</t>
        </is>
      </c>
      <c r="I31" s="2" t="n">
        <v>46366</v>
      </c>
      <c r="J31" t="inlineStr">
        <is>
          <t>Pembekuan</t>
        </is>
      </c>
      <c r="K31" t="n">
        <v>87</v>
      </c>
      <c r="L31" t="inlineStr">
        <is>
          <t>10 Desember 2026</t>
        </is>
      </c>
      <c r="M31" t="inlineStr">
        <is>
          <t>Instalasi Mekanikal, Instalasi Minyak dan Gas</t>
        </is>
      </c>
      <c r="N31" t="inlineStr">
        <is>
          <t>Spesialis</t>
        </is>
      </c>
      <c r="O31" t="inlineStr">
        <is>
          <t>20231102</t>
        </is>
      </c>
      <c r="P31" t="inlineStr">
        <is>
          <t>Jawa Timur</t>
        </is>
      </c>
      <c r="Q31" t="inlineStr"/>
    </row>
    <row r="32">
      <c r="A32" t="inlineStr">
        <is>
          <t>KARYA BINA SUKSES JAYAPURA</t>
        </is>
      </c>
      <c r="B32" t="inlineStr">
        <is>
          <t>Kab. Jayapura</t>
        </is>
      </c>
      <c r="C32" t="inlineStr">
        <is>
          <t>085354825300</t>
        </is>
      </c>
      <c r="D32" t="inlineStr">
        <is>
          <t>marweriagustinus@gmail.com</t>
        </is>
      </c>
      <c r="E32" t="inlineStr">
        <is>
          <t>https://lpjk.pu.go.id/search-badan-usaha-detail/Ymd0L05PL0EvYUhvWTBjaEpweU42dz09</t>
        </is>
      </c>
      <c r="F32" t="n">
        <v>1</v>
      </c>
      <c r="G32" t="inlineStr">
        <is>
          <t>BG001</t>
        </is>
      </c>
      <c r="H32" t="inlineStr">
        <is>
          <t>28 Mei 2018</t>
        </is>
      </c>
      <c r="I32" s="2" t="n">
        <v>46366</v>
      </c>
      <c r="J32" t="inlineStr">
        <is>
          <t>Disetujui</t>
        </is>
      </c>
      <c r="K32" t="n">
        <v>87</v>
      </c>
      <c r="L32" t="inlineStr">
        <is>
          <t>10 Desember 2026</t>
        </is>
      </c>
      <c r="M32" t="inlineStr">
        <is>
          <t>Konstruksi Gedung Hunian</t>
        </is>
      </c>
      <c r="N32" t="inlineStr">
        <is>
          <t>K</t>
        </is>
      </c>
      <c r="O32" t="inlineStr">
        <is>
          <t>20231209</t>
        </is>
      </c>
      <c r="P32" t="inlineStr">
        <is>
          <t>Papua</t>
        </is>
      </c>
      <c r="Q32" t="inlineStr"/>
    </row>
    <row r="33">
      <c r="A33" t="inlineStr">
        <is>
          <t>KARYA PRATAMA SUKSES</t>
        </is>
      </c>
      <c r="B33" t="inlineStr">
        <is>
          <t>Kota Kupang</t>
        </is>
      </c>
      <c r="C33" t="inlineStr">
        <is>
          <t>085239033150</t>
        </is>
      </c>
      <c r="D33" t="inlineStr">
        <is>
          <t>Silvesterkader1@gmail.com</t>
        </is>
      </c>
      <c r="E33" t="inlineStr">
        <is>
          <t>https://lpjk.pu.go.id/search-badan-usaha-detail/YmNUWi9zVnNGRGNXeFRwTmxRVGZ4QT09</t>
        </is>
      </c>
      <c r="F33" t="n">
        <v>8</v>
      </c>
      <c r="G33" t="inlineStr">
        <is>
          <t>BG002, BG005, BG006, BG009</t>
        </is>
      </c>
      <c r="H33" t="inlineStr">
        <is>
          <t>26 Juni 2021</t>
        </is>
      </c>
      <c r="I33" s="2" t="n">
        <v>46366</v>
      </c>
      <c r="J33" t="inlineStr">
        <is>
          <t>Disetujui</t>
        </is>
      </c>
      <c r="K33" t="n">
        <v>87</v>
      </c>
      <c r="L33" t="inlineStr">
        <is>
          <t>10 Desember 2026</t>
        </is>
      </c>
      <c r="M33" t="inlineStr">
        <is>
          <t>Konstruksi Gedung Kesehatan, Konstruksi Gedung Lainnya, Konstruksi Gedung Pendidikan, Konstruksi Gedung Perkantoran</t>
        </is>
      </c>
      <c r="N33" t="inlineStr">
        <is>
          <t>K</t>
        </is>
      </c>
      <c r="O33" t="inlineStr">
        <is>
          <t>20231130, 20231201</t>
        </is>
      </c>
      <c r="P33" t="inlineStr">
        <is>
          <t>Nusa Tenggara Timur</t>
        </is>
      </c>
      <c r="Q33" t="inlineStr"/>
    </row>
    <row r="34">
      <c r="A34" t="inlineStr">
        <is>
          <t>KARYA WIGUNA UTAMA</t>
        </is>
      </c>
      <c r="B34" t="inlineStr">
        <is>
          <t>Kota Denpasar</t>
        </is>
      </c>
      <c r="C34" t="inlineStr">
        <is>
          <t>0361263038</t>
        </is>
      </c>
      <c r="D34" t="inlineStr">
        <is>
          <t>kwigunautama@gmail.com</t>
        </is>
      </c>
      <c r="E34" t="inlineStr">
        <is>
          <t>https://lpjk.pu.go.id/search-badan-usaha-detail/KzYwbzVsNkFDWTloblNaaXgvK0F6UT09</t>
        </is>
      </c>
      <c r="F34" t="n">
        <v>1</v>
      </c>
      <c r="G34" t="inlineStr">
        <is>
          <t>BS002</t>
        </is>
      </c>
      <c r="H34" t="inlineStr">
        <is>
          <t>20 Oktober 2003</t>
        </is>
      </c>
      <c r="I34" s="2" t="n">
        <v>46366</v>
      </c>
      <c r="J34" t="inlineStr">
        <is>
          <t>Disetujui</t>
        </is>
      </c>
      <c r="K34" t="n">
        <v>87</v>
      </c>
      <c r="L34" t="inlineStr">
        <is>
          <t>10 Desember 2026</t>
        </is>
      </c>
      <c r="M34" t="inlineStr">
        <is>
          <t>Bangunan Sipil Jembatan, Jalan Layang, Fly Over, dan Underpass</t>
        </is>
      </c>
      <c r="N34" t="inlineStr">
        <is>
          <t>K</t>
        </is>
      </c>
      <c r="O34" t="inlineStr">
        <is>
          <t>20231207</t>
        </is>
      </c>
      <c r="P34" t="inlineStr">
        <is>
          <t>Bali</t>
        </is>
      </c>
      <c r="Q34" t="inlineStr"/>
    </row>
    <row r="35">
      <c r="A35" t="inlineStr">
        <is>
          <t>KENCANA ALAM PUTRA</t>
        </is>
      </c>
      <c r="B35" t="inlineStr">
        <is>
          <t>Kota Surabaya</t>
        </is>
      </c>
      <c r="C35" t="inlineStr">
        <is>
          <t>0315939609</t>
        </is>
      </c>
      <c r="D35" t="inlineStr">
        <is>
          <t>admin@kencana-alam.com</t>
        </is>
      </c>
      <c r="E35" t="inlineStr">
        <is>
          <t>https://lpjk.pu.go.id/search-badan-usaha-detail/c3BnZkkyYTZRdkE4dDhTbzROTDBmdz09</t>
        </is>
      </c>
      <c r="F35" t="n">
        <v>2</v>
      </c>
      <c r="G35" t="inlineStr">
        <is>
          <t>KK011, KK016</t>
        </is>
      </c>
      <c r="H35" t="inlineStr">
        <is>
          <t>24 November 1994</t>
        </is>
      </c>
      <c r="I35" s="2" t="n">
        <v>46366</v>
      </c>
      <c r="J35" t="inlineStr">
        <is>
          <t>Disetujui</t>
        </is>
      </c>
      <c r="K35" t="n">
        <v>87</v>
      </c>
      <c r="L35" t="inlineStr">
        <is>
          <t>10 Desember 2026</t>
        </is>
      </c>
      <c r="M35" t="inlineStr">
        <is>
          <t>Pemasangan Kerangka Baja, Pemasangan Rangka dan Atap/Roof Covering</t>
        </is>
      </c>
      <c r="N35" t="inlineStr">
        <is>
          <t>Spesialis</t>
        </is>
      </c>
      <c r="O35" t="inlineStr">
        <is>
          <t>20231123</t>
        </is>
      </c>
      <c r="P35" t="inlineStr">
        <is>
          <t>Jawa Timur</t>
        </is>
      </c>
      <c r="Q35" t="inlineStr"/>
    </row>
    <row r="36">
      <c r="A36" t="inlineStr">
        <is>
          <t>KENYALANG PERKASA MANDIRI</t>
        </is>
      </c>
      <c r="B36" t="inlineStr">
        <is>
          <t>Kab. Sekadau</t>
        </is>
      </c>
      <c r="C36" t="inlineStr">
        <is>
          <t>085750007530</t>
        </is>
      </c>
      <c r="D36" t="inlineStr">
        <is>
          <t>kenyalangperkasamandiri@gmail.com</t>
        </is>
      </c>
      <c r="E36" t="inlineStr">
        <is>
          <t>https://lpjk.pu.go.id/search-badan-usaha-detail/K09WaVJseTk3V1dGbjh3K051NE40QT09</t>
        </is>
      </c>
      <c r="F36" t="n">
        <v>3</v>
      </c>
      <c r="G36" t="inlineStr">
        <is>
          <t>BG005, BG006, BG009</t>
        </is>
      </c>
      <c r="H36" t="inlineStr">
        <is>
          <t>24 November 2023</t>
        </is>
      </c>
      <c r="I36" s="2" t="n">
        <v>46366</v>
      </c>
      <c r="J36" t="inlineStr">
        <is>
          <t>Disetujui</t>
        </is>
      </c>
      <c r="K36" t="n">
        <v>87</v>
      </c>
      <c r="L36" t="inlineStr">
        <is>
          <t>10 Desember 2026</t>
        </is>
      </c>
      <c r="M36" t="inlineStr">
        <is>
          <t>Konstruksi Gedung Kesehatan, Konstruksi Gedung Lainnya, Konstruksi Gedung Pendidikan</t>
        </is>
      </c>
      <c r="N36" t="inlineStr">
        <is>
          <t>K</t>
        </is>
      </c>
      <c r="O36" t="inlineStr">
        <is>
          <t>20231207</t>
        </is>
      </c>
      <c r="P36" t="inlineStr">
        <is>
          <t>Kalimantan Barat</t>
        </is>
      </c>
      <c r="Q36" t="inlineStr"/>
    </row>
    <row r="37">
      <c r="A37" t="inlineStr">
        <is>
          <t>LEADER KONTRAKTOR INDONESIA</t>
        </is>
      </c>
      <c r="B37" t="inlineStr">
        <is>
          <t>Kab. Karawang</t>
        </is>
      </c>
      <c r="C37" t="inlineStr">
        <is>
          <t>02678459250</t>
        </is>
      </c>
      <c r="D37" t="inlineStr">
        <is>
          <t>leaderkontraktor.id@gmail.com</t>
        </is>
      </c>
      <c r="E37" t="inlineStr">
        <is>
          <t>https://lpjk.pu.go.id/search-badan-usaha-detail/NVJHZjNyYjBiejFsNTY4eTk1alNkZz09</t>
        </is>
      </c>
      <c r="F37" t="n">
        <v>1</v>
      </c>
      <c r="G37" t="inlineStr">
        <is>
          <t>IN008</t>
        </is>
      </c>
      <c r="H37" t="inlineStr">
        <is>
          <t>26 November 2021</t>
        </is>
      </c>
      <c r="I37" s="2" t="n">
        <v>46366</v>
      </c>
      <c r="J37" t="inlineStr">
        <is>
          <t>Pembekuan</t>
        </is>
      </c>
      <c r="K37" t="n">
        <v>87</v>
      </c>
      <c r="L37" t="inlineStr">
        <is>
          <t>10 Desember 2026</t>
        </is>
      </c>
      <c r="M37" t="inlineStr">
        <is>
          <t>Instalasi Pendingin Dan Ventilasi Udara</t>
        </is>
      </c>
      <c r="N37" t="inlineStr">
        <is>
          <t>Spesialis</t>
        </is>
      </c>
      <c r="O37" t="inlineStr">
        <is>
          <t>20231206</t>
        </is>
      </c>
      <c r="P37" t="inlineStr">
        <is>
          <t>Jawa Barat</t>
        </is>
      </c>
      <c r="Q37" t="inlineStr"/>
    </row>
    <row r="38">
      <c r="A38" t="inlineStr">
        <is>
          <t>LIMA TUJUH</t>
        </is>
      </c>
      <c r="B38" t="inlineStr">
        <is>
          <t>Kab. Merauke</t>
        </is>
      </c>
      <c r="C38" t="inlineStr">
        <is>
          <t>081344450310</t>
        </is>
      </c>
      <c r="D38" t="inlineStr">
        <is>
          <t>CV.LIMATUJUH57@GMAIL.COM</t>
        </is>
      </c>
      <c r="E38" t="inlineStr">
        <is>
          <t>https://lpjk.pu.go.id/search-badan-usaha-detail/RHpZR1hnM1l0N09TZ0t2UWNXdjF6UT09</t>
        </is>
      </c>
      <c r="F38" t="n">
        <v>1</v>
      </c>
      <c r="G38" t="inlineStr">
        <is>
          <t>BG009</t>
        </is>
      </c>
      <c r="H38" t="inlineStr">
        <is>
          <t>26 November 2010</t>
        </is>
      </c>
      <c r="I38" s="2" t="n">
        <v>46366</v>
      </c>
      <c r="J38" t="inlineStr">
        <is>
          <t>Disetujui</t>
        </is>
      </c>
      <c r="K38" t="n">
        <v>87</v>
      </c>
      <c r="L38" t="inlineStr">
        <is>
          <t>10 Desember 2026</t>
        </is>
      </c>
      <c r="M38" t="inlineStr">
        <is>
          <t>Konstruksi Gedung Lainnya</t>
        </is>
      </c>
      <c r="N38" t="inlineStr">
        <is>
          <t>K</t>
        </is>
      </c>
      <c r="O38" t="inlineStr">
        <is>
          <t>20230804</t>
        </is>
      </c>
      <c r="P38" t="inlineStr">
        <is>
          <t>Papua</t>
        </is>
      </c>
      <c r="Q38" t="inlineStr"/>
    </row>
    <row r="39">
      <c r="A39" t="inlineStr">
        <is>
          <t>MAHANTA JAYA</t>
        </is>
      </c>
      <c r="B39" t="inlineStr">
        <is>
          <t>Kab. Bojonegoro</t>
        </is>
      </c>
      <c r="C39" t="inlineStr">
        <is>
          <t>082257702448</t>
        </is>
      </c>
      <c r="D39" t="inlineStr">
        <is>
          <t>CV.MAHANTAJAYA@GMAIL.COM</t>
        </is>
      </c>
      <c r="E39" t="inlineStr">
        <is>
          <t>https://lpjk.pu.go.id/search-badan-usaha-detail/cDM4QkVYWUQ4NkNwakEyY1AzWFRJUT09</t>
        </is>
      </c>
      <c r="F39" t="n">
        <v>2</v>
      </c>
      <c r="G39" t="inlineStr">
        <is>
          <t>BG005, BG009</t>
        </is>
      </c>
      <c r="H39" t="inlineStr">
        <is>
          <t>17 Juni 2020</t>
        </is>
      </c>
      <c r="I39" s="2" t="n">
        <v>46366</v>
      </c>
      <c r="J39" t="inlineStr">
        <is>
          <t>Disetujui</t>
        </is>
      </c>
      <c r="K39" t="n">
        <v>87</v>
      </c>
      <c r="L39" t="inlineStr">
        <is>
          <t>10 Desember 2026</t>
        </is>
      </c>
      <c r="M39" t="inlineStr">
        <is>
          <t>Konstruksi Gedung Kesehatan, Konstruksi Gedung Lainnya</t>
        </is>
      </c>
      <c r="N39" t="inlineStr">
        <is>
          <t>K</t>
        </is>
      </c>
      <c r="O39" t="inlineStr">
        <is>
          <t>20231206</t>
        </is>
      </c>
      <c r="P39" t="inlineStr">
        <is>
          <t>Jawa Timur</t>
        </is>
      </c>
      <c r="Q39" t="inlineStr"/>
    </row>
    <row r="40">
      <c r="A40" t="inlineStr">
        <is>
          <t>MANUNGGAL PANCA REKSA</t>
        </is>
      </c>
      <c r="B40" t="inlineStr">
        <is>
          <t>Kota Medan</t>
        </is>
      </c>
      <c r="C40" t="inlineStr">
        <is>
          <t>081269295511</t>
        </is>
      </c>
      <c r="D40" t="inlineStr">
        <is>
          <t>pt.manunggalpancareksa@gmail.com</t>
        </is>
      </c>
      <c r="E40" t="inlineStr">
        <is>
          <t>https://lpjk.pu.go.id/search-badan-usaha-detail/dHBsZ3F5VUZvQjlDTld4NzNyUm4zQT09</t>
        </is>
      </c>
      <c r="F40" t="n">
        <v>2</v>
      </c>
      <c r="G40" t="inlineStr">
        <is>
          <t>BG003</t>
        </is>
      </c>
      <c r="H40" t="inlineStr">
        <is>
          <t>9 September 2020</t>
        </is>
      </c>
      <c r="I40" s="2" t="n">
        <v>46366</v>
      </c>
      <c r="J40" t="inlineStr">
        <is>
          <t>Disetujui</t>
        </is>
      </c>
      <c r="K40" t="n">
        <v>87</v>
      </c>
      <c r="L40" t="inlineStr">
        <is>
          <t>10 Desember 2026</t>
        </is>
      </c>
      <c r="M40" t="inlineStr">
        <is>
          <t>Konstruksi Gedung Industri</t>
        </is>
      </c>
      <c r="N40" t="inlineStr">
        <is>
          <t>K</t>
        </is>
      </c>
      <c r="O40" t="inlineStr">
        <is>
          <t>20231009</t>
        </is>
      </c>
      <c r="P40" t="inlineStr">
        <is>
          <t>Sumatera Utara</t>
        </is>
      </c>
      <c r="Q40" t="inlineStr"/>
    </row>
    <row r="41">
      <c r="A41" t="inlineStr">
        <is>
          <t>MARINA UTAMA</t>
        </is>
      </c>
      <c r="B41" t="inlineStr">
        <is>
          <t>Kab. Banyuwangi</t>
        </is>
      </c>
      <c r="C41" t="inlineStr">
        <is>
          <t>081233106985</t>
        </is>
      </c>
      <c r="D41" t="inlineStr">
        <is>
          <t>marinautama.cv@gmail.com</t>
        </is>
      </c>
      <c r="E41" t="inlineStr">
        <is>
          <t>https://lpjk.pu.go.id/search-badan-usaha-detail/R3JidU5XQ2tURmZvYlVZKzVLOVgzZz09</t>
        </is>
      </c>
      <c r="F41" t="n">
        <v>1</v>
      </c>
      <c r="G41" t="inlineStr">
        <is>
          <t>BG006</t>
        </is>
      </c>
      <c r="H41" t="inlineStr">
        <is>
          <t>15 Juni 2021</t>
        </is>
      </c>
      <c r="I41" s="2" t="n">
        <v>46366</v>
      </c>
      <c r="J41" t="inlineStr">
        <is>
          <t>Disetujui</t>
        </is>
      </c>
      <c r="K41" t="n">
        <v>87</v>
      </c>
      <c r="L41" t="inlineStr">
        <is>
          <t>10 Desember 2026</t>
        </is>
      </c>
      <c r="M41" t="inlineStr">
        <is>
          <t>Konstruksi Gedung Pendidikan</t>
        </is>
      </c>
      <c r="N41" t="inlineStr">
        <is>
          <t>K</t>
        </is>
      </c>
      <c r="O41" t="inlineStr">
        <is>
          <t>20231206</t>
        </is>
      </c>
      <c r="P41" t="inlineStr">
        <is>
          <t>Jawa Timur</t>
        </is>
      </c>
      <c r="Q41" t="inlineStr"/>
    </row>
    <row r="42">
      <c r="A42" t="inlineStr">
        <is>
          <t>MEDIA PRATAMA</t>
        </is>
      </c>
      <c r="B42" t="inlineStr">
        <is>
          <t>Kota Jayapura</t>
        </is>
      </c>
      <c r="C42" t="inlineStr">
        <is>
          <t>082248684522</t>
        </is>
      </c>
      <c r="D42" t="inlineStr">
        <is>
          <t>mediapratama.new@gmail.com</t>
        </is>
      </c>
      <c r="E42" t="inlineStr">
        <is>
          <t>https://lpjk.pu.go.id/search-badan-usaha-detail/R3M3N29oYnpHb2grWWNaVGxDbXYwdz09</t>
        </is>
      </c>
      <c r="F42" t="n">
        <v>2</v>
      </c>
      <c r="G42" t="inlineStr">
        <is>
          <t>RK001, RK002</t>
        </is>
      </c>
      <c r="H42" t="inlineStr">
        <is>
          <t>6 Maret 1997</t>
        </is>
      </c>
      <c r="I42" s="2" t="n">
        <v>46366</v>
      </c>
      <c r="J42" t="inlineStr">
        <is>
          <t>Disetujui</t>
        </is>
      </c>
      <c r="K42" t="n">
        <v>87</v>
      </c>
      <c r="L42" t="inlineStr">
        <is>
          <t>10 Desember 2026</t>
        </is>
      </c>
      <c r="M42" t="inlineStr">
        <is>
          <t>Jasa Rekayasa Konstruksi Bangunan Gedung Hunian dan Non Hunian, Jasa Rekayasa Pekerjaan Teknik Sipil Sumber Daya Air</t>
        </is>
      </c>
      <c r="N42" t="inlineStr">
        <is>
          <t>K</t>
        </is>
      </c>
      <c r="O42" t="inlineStr">
        <is>
          <t>20231128, 20231129</t>
        </is>
      </c>
      <c r="P42" t="inlineStr">
        <is>
          <t>Papua</t>
        </is>
      </c>
      <c r="Q42" t="inlineStr"/>
    </row>
    <row r="43">
      <c r="A43" t="inlineStr">
        <is>
          <t>MITRA GRATA</t>
        </is>
      </c>
      <c r="B43" t="inlineStr">
        <is>
          <t>Kota Jambi</t>
        </is>
      </c>
      <c r="C43" t="inlineStr">
        <is>
          <t>082366778869</t>
        </is>
      </c>
      <c r="D43" t="inlineStr">
        <is>
          <t>willy.darlin@milaga.co.id</t>
        </is>
      </c>
      <c r="E43" t="inlineStr">
        <is>
          <t>https://lpjk.pu.go.id/search-badan-usaha-detail/SXh6L1k5RnoxOFhQcWxhSHJ6S0t3Zz09</t>
        </is>
      </c>
      <c r="F43" t="n">
        <v>1</v>
      </c>
      <c r="G43" t="inlineStr">
        <is>
          <t>BG002</t>
        </is>
      </c>
      <c r="H43" t="inlineStr">
        <is>
          <t>2 April 2004</t>
        </is>
      </c>
      <c r="I43" s="2" t="n">
        <v>46366</v>
      </c>
      <c r="J43" t="inlineStr">
        <is>
          <t>Disetujui</t>
        </is>
      </c>
      <c r="K43" t="n">
        <v>87</v>
      </c>
      <c r="L43" t="inlineStr">
        <is>
          <t>10 Desember 2026</t>
        </is>
      </c>
      <c r="M43" t="inlineStr">
        <is>
          <t>Konstruksi Gedung Perkantoran</t>
        </is>
      </c>
      <c r="N43" t="inlineStr">
        <is>
          <t>M</t>
        </is>
      </c>
      <c r="O43" t="inlineStr">
        <is>
          <t>20231207</t>
        </is>
      </c>
      <c r="P43" t="inlineStr">
        <is>
          <t>Jambi</t>
        </is>
      </c>
      <c r="Q43" t="inlineStr"/>
    </row>
    <row r="44">
      <c r="A44" t="inlineStr">
        <is>
          <t>NAUFAL</t>
        </is>
      </c>
      <c r="B44" t="inlineStr">
        <is>
          <t>Kota Medan</t>
        </is>
      </c>
      <c r="C44" t="inlineStr">
        <is>
          <t>082364720088</t>
        </is>
      </c>
      <c r="D44" t="inlineStr">
        <is>
          <t>cvnaufal2016@gmail.com</t>
        </is>
      </c>
      <c r="E44" t="inlineStr">
        <is>
          <t>https://lpjk.pu.go.id/search-badan-usaha-detail/aW1TOWhhaTNtUy80cTlYNnExMGRwQT09</t>
        </is>
      </c>
      <c r="F44" t="n">
        <v>2</v>
      </c>
      <c r="G44" t="inlineStr">
        <is>
          <t>BG001, BG006</t>
        </is>
      </c>
      <c r="H44" t="inlineStr">
        <is>
          <t>31 Januari 2002</t>
        </is>
      </c>
      <c r="I44" s="2" t="n">
        <v>46366</v>
      </c>
      <c r="J44" t="inlineStr">
        <is>
          <t>Disetujui</t>
        </is>
      </c>
      <c r="K44" t="n">
        <v>87</v>
      </c>
      <c r="L44" t="inlineStr">
        <is>
          <t>10 Desember 2026</t>
        </is>
      </c>
      <c r="M44" t="inlineStr">
        <is>
          <t>Konstruksi Gedung Hunian, Konstruksi Gedung Pendidikan</t>
        </is>
      </c>
      <c r="N44" t="inlineStr">
        <is>
          <t>K</t>
        </is>
      </c>
      <c r="O44" t="inlineStr">
        <is>
          <t>20231128, 20231201</t>
        </is>
      </c>
      <c r="P44" t="inlineStr">
        <is>
          <t>Sumatera Utara</t>
        </is>
      </c>
      <c r="Q44" t="inlineStr"/>
    </row>
    <row r="45">
      <c r="A45" t="inlineStr">
        <is>
          <t>NIAGA INTERNASIONAL PERKASA</t>
        </is>
      </c>
      <c r="B45" t="inlineStr">
        <is>
          <t>Kota Adm. Jakarta Barat</t>
        </is>
      </c>
      <c r="C45" t="inlineStr">
        <is>
          <t>02154350986</t>
        </is>
      </c>
      <c r="D45" t="inlineStr">
        <is>
          <t>niaga.internasinaolperkasa@gmail.com</t>
        </is>
      </c>
      <c r="E45" t="inlineStr">
        <is>
          <t>https://lpjk.pu.go.id/search-badan-usaha-detail/S3lpdUdRdmRibHFOMjlsQlZoSnBHQT09</t>
        </is>
      </c>
      <c r="F45" t="n">
        <v>2</v>
      </c>
      <c r="G45" t="inlineStr">
        <is>
          <t>BS005, BS006</t>
        </is>
      </c>
      <c r="H45" t="inlineStr">
        <is>
          <t>28 Oktober 2002</t>
        </is>
      </c>
      <c r="I45" s="2" t="n">
        <v>46366</v>
      </c>
      <c r="J45" t="inlineStr">
        <is>
          <t>Disetujui</t>
        </is>
      </c>
      <c r="K45" t="n">
        <v>87</v>
      </c>
      <c r="L45" t="inlineStr">
        <is>
          <t>10 Desember 2026</t>
        </is>
      </c>
      <c r="M45" t="inlineStr">
        <is>
          <t>Konstruksi Bangunan Sipil Pengolahan Air Bersih, Konstruksi Bangunan Sipil Prasarana dan Sarana Sistem Pengolahan Limbah Padat, Cair, dan Gas</t>
        </is>
      </c>
      <c r="N45" t="inlineStr">
        <is>
          <t>K</t>
        </is>
      </c>
      <c r="O45" t="inlineStr">
        <is>
          <t>20231207</t>
        </is>
      </c>
      <c r="P45" t="inlineStr">
        <is>
          <t>DKI Jakarta</t>
        </is>
      </c>
      <c r="Q45" t="inlineStr"/>
    </row>
    <row r="46">
      <c r="A46" t="inlineStr">
        <is>
          <t>NITISARA</t>
        </is>
      </c>
      <c r="B46" t="inlineStr">
        <is>
          <t>Kab. Ciamis</t>
        </is>
      </c>
      <c r="C46" t="inlineStr">
        <is>
          <t>081322529747</t>
        </is>
      </c>
      <c r="D46" t="inlineStr">
        <is>
          <t>nitisara.cv79@gmail.com</t>
        </is>
      </c>
      <c r="E46" t="inlineStr">
        <is>
          <t>https://lpjk.pu.go.id/search-badan-usaha-detail/NXM3UUhndStKWjIyeFNGaDc5bS9odz09</t>
        </is>
      </c>
      <c r="F46" t="n">
        <v>1</v>
      </c>
      <c r="G46" t="inlineStr">
        <is>
          <t>PL005</t>
        </is>
      </c>
      <c r="H46" t="inlineStr">
        <is>
          <t>10 Maret 2015</t>
        </is>
      </c>
      <c r="I46" s="2" t="n">
        <v>46366</v>
      </c>
      <c r="J46" t="inlineStr">
        <is>
          <t>Disetujui</t>
        </is>
      </c>
      <c r="K46" t="n">
        <v>87</v>
      </c>
      <c r="L46" t="inlineStr">
        <is>
          <t>10 Desember 2026</t>
        </is>
      </c>
      <c r="M46" t="inlineStr">
        <is>
          <t>Pembuatan/Pengeboran Sumur Air Tanah</t>
        </is>
      </c>
      <c r="N46" t="inlineStr">
        <is>
          <t>Spesialis</t>
        </is>
      </c>
      <c r="O46" t="inlineStr">
        <is>
          <t>20231206</t>
        </is>
      </c>
      <c r="P46" t="inlineStr">
        <is>
          <t>Jawa Barat</t>
        </is>
      </c>
      <c r="Q46" t="inlineStr"/>
    </row>
    <row r="47">
      <c r="A47" t="inlineStr">
        <is>
          <t>PADANG MANDIRI</t>
        </is>
      </c>
      <c r="B47" t="inlineStr">
        <is>
          <t>Kab. Belitung Timur</t>
        </is>
      </c>
      <c r="C47" t="inlineStr">
        <is>
          <t>08197841413</t>
        </is>
      </c>
      <c r="D47" t="inlineStr">
        <is>
          <t>padangmandiri2017@gmail.com</t>
        </is>
      </c>
      <c r="E47" t="inlineStr">
        <is>
          <t>https://lpjk.pu.go.id/search-badan-usaha-detail/MkpzUU01MXdMTHBFUWF2R3NjMmVuUT09</t>
        </is>
      </c>
      <c r="F47" t="n">
        <v>2</v>
      </c>
      <c r="G47" t="inlineStr">
        <is>
          <t>BG005</t>
        </is>
      </c>
      <c r="H47" t="inlineStr">
        <is>
          <t>22 Desember 2014</t>
        </is>
      </c>
      <c r="I47" s="2" t="n">
        <v>46366</v>
      </c>
      <c r="J47" t="inlineStr">
        <is>
          <t>Disetujui</t>
        </is>
      </c>
      <c r="K47" t="n">
        <v>87</v>
      </c>
      <c r="L47" t="inlineStr">
        <is>
          <t>10 Desember 2026</t>
        </is>
      </c>
      <c r="M47" t="inlineStr">
        <is>
          <t>Konstruksi Gedung Kesehatan</t>
        </is>
      </c>
      <c r="N47" t="inlineStr">
        <is>
          <t>K</t>
        </is>
      </c>
      <c r="O47" t="inlineStr">
        <is>
          <t>20231127</t>
        </is>
      </c>
      <c r="P47" t="inlineStr">
        <is>
          <t>Kepulauan Bangka Belitung</t>
        </is>
      </c>
      <c r="Q47" t="inlineStr"/>
    </row>
    <row r="48">
      <c r="A48" t="inlineStr">
        <is>
          <t>PANDU SATYA PERKASA CONSULTANT</t>
        </is>
      </c>
      <c r="B48" t="inlineStr">
        <is>
          <t>Kota Bengkulu</t>
        </is>
      </c>
      <c r="C48" t="inlineStr">
        <is>
          <t>082375176349</t>
        </is>
      </c>
      <c r="D48" t="inlineStr">
        <is>
          <t>pandusatyaperkasa93@gmail.com</t>
        </is>
      </c>
      <c r="E48" t="inlineStr">
        <is>
          <t>https://lpjk.pu.go.id/search-badan-usaha-detail/Wnk3R1gxbzNMdTNUZEdXK3gyLy9KZz09</t>
        </is>
      </c>
      <c r="F48" t="n">
        <v>2</v>
      </c>
      <c r="G48" t="inlineStr">
        <is>
          <t>RK001, RK003</t>
        </is>
      </c>
      <c r="H48" t="inlineStr">
        <is>
          <t>26 April 2006</t>
        </is>
      </c>
      <c r="I48" s="2" t="n">
        <v>46366</v>
      </c>
      <c r="J48" t="inlineStr">
        <is>
          <t>Disetujui</t>
        </is>
      </c>
      <c r="K48" t="n">
        <v>87</v>
      </c>
      <c r="L48" t="inlineStr">
        <is>
          <t>10 Desember 2026</t>
        </is>
      </c>
      <c r="M48" t="inlineStr">
        <is>
          <t>Jasa Rekayasa Konstruksi Bangunan Gedung Hunian dan Non Hunian, Jasa Rekayasa Pekerjaan Teknik Sipil Transportasi</t>
        </is>
      </c>
      <c r="N48" t="inlineStr">
        <is>
          <t>K</t>
        </is>
      </c>
      <c r="O48" t="inlineStr">
        <is>
          <t>20231123</t>
        </is>
      </c>
      <c r="P48" t="inlineStr">
        <is>
          <t>Bengkulu</t>
        </is>
      </c>
      <c r="Q48" t="inlineStr"/>
    </row>
    <row r="49">
      <c r="A49" t="inlineStr">
        <is>
          <t>PRIMA TEKNIK CONSULINDO</t>
        </is>
      </c>
      <c r="B49" t="inlineStr">
        <is>
          <t>Kab. Banjar</t>
        </is>
      </c>
      <c r="C49" t="inlineStr">
        <is>
          <t>0851 0242 8540</t>
        </is>
      </c>
      <c r="D49" t="inlineStr">
        <is>
          <t>primateknikc@yahoo.com</t>
        </is>
      </c>
      <c r="E49" t="inlineStr">
        <is>
          <t>https://lpjk.pu.go.id/search-badan-usaha-detail/bDRsckFFMTFIZjJ2WDBQanVMQm90UT09</t>
        </is>
      </c>
      <c r="F49" t="n">
        <v>1</v>
      </c>
      <c r="G49" t="inlineStr">
        <is>
          <t>RK001</t>
        </is>
      </c>
      <c r="H49" t="inlineStr">
        <is>
          <t>9 Januari 2004</t>
        </is>
      </c>
      <c r="I49" s="2" t="n">
        <v>46366</v>
      </c>
      <c r="J49" t="inlineStr">
        <is>
          <t>Disetujui</t>
        </is>
      </c>
      <c r="K49" t="n">
        <v>87</v>
      </c>
      <c r="L49" t="inlineStr">
        <is>
          <t>10 Desember 2026</t>
        </is>
      </c>
      <c r="M49" t="inlineStr">
        <is>
          <t>Jasa Rekayasa Konstruksi Bangunan Gedung Hunian dan Non Hunian</t>
        </is>
      </c>
      <c r="N49" t="inlineStr">
        <is>
          <t>K</t>
        </is>
      </c>
      <c r="O49" t="inlineStr">
        <is>
          <t>20231202</t>
        </is>
      </c>
      <c r="P49" t="inlineStr">
        <is>
          <t>Kalimantan Selatan</t>
        </is>
      </c>
      <c r="Q49" t="inlineStr"/>
    </row>
    <row r="50">
      <c r="A50" t="inlineStr">
        <is>
          <t>PUTROE KONSULTAN</t>
        </is>
      </c>
      <c r="B50" t="inlineStr">
        <is>
          <t>Kab. Aceh Besar</t>
        </is>
      </c>
      <c r="C50" t="inlineStr">
        <is>
          <t>085277657000</t>
        </is>
      </c>
      <c r="D50" t="inlineStr">
        <is>
          <t>putroekonsultan@gmail.com</t>
        </is>
      </c>
      <c r="E50" t="inlineStr">
        <is>
          <t>https://lpjk.pu.go.id/search-badan-usaha-detail/d3NYdm82TEtWaEFCVnQ3NVk3bnBqUT09</t>
        </is>
      </c>
      <c r="F50" t="n">
        <v>3</v>
      </c>
      <c r="G50" t="inlineStr">
        <is>
          <t>RK001, RK002, RK003</t>
        </is>
      </c>
      <c r="H50" t="inlineStr">
        <is>
          <t>22 Juni 2020</t>
        </is>
      </c>
      <c r="I50" s="2" t="n">
        <v>46366</v>
      </c>
      <c r="J50" t="inlineStr">
        <is>
          <t>Disetujui, Pencabutan</t>
        </is>
      </c>
      <c r="K50" t="n">
        <v>87</v>
      </c>
      <c r="L50" t="inlineStr">
        <is>
          <t>10 Desember 2026</t>
        </is>
      </c>
      <c r="M50" t="inlineStr">
        <is>
          <t>Jasa Rekayasa Konstruksi Bangunan Gedung Hunian dan Non Hunian, Jasa Rekayasa Pekerjaan Teknik Sipil Sumber Daya Air, Jasa Rekayasa Pekerjaan Teknik Sipil Transportasi</t>
        </is>
      </c>
      <c r="N50" t="inlineStr">
        <is>
          <t>K</t>
        </is>
      </c>
      <c r="O50" t="inlineStr">
        <is>
          <t>20231110, 20231127</t>
        </is>
      </c>
      <c r="P50" t="inlineStr">
        <is>
          <t>Aceh</t>
        </is>
      </c>
      <c r="Q50" t="inlineStr"/>
    </row>
    <row r="51">
      <c r="A51" t="inlineStr">
        <is>
          <t>RAJAWALI TEKNIK KONSULTAN</t>
        </is>
      </c>
      <c r="B51" t="inlineStr">
        <is>
          <t>Kota Metro</t>
        </is>
      </c>
      <c r="C51" t="inlineStr">
        <is>
          <t>081273030412</t>
        </is>
      </c>
      <c r="D51" t="inlineStr">
        <is>
          <t>rajawali_konsultan@yahoo.co.id</t>
        </is>
      </c>
      <c r="E51" t="inlineStr">
        <is>
          <t>https://lpjk.pu.go.id/search-badan-usaha-detail/aHg0Q0YxNjhHVVIwNVFlY2wzanZQUT09</t>
        </is>
      </c>
      <c r="F51" t="n">
        <v>2</v>
      </c>
      <c r="G51" t="inlineStr">
        <is>
          <t>RK002</t>
        </is>
      </c>
      <c r="H51" t="inlineStr">
        <is>
          <t>19 April 2013</t>
        </is>
      </c>
      <c r="I51" s="2" t="n">
        <v>46366</v>
      </c>
      <c r="J51" t="inlineStr">
        <is>
          <t>Disetujui</t>
        </is>
      </c>
      <c r="K51" t="n">
        <v>87</v>
      </c>
      <c r="L51" t="inlineStr">
        <is>
          <t>10 Desember 2026</t>
        </is>
      </c>
      <c r="M51" t="inlineStr">
        <is>
          <t>Jasa Rekayasa Pekerjaan Teknik Sipil Sumber Daya Air</t>
        </is>
      </c>
      <c r="N51" t="inlineStr">
        <is>
          <t>K</t>
        </is>
      </c>
      <c r="O51" t="inlineStr">
        <is>
          <t>20231123</t>
        </is>
      </c>
      <c r="P51" t="inlineStr">
        <is>
          <t>Lampung</t>
        </is>
      </c>
      <c r="Q51" t="inlineStr"/>
    </row>
    <row r="52">
      <c r="A52" t="inlineStr">
        <is>
          <t>REMAJA ASLI</t>
        </is>
      </c>
      <c r="B52" t="inlineStr">
        <is>
          <t>Kab. Bojonegoro</t>
        </is>
      </c>
      <c r="C52" t="inlineStr">
        <is>
          <t>08165476214</t>
        </is>
      </c>
      <c r="D52" t="inlineStr">
        <is>
          <t>cv.remaja_asli@yahoo.co.id</t>
        </is>
      </c>
      <c r="E52" t="inlineStr">
        <is>
          <t>https://lpjk.pu.go.id/search-badan-usaha-detail/dThMT2ZkNHBBV0J4Y3BrWmt3LzhCdz09</t>
        </is>
      </c>
      <c r="F52" t="n">
        <v>4</v>
      </c>
      <c r="G52" t="inlineStr">
        <is>
          <t>BG001, BG006, BG009, BS005</t>
        </is>
      </c>
      <c r="H52" t="inlineStr">
        <is>
          <t>22 Juni 1995</t>
        </is>
      </c>
      <c r="I52" s="2" t="n">
        <v>46366</v>
      </c>
      <c r="J52" t="inlineStr">
        <is>
          <t>Disetujui</t>
        </is>
      </c>
      <c r="K52" t="n">
        <v>87</v>
      </c>
      <c r="L52" t="inlineStr">
        <is>
          <t>10 Desember 2026</t>
        </is>
      </c>
      <c r="M52" t="inlineStr">
        <is>
          <t>Konstruksi Bangunan Sipil Pengolahan Air Bersih, Konstruksi Gedung Hunian, Konstruksi Gedung Lainnya, Konstruksi Gedung Pendidikan</t>
        </is>
      </c>
      <c r="N52" t="inlineStr">
        <is>
          <t>K</t>
        </is>
      </c>
      <c r="O52" t="inlineStr">
        <is>
          <t>20231206, 20231214</t>
        </is>
      </c>
      <c r="P52" t="inlineStr">
        <is>
          <t>Jawa Timur</t>
        </is>
      </c>
      <c r="Q52" t="inlineStr"/>
    </row>
    <row r="53">
      <c r="A53" t="inlineStr">
        <is>
          <t>SANSKARA SANJAYA ANANTA</t>
        </is>
      </c>
      <c r="B53" t="inlineStr">
        <is>
          <t>Kota Adm. Jakarta Selatan</t>
        </is>
      </c>
      <c r="C53" t="inlineStr">
        <is>
          <t>081296292738</t>
        </is>
      </c>
      <c r="D53" t="inlineStr">
        <is>
          <t>sanskarageneralcontractor@gmail.com</t>
        </is>
      </c>
      <c r="E53" t="inlineStr">
        <is>
          <t>https://lpjk.pu.go.id/search-badan-usaha-detail/Um5HSklVV2E4blV2aFloK2JtSmNldz09</t>
        </is>
      </c>
      <c r="F53" t="n">
        <v>1</v>
      </c>
      <c r="G53" t="inlineStr">
        <is>
          <t>BS004</t>
        </is>
      </c>
      <c r="H53" t="inlineStr">
        <is>
          <t>1 September 2022</t>
        </is>
      </c>
      <c r="I53" s="2" t="n">
        <v>46366</v>
      </c>
      <c r="J53" t="inlineStr">
        <is>
          <t>Disetujui</t>
        </is>
      </c>
      <c r="K53" t="n">
        <v>87</v>
      </c>
      <c r="L53" t="inlineStr">
        <is>
          <t>10 Desember 2026</t>
        </is>
      </c>
      <c r="M53" t="inlineStr">
        <is>
          <t>Konstruksi Jaringan Irigasi dan Drainase</t>
        </is>
      </c>
      <c r="N53" t="inlineStr">
        <is>
          <t>K</t>
        </is>
      </c>
      <c r="O53" t="inlineStr">
        <is>
          <t>20231128</t>
        </is>
      </c>
      <c r="P53" t="inlineStr">
        <is>
          <t>DKI Jakarta</t>
        </is>
      </c>
      <c r="Q53" t="inlineStr"/>
    </row>
    <row r="54">
      <c r="A54" t="inlineStr">
        <is>
          <t>SATRIA BULAN BERSAUDARA</t>
        </is>
      </c>
      <c r="B54" t="inlineStr">
        <is>
          <t>Kota Banjarmasin</t>
        </is>
      </c>
      <c r="C54" t="inlineStr">
        <is>
          <t>081351882261</t>
        </is>
      </c>
      <c r="D54" t="inlineStr">
        <is>
          <t>satriabulan15@gmail.com</t>
        </is>
      </c>
      <c r="E54" t="inlineStr">
        <is>
          <t>https://lpjk.pu.go.id/search-badan-usaha-detail/M01Ld013N29OZHpjQzg5YTJETm1rZz09</t>
        </is>
      </c>
      <c r="F54" t="n">
        <v>3</v>
      </c>
      <c r="G54" t="inlineStr">
        <is>
          <t>BS001, BS010, BS011</t>
        </is>
      </c>
      <c r="H54" t="inlineStr">
        <is>
          <t>19 Maret 2002</t>
        </is>
      </c>
      <c r="I54" s="2" t="n">
        <v>46366</v>
      </c>
      <c r="J54" t="inlineStr">
        <is>
          <t>Disetujui</t>
        </is>
      </c>
      <c r="K54" t="n">
        <v>87</v>
      </c>
      <c r="L54" t="inlineStr">
        <is>
          <t>10 Desember 2026</t>
        </is>
      </c>
      <c r="M54" t="inlineStr">
        <is>
          <t>Konstruksi Bangunan Pelabuhan Bukan Perikanan, Konstruksi Bangunan Prasarana Sumber Daya Air, Konstruksi Bangunan Sipil Jalan</t>
        </is>
      </c>
      <c r="N54" t="inlineStr">
        <is>
          <t>M</t>
        </is>
      </c>
      <c r="O54" t="inlineStr">
        <is>
          <t>20231201, 20231207</t>
        </is>
      </c>
      <c r="P54" t="inlineStr">
        <is>
          <t>Kalimantan Selatan</t>
        </is>
      </c>
      <c r="Q54" t="inlineStr"/>
    </row>
    <row r="55">
      <c r="A55" t="inlineStr">
        <is>
          <t>SETYA SARI SUKSES</t>
        </is>
      </c>
      <c r="B55" t="inlineStr">
        <is>
          <t>Kab. Mandailing Natal</t>
        </is>
      </c>
      <c r="C55" t="inlineStr">
        <is>
          <t>081361607575</t>
        </is>
      </c>
      <c r="D55" t="inlineStr">
        <is>
          <t>cv.setyasarisukses@gmail.com</t>
        </is>
      </c>
      <c r="E55" t="inlineStr">
        <is>
          <t>https://lpjk.pu.go.id/search-badan-usaha-detail/ZWNXQXp6TUNUcVBRVVZWVWRBZ0UwUT09</t>
        </is>
      </c>
      <c r="F55" t="n">
        <v>4</v>
      </c>
      <c r="G55" t="inlineStr">
        <is>
          <t>BG006, BG009, BS001, BS004</t>
        </is>
      </c>
      <c r="H55" t="inlineStr">
        <is>
          <t>6 November 2007</t>
        </is>
      </c>
      <c r="I55" s="2" t="n">
        <v>46366</v>
      </c>
      <c r="J55" t="inlineStr">
        <is>
          <t>Disetujui</t>
        </is>
      </c>
      <c r="K55" t="n">
        <v>87</v>
      </c>
      <c r="L55" t="inlineStr">
        <is>
          <t>10 Desember 2026</t>
        </is>
      </c>
      <c r="M55" t="inlineStr">
        <is>
          <t>Konstruksi Bangunan Sipil Jalan, Konstruksi Gedung Lainnya, Konstruksi Gedung Pendidikan, Konstruksi Jaringan Irigasi dan Drainase</t>
        </is>
      </c>
      <c r="N55" t="inlineStr">
        <is>
          <t>K</t>
        </is>
      </c>
      <c r="O55" t="inlineStr">
        <is>
          <t>20231207</t>
        </is>
      </c>
      <c r="P55" t="inlineStr">
        <is>
          <t>Sumatera Utara</t>
        </is>
      </c>
      <c r="Q55" t="inlineStr"/>
    </row>
    <row r="56">
      <c r="A56" t="inlineStr">
        <is>
          <t>SINAR TUNAS KARYA UTAMA</t>
        </is>
      </c>
      <c r="B56" t="inlineStr">
        <is>
          <t>Kota Denpasar</t>
        </is>
      </c>
      <c r="C56" t="inlineStr">
        <is>
          <t>0361243763</t>
        </is>
      </c>
      <c r="D56" t="inlineStr">
        <is>
          <t>sinartunaskaryautama@gmail.com</t>
        </is>
      </c>
      <c r="E56" t="inlineStr">
        <is>
          <t>https://lpjk.pu.go.id/search-badan-usaha-detail/VmxDUUtTekpMRklETG5vYlBaaGpmQT09</t>
        </is>
      </c>
      <c r="F56" t="n">
        <v>1</v>
      </c>
      <c r="G56" t="inlineStr">
        <is>
          <t>BS004</t>
        </is>
      </c>
      <c r="H56" t="inlineStr">
        <is>
          <t>26 Oktober 1992</t>
        </is>
      </c>
      <c r="I56" s="2" t="n">
        <v>46366</v>
      </c>
      <c r="J56" t="inlineStr">
        <is>
          <t>Disetujui</t>
        </is>
      </c>
      <c r="K56" t="n">
        <v>87</v>
      </c>
      <c r="L56" t="inlineStr">
        <is>
          <t>10 Desember 2026</t>
        </is>
      </c>
      <c r="M56" t="inlineStr">
        <is>
          <t>Konstruksi Jaringan Irigasi dan Drainase</t>
        </is>
      </c>
      <c r="N56" t="inlineStr">
        <is>
          <t>K</t>
        </is>
      </c>
      <c r="O56" t="inlineStr">
        <is>
          <t>20231130</t>
        </is>
      </c>
      <c r="P56" t="inlineStr">
        <is>
          <t>Bali</t>
        </is>
      </c>
      <c r="Q56" t="inlineStr"/>
    </row>
    <row r="57">
      <c r="A57" t="inlineStr">
        <is>
          <t>SKETSA PRISMA KONSULTAN</t>
        </is>
      </c>
      <c r="B57" t="inlineStr">
        <is>
          <t>Kab. Blora</t>
        </is>
      </c>
      <c r="C57" t="inlineStr">
        <is>
          <t>0895375573796</t>
        </is>
      </c>
      <c r="D57" t="inlineStr">
        <is>
          <t>sketsaprismakonslt@gmail.com</t>
        </is>
      </c>
      <c r="E57" t="inlineStr">
        <is>
          <t>https://lpjk.pu.go.id/search-badan-usaha-detail/alh4VWhrWng1cUJ0aVgweXZIaGpSdz09</t>
        </is>
      </c>
      <c r="F57" t="n">
        <v>1</v>
      </c>
      <c r="G57" t="inlineStr">
        <is>
          <t>RK002</t>
        </is>
      </c>
      <c r="H57" t="inlineStr">
        <is>
          <t>24 Oktober 2023</t>
        </is>
      </c>
      <c r="I57" s="2" t="n">
        <v>46366</v>
      </c>
      <c r="J57" t="inlineStr">
        <is>
          <t>Disetujui</t>
        </is>
      </c>
      <c r="K57" t="n">
        <v>87</v>
      </c>
      <c r="L57" t="inlineStr">
        <is>
          <t>10 Desember 2026</t>
        </is>
      </c>
      <c r="M57" t="inlineStr">
        <is>
          <t>Jasa Rekayasa Pekerjaan Teknik Sipil Sumber Daya Air</t>
        </is>
      </c>
      <c r="N57" t="inlineStr">
        <is>
          <t>K</t>
        </is>
      </c>
      <c r="O57" t="inlineStr">
        <is>
          <t>20231130</t>
        </is>
      </c>
      <c r="P57" t="inlineStr">
        <is>
          <t>Jawa Tengah</t>
        </is>
      </c>
      <c r="Q57" t="inlineStr"/>
    </row>
    <row r="58">
      <c r="A58" t="inlineStr">
        <is>
          <t>SRIKANDI PRAKARSA MANDIRI</t>
        </is>
      </c>
      <c r="B58" t="inlineStr">
        <is>
          <t>Kota Semarang</t>
        </is>
      </c>
      <c r="C58" t="inlineStr">
        <is>
          <t>081325179393</t>
        </is>
      </c>
      <c r="D58" t="inlineStr">
        <is>
          <t>cvsrikandiprakarsamandiri@gmail.com</t>
        </is>
      </c>
      <c r="E58" t="inlineStr">
        <is>
          <t>https://lpjk.pu.go.id/search-badan-usaha-detail/MlBxNmdYN20zK2owbVZUVVNNZ1hjQT09</t>
        </is>
      </c>
      <c r="F58" t="n">
        <v>3</v>
      </c>
      <c r="G58" t="inlineStr">
        <is>
          <t>RK001, RK002, RK003</t>
        </is>
      </c>
      <c r="H58" t="inlineStr">
        <is>
          <t>13 November 2020</t>
        </is>
      </c>
      <c r="I58" s="2" t="n">
        <v>46366</v>
      </c>
      <c r="J58" t="inlineStr">
        <is>
          <t>Disetujui</t>
        </is>
      </c>
      <c r="K58" t="n">
        <v>87</v>
      </c>
      <c r="L58" t="inlineStr">
        <is>
          <t>10 Desember 2026</t>
        </is>
      </c>
      <c r="M58" t="inlineStr">
        <is>
          <t>Jasa Rekayasa Konstruksi Bangunan Gedung Hunian dan Non Hunian, Jasa Rekayasa Pekerjaan Teknik Sipil Sumber Daya Air, Jasa Rekayasa Pekerjaan Teknik Sipil Transportasi</t>
        </is>
      </c>
      <c r="N58" t="inlineStr">
        <is>
          <t>K</t>
        </is>
      </c>
      <c r="O58" t="inlineStr">
        <is>
          <t>20231120, 20231121</t>
        </is>
      </c>
      <c r="P58" t="inlineStr">
        <is>
          <t>Jawa Tengah</t>
        </is>
      </c>
      <c r="Q58" t="inlineStr"/>
    </row>
    <row r="59">
      <c r="A59" t="inlineStr">
        <is>
          <t>SRIWIJAYA MAJAPAHIT GEMILANG</t>
        </is>
      </c>
      <c r="B59" t="inlineStr">
        <is>
          <t>Kota Adm. Jakarta Pusat</t>
        </is>
      </c>
      <c r="C59" t="inlineStr">
        <is>
          <t>085100216418</t>
        </is>
      </c>
      <c r="D59" t="inlineStr">
        <is>
          <t>sriwijayamajapahit2018@gmail.com</t>
        </is>
      </c>
      <c r="E59" t="inlineStr">
        <is>
          <t>https://lpjk.pu.go.id/search-badan-usaha-detail/QjN1Q0VRbS9XWHJxVnhhTUZTY281dz09</t>
        </is>
      </c>
      <c r="F59" t="n">
        <v>1</v>
      </c>
      <c r="G59" t="inlineStr">
        <is>
          <t>BG001</t>
        </is>
      </c>
      <c r="H59" t="inlineStr">
        <is>
          <t>6 Maret 2018</t>
        </is>
      </c>
      <c r="I59" s="2" t="n">
        <v>46366</v>
      </c>
      <c r="J59" t="inlineStr">
        <is>
          <t>Disetujui</t>
        </is>
      </c>
      <c r="K59" t="n">
        <v>87</v>
      </c>
      <c r="L59" t="inlineStr">
        <is>
          <t>10 Desember 2026</t>
        </is>
      </c>
      <c r="M59" t="inlineStr">
        <is>
          <t>Konstruksi Gedung Hunian</t>
        </is>
      </c>
      <c r="N59" t="inlineStr">
        <is>
          <t>K</t>
        </is>
      </c>
      <c r="O59" t="inlineStr">
        <is>
          <t>20231130</t>
        </is>
      </c>
      <c r="P59" t="inlineStr">
        <is>
          <t>DKI Jakarta</t>
        </is>
      </c>
      <c r="Q59" t="inlineStr"/>
    </row>
    <row r="60">
      <c r="A60" t="inlineStr">
        <is>
          <t>STAR DESIGN UTAMA</t>
        </is>
      </c>
      <c r="B60" t="inlineStr">
        <is>
          <t>Kab. Grobogan</t>
        </is>
      </c>
      <c r="C60" t="inlineStr">
        <is>
          <t>082136666022</t>
        </is>
      </c>
      <c r="D60" t="inlineStr">
        <is>
          <t>cv.stardesignutama@gmail.com</t>
        </is>
      </c>
      <c r="E60" t="inlineStr">
        <is>
          <t>https://lpjk.pu.go.id/search-badan-usaha-detail/SkVUdk5TZG92NUNJdDErc25CZkFqZz09</t>
        </is>
      </c>
      <c r="F60" t="n">
        <v>4</v>
      </c>
      <c r="G60" t="inlineStr">
        <is>
          <t>AR001, AR002, AR003, RK001</t>
        </is>
      </c>
      <c r="H60" t="inlineStr">
        <is>
          <t>10 September 2018</t>
        </is>
      </c>
      <c r="I60" s="2" t="n">
        <v>46366</v>
      </c>
      <c r="J60" t="inlineStr">
        <is>
          <t>Disetujui</t>
        </is>
      </c>
      <c r="K60" t="n">
        <v>87</v>
      </c>
      <c r="L60" t="inlineStr">
        <is>
          <t>10 Desember 2026</t>
        </is>
      </c>
      <c r="M60" t="inlineStr">
        <is>
          <t>Jasa Arsitektural Bangunan Gedung Hunian dan Non Hunian, Jasa Arsitektural Lainnya, Jasa Desain Interior pada Bangunan Gedung dan Bangunan Sipil, Jasa Rekayasa Konstruksi Bangunan Gedung Hunian dan Non Hunian</t>
        </is>
      </c>
      <c r="N60" t="inlineStr">
        <is>
          <t>K</t>
        </is>
      </c>
      <c r="O60" t="inlineStr">
        <is>
          <t>20231204</t>
        </is>
      </c>
      <c r="P60" t="inlineStr">
        <is>
          <t>Jawa Tengah</t>
        </is>
      </c>
      <c r="Q60" t="inlineStr"/>
    </row>
    <row r="61">
      <c r="A61" t="inlineStr">
        <is>
          <t>SUMBER AMARTA ENZI</t>
        </is>
      </c>
      <c r="B61" t="inlineStr">
        <is>
          <t>Kab. Karanganyar</t>
        </is>
      </c>
      <c r="C61" t="inlineStr">
        <is>
          <t>08112535999</t>
        </is>
      </c>
      <c r="D61" t="inlineStr">
        <is>
          <t>amartaenzisumber@gmail.com</t>
        </is>
      </c>
      <c r="E61" t="inlineStr">
        <is>
          <t>https://lpjk.pu.go.id/search-badan-usaha-detail/OWV4MlpCazFGZmpjaHVpb05ZVUZ3Zz09</t>
        </is>
      </c>
      <c r="F61" t="n">
        <v>1</v>
      </c>
      <c r="G61" t="inlineStr">
        <is>
          <t>BG006</t>
        </is>
      </c>
      <c r="H61" t="inlineStr">
        <is>
          <t>24 Agustus 2023</t>
        </is>
      </c>
      <c r="I61" s="2" t="n">
        <v>46366</v>
      </c>
      <c r="J61" t="inlineStr">
        <is>
          <t>Disetujui</t>
        </is>
      </c>
      <c r="K61" t="n">
        <v>87</v>
      </c>
      <c r="L61" t="inlineStr">
        <is>
          <t>10 Desember 2026</t>
        </is>
      </c>
      <c r="M61" t="inlineStr">
        <is>
          <t>Konstruksi Gedung Pendidikan</t>
        </is>
      </c>
      <c r="N61" t="inlineStr">
        <is>
          <t>K</t>
        </is>
      </c>
      <c r="O61" t="inlineStr">
        <is>
          <t>20231205</t>
        </is>
      </c>
      <c r="P61" t="inlineStr">
        <is>
          <t>Jawa Tengah</t>
        </is>
      </c>
      <c r="Q61" t="inlineStr"/>
    </row>
    <row r="62">
      <c r="A62" t="inlineStr">
        <is>
          <t>SUMBER KARYA</t>
        </is>
      </c>
      <c r="B62" t="inlineStr">
        <is>
          <t>Kota Semarang</t>
        </is>
      </c>
      <c r="C62" t="inlineStr">
        <is>
          <t>081325176954</t>
        </is>
      </c>
      <c r="D62" t="inlineStr">
        <is>
          <t>sumberkarya09@gmail.com</t>
        </is>
      </c>
      <c r="E62" t="inlineStr">
        <is>
          <t>https://lpjk.pu.go.id/search-badan-usaha-detail/UUMyY1l3VDNTV2hBQzRIZ1o4RmxaQT09</t>
        </is>
      </c>
      <c r="F62" t="n">
        <v>1</v>
      </c>
      <c r="G62" t="inlineStr">
        <is>
          <t>BG008</t>
        </is>
      </c>
      <c r="H62" t="inlineStr">
        <is>
          <t>10 Februari 1990</t>
        </is>
      </c>
      <c r="I62" s="2" t="n">
        <v>46366</v>
      </c>
      <c r="J62" t="inlineStr">
        <is>
          <t>Disetujui</t>
        </is>
      </c>
      <c r="K62" t="n">
        <v>87</v>
      </c>
      <c r="L62" t="inlineStr">
        <is>
          <t>10 Desember 2026</t>
        </is>
      </c>
      <c r="M62" t="inlineStr">
        <is>
          <t>Konstruksi Gedung Tempat Hiburan dan Olahraga</t>
        </is>
      </c>
      <c r="N62" t="inlineStr">
        <is>
          <t>K</t>
        </is>
      </c>
      <c r="O62" t="inlineStr">
        <is>
          <t>20231029</t>
        </is>
      </c>
      <c r="P62" t="inlineStr">
        <is>
          <t>Jawa Tengah</t>
        </is>
      </c>
      <c r="Q62" t="inlineStr"/>
    </row>
    <row r="63">
      <c r="A63" t="inlineStr">
        <is>
          <t>SURYA ALNUSA MANDIRI</t>
        </is>
      </c>
      <c r="B63" t="inlineStr">
        <is>
          <t>Kota Bengkulu</t>
        </is>
      </c>
      <c r="C63" t="inlineStr">
        <is>
          <t>-</t>
        </is>
      </c>
      <c r="D63" t="inlineStr">
        <is>
          <t>pt.suryaalnusamandiri@gmail.com</t>
        </is>
      </c>
      <c r="E63" t="inlineStr">
        <is>
          <t>https://lpjk.pu.go.id/search-badan-usaha-detail/aTJFT3NmRWU0ZHJrUUVvRytTcnh1QT09</t>
        </is>
      </c>
      <c r="F63" t="n">
        <v>1</v>
      </c>
      <c r="G63" t="inlineStr">
        <is>
          <t>BS001</t>
        </is>
      </c>
      <c r="H63" t="inlineStr">
        <is>
          <t>22 Juni 2012</t>
        </is>
      </c>
      <c r="I63" s="2" t="n">
        <v>46366</v>
      </c>
      <c r="J63" t="inlineStr">
        <is>
          <t>Disetujui</t>
        </is>
      </c>
      <c r="K63" t="n">
        <v>87</v>
      </c>
      <c r="L63" t="inlineStr">
        <is>
          <t>10 Desember 2026</t>
        </is>
      </c>
      <c r="M63" t="inlineStr">
        <is>
          <t>Konstruksi Bangunan Sipil Jalan</t>
        </is>
      </c>
      <c r="N63" t="inlineStr">
        <is>
          <t>M</t>
        </is>
      </c>
      <c r="O63" t="inlineStr">
        <is>
          <t>20231116</t>
        </is>
      </c>
      <c r="P63" t="inlineStr">
        <is>
          <t>Bengkulu</t>
        </is>
      </c>
      <c r="Q63" t="inlineStr"/>
    </row>
    <row r="64">
      <c r="A64" t="inlineStr">
        <is>
          <t>TALENTA JAVA DESIGN</t>
        </is>
      </c>
      <c r="B64" t="inlineStr">
        <is>
          <t>Kab. Jepara</t>
        </is>
      </c>
      <c r="C64" t="inlineStr">
        <is>
          <t>082134798080</t>
        </is>
      </c>
      <c r="D64" t="inlineStr">
        <is>
          <t>talentadesign@gmail.com</t>
        </is>
      </c>
      <c r="E64" t="inlineStr">
        <is>
          <t>https://lpjk.pu.go.id/search-badan-usaha-detail/dUJDaWhGclVVTlE1U2hTQU9ZbmhwZz09</t>
        </is>
      </c>
      <c r="F64" t="n">
        <v>3</v>
      </c>
      <c r="G64" t="inlineStr">
        <is>
          <t>BG002, BG007, BG009</t>
        </is>
      </c>
      <c r="H64" t="inlineStr">
        <is>
          <t>9 Oktober 2023</t>
        </is>
      </c>
      <c r="I64" s="2" t="n">
        <v>46366</v>
      </c>
      <c r="J64" t="inlineStr">
        <is>
          <t>Disetujui</t>
        </is>
      </c>
      <c r="K64" t="n">
        <v>87</v>
      </c>
      <c r="L64" t="inlineStr">
        <is>
          <t>10 Desember 2026</t>
        </is>
      </c>
      <c r="M64" t="inlineStr">
        <is>
          <t>Konstruksi Gedung Lainnya, Konstruksi Gedung Penginapan, Konstruksi Gedung Perkantoran</t>
        </is>
      </c>
      <c r="N64" t="inlineStr">
        <is>
          <t>K</t>
        </is>
      </c>
      <c r="O64" t="inlineStr">
        <is>
          <t>20231016, 20231205</t>
        </is>
      </c>
      <c r="P64" t="inlineStr">
        <is>
          <t>Jawa Tengah</t>
        </is>
      </c>
      <c r="Q64" t="inlineStr"/>
    </row>
    <row r="65">
      <c r="A65" t="inlineStr">
        <is>
          <t>TESLAMIKA REKA UTAMA</t>
        </is>
      </c>
      <c r="B65" t="inlineStr">
        <is>
          <t>Kota Bandung</t>
        </is>
      </c>
      <c r="C65" t="inlineStr">
        <is>
          <t>08122121291</t>
        </is>
      </c>
      <c r="D65" t="inlineStr">
        <is>
          <t>teslamika.reka.utama@gmail.com</t>
        </is>
      </c>
      <c r="E65" t="inlineStr">
        <is>
          <t>https://lpjk.pu.go.id/search-badan-usaha-detail/RTlCNGdpd1VFY0NRNFl4YUd4V1RwQT09</t>
        </is>
      </c>
      <c r="F65" t="n">
        <v>2</v>
      </c>
      <c r="G65" t="inlineStr">
        <is>
          <t>RK001</t>
        </is>
      </c>
      <c r="H65" t="inlineStr">
        <is>
          <t>5 Agustus 2021</t>
        </is>
      </c>
      <c r="I65" s="2" t="n">
        <v>46366</v>
      </c>
      <c r="J65" t="inlineStr">
        <is>
          <t>Disetujui</t>
        </is>
      </c>
      <c r="K65" t="n">
        <v>87</v>
      </c>
      <c r="L65" t="inlineStr">
        <is>
          <t>10 Desember 2026</t>
        </is>
      </c>
      <c r="M65" t="inlineStr">
        <is>
          <t>Jasa Rekayasa Konstruksi Bangunan Gedung Hunian dan Non Hunian</t>
        </is>
      </c>
      <c r="N65" t="inlineStr">
        <is>
          <t>K</t>
        </is>
      </c>
      <c r="O65" t="inlineStr">
        <is>
          <t>20231128</t>
        </is>
      </c>
      <c r="P65" t="inlineStr">
        <is>
          <t>Jawa Barat</t>
        </is>
      </c>
      <c r="Q65" t="inlineStr"/>
    </row>
    <row r="66">
      <c r="A66" t="inlineStr">
        <is>
          <t>TIGAJAYA ABADI</t>
        </is>
      </c>
      <c r="B66" t="inlineStr">
        <is>
          <t>Kota Semarang</t>
        </is>
      </c>
      <c r="C66" t="inlineStr">
        <is>
          <t>0246711186</t>
        </is>
      </c>
      <c r="D66" t="inlineStr">
        <is>
          <t>tigajayaabadi2009@gmail.com</t>
        </is>
      </c>
      <c r="E66" t="inlineStr">
        <is>
          <t>https://lpjk.pu.go.id/search-badan-usaha-detail/TDlPQjFrbkU3NVlJSWVXWkxVYWEvdz09</t>
        </is>
      </c>
      <c r="F66" t="n">
        <v>3</v>
      </c>
      <c r="G66" t="inlineStr">
        <is>
          <t>BS001, BS011, BS012</t>
        </is>
      </c>
      <c r="H66" t="inlineStr">
        <is>
          <t>23 Februari 2009</t>
        </is>
      </c>
      <c r="I66" s="2" t="n">
        <v>46366</v>
      </c>
      <c r="J66" t="inlineStr">
        <is>
          <t>Disetujui</t>
        </is>
      </c>
      <c r="K66" t="n">
        <v>87</v>
      </c>
      <c r="L66" t="inlineStr">
        <is>
          <t>10 Desember 2026</t>
        </is>
      </c>
      <c r="M66" t="inlineStr">
        <is>
          <t>Konstruksi Bangunan Pelabuhan Bukan Perikanan, Konstruksi Bangunan Pelabuhan Perikanan, Konstruksi Bangunan Sipil Jalan</t>
        </is>
      </c>
      <c r="N66" t="inlineStr">
        <is>
          <t>K</t>
        </is>
      </c>
      <c r="O66" t="inlineStr">
        <is>
          <t>20231205, 20231207</t>
        </is>
      </c>
      <c r="P66" t="inlineStr">
        <is>
          <t>Jawa Tengah</t>
        </is>
      </c>
      <c r="Q66" t="inlineStr"/>
    </row>
    <row r="67">
      <c r="A67" t="inlineStr">
        <is>
          <t>TINAVEL PAPUA KONSULTAN</t>
        </is>
      </c>
      <c r="B67" t="inlineStr">
        <is>
          <t>Kota Jayapura</t>
        </is>
      </c>
      <c r="C67" t="inlineStr">
        <is>
          <t>082248623130</t>
        </is>
      </c>
      <c r="D67" t="inlineStr">
        <is>
          <t>tinavelpk@gmail.com</t>
        </is>
      </c>
      <c r="E67" t="inlineStr">
        <is>
          <t>https://lpjk.pu.go.id/search-badan-usaha-detail/cHowMlFpVzMwOFhsRW1sMUVSczh5Zz09</t>
        </is>
      </c>
      <c r="F67" t="n">
        <v>1</v>
      </c>
      <c r="G67" t="inlineStr">
        <is>
          <t>RK003</t>
        </is>
      </c>
      <c r="H67" t="inlineStr">
        <is>
          <t>22 Juni 2020</t>
        </is>
      </c>
      <c r="I67" s="2" t="n">
        <v>46366</v>
      </c>
      <c r="J67" t="inlineStr">
        <is>
          <t>Disetujui</t>
        </is>
      </c>
      <c r="K67" t="n">
        <v>87</v>
      </c>
      <c r="L67" t="inlineStr">
        <is>
          <t>10 Desember 2026</t>
        </is>
      </c>
      <c r="M67" t="inlineStr">
        <is>
          <t>Jasa Rekayasa Pekerjaan Teknik Sipil Transportasi</t>
        </is>
      </c>
      <c r="N67" t="inlineStr">
        <is>
          <t>M</t>
        </is>
      </c>
      <c r="O67" t="inlineStr">
        <is>
          <t>20231127</t>
        </is>
      </c>
      <c r="P67" t="inlineStr">
        <is>
          <t>Papua</t>
        </is>
      </c>
      <c r="Q67" t="inlineStr"/>
    </row>
    <row r="68">
      <c r="A68" t="inlineStr">
        <is>
          <t>UTARI KREASINDO UTAMA</t>
        </is>
      </c>
      <c r="B68" t="inlineStr">
        <is>
          <t>Kab. Cianjur</t>
        </is>
      </c>
      <c r="C68" t="inlineStr">
        <is>
          <t>081912124333</t>
        </is>
      </c>
      <c r="D68" t="inlineStr">
        <is>
          <t>utarikreasindo12@gmail.com</t>
        </is>
      </c>
      <c r="E68" t="inlineStr">
        <is>
          <t>https://lpjk.pu.go.id/search-badan-usaha-detail/cHhGbFI2NSsvSWNTK0xKTFBVTXoyQT09</t>
        </is>
      </c>
      <c r="F68" t="n">
        <v>1</v>
      </c>
      <c r="G68" t="inlineStr">
        <is>
          <t>BS004</t>
        </is>
      </c>
      <c r="H68" t="inlineStr">
        <is>
          <t>1 Juli 2020</t>
        </is>
      </c>
      <c r="I68" s="2" t="n">
        <v>46366</v>
      </c>
      <c r="J68" t="inlineStr">
        <is>
          <t>Disetujui</t>
        </is>
      </c>
      <c r="K68" t="n">
        <v>87</v>
      </c>
      <c r="L68" t="inlineStr">
        <is>
          <t>10 Desember 2026</t>
        </is>
      </c>
      <c r="M68" t="inlineStr">
        <is>
          <t>Konstruksi Jaringan Irigasi dan Drainase</t>
        </is>
      </c>
      <c r="N68" t="inlineStr">
        <is>
          <t>K</t>
        </is>
      </c>
      <c r="O68" t="inlineStr">
        <is>
          <t>20231206</t>
        </is>
      </c>
      <c r="P68" t="inlineStr">
        <is>
          <t>Jawa Barat</t>
        </is>
      </c>
      <c r="Q68" t="inlineStr"/>
    </row>
    <row r="69">
      <c r="A69" t="inlineStr">
        <is>
          <t>WIRA SUKSES SEJATI</t>
        </is>
      </c>
      <c r="B69" t="inlineStr">
        <is>
          <t>Kota Medan</t>
        </is>
      </c>
      <c r="C69" t="inlineStr">
        <is>
          <t>0616639241</t>
        </is>
      </c>
      <c r="D69" t="inlineStr">
        <is>
          <t>Admin@wirasukses.com</t>
        </is>
      </c>
      <c r="E69" t="inlineStr">
        <is>
          <t>https://lpjk.pu.go.id/search-badan-usaha-detail/c3VVMXo4cm5IeEZ1WmZwdlhCTjdzdz09</t>
        </is>
      </c>
      <c r="F69" t="n">
        <v>1</v>
      </c>
      <c r="G69" t="inlineStr">
        <is>
          <t>BG003</t>
        </is>
      </c>
      <c r="H69" t="inlineStr">
        <is>
          <t>27 Februari 2017</t>
        </is>
      </c>
      <c r="I69" s="2" t="n">
        <v>46366</v>
      </c>
      <c r="J69" t="inlineStr">
        <is>
          <t>Disetujui</t>
        </is>
      </c>
      <c r="K69" t="n">
        <v>87</v>
      </c>
      <c r="L69" t="inlineStr">
        <is>
          <t>10 Desember 2026</t>
        </is>
      </c>
      <c r="M69" t="inlineStr">
        <is>
          <t>Konstruksi Gedung Industri</t>
        </is>
      </c>
      <c r="N69" t="inlineStr">
        <is>
          <t>K</t>
        </is>
      </c>
      <c r="O69" t="inlineStr">
        <is>
          <t>20231201</t>
        </is>
      </c>
      <c r="P69" t="inlineStr">
        <is>
          <t>Sumatera Utara</t>
        </is>
      </c>
      <c r="Q69" t="inlineStr"/>
    </row>
    <row r="70">
      <c r="A70" t="inlineStr">
        <is>
          <t>YASA CIPTA WIJAYA</t>
        </is>
      </c>
      <c r="B70" t="inlineStr">
        <is>
          <t>Kab. Purbalingga</t>
        </is>
      </c>
      <c r="C70" t="inlineStr">
        <is>
          <t>085743716594</t>
        </is>
      </c>
      <c r="D70" t="inlineStr">
        <is>
          <t>yasaciptawijaya@gmail.com</t>
        </is>
      </c>
      <c r="E70" t="inlineStr">
        <is>
          <t>https://lpjk.pu.go.id/search-badan-usaha-detail/SlQ5NjNUV2FBVmZNNVZTUUFxQ2ZFdz09</t>
        </is>
      </c>
      <c r="F70" t="n">
        <v>5</v>
      </c>
      <c r="G70" t="inlineStr">
        <is>
          <t>BG002, BG003, BG005, BG006, BG009</t>
        </is>
      </c>
      <c r="H70" t="inlineStr">
        <is>
          <t>31 Oktober 2023</t>
        </is>
      </c>
      <c r="I70" s="2" t="n">
        <v>46366</v>
      </c>
      <c r="J70" t="inlineStr">
        <is>
          <t>Disetujui</t>
        </is>
      </c>
      <c r="K70" t="n">
        <v>87</v>
      </c>
      <c r="L70" t="inlineStr">
        <is>
          <t>10 Desember 2026</t>
        </is>
      </c>
      <c r="M70" t="inlineStr">
        <is>
          <t>Konstruksi Gedung Industri, Konstruksi Gedung Kesehatan, Konstruksi Gedung Lainnya, Konstruksi Gedung Pendidikan, Konstruksi Gedung Perkantoran</t>
        </is>
      </c>
      <c r="N70" t="inlineStr">
        <is>
          <t>K</t>
        </is>
      </c>
      <c r="O70" t="inlineStr">
        <is>
          <t>20231206</t>
        </is>
      </c>
      <c r="P70" t="inlineStr">
        <is>
          <t>Jawa Tengah</t>
        </is>
      </c>
      <c r="Q7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0"/>
  <sheetViews>
    <sheetView workbookViewId="0">
      <selection activeCell="A1" sqref="A1"/>
    </sheetView>
  </sheetViews>
  <sheetFormatPr baseColWidth="8" defaultRowHeight="15"/>
  <cols>
    <col width="40" customWidth="1" min="1" max="1"/>
    <col width="28" customWidth="1" min="2" max="2"/>
    <col width="16" customWidth="1" min="3" max="3"/>
    <col width="38" customWidth="1" min="4" max="4"/>
    <col width="50" customWidth="1" min="5" max="5"/>
    <col width="18" customWidth="1" min="6" max="6"/>
    <col width="50" customWidth="1" min="7" max="7"/>
    <col width="20" customWidth="1" min="8" max="8"/>
    <col width="28" customWidth="1" min="9" max="9"/>
    <col width="34" customWidth="1" min="10" max="10"/>
    <col width="11" customWidth="1" min="11" max="11"/>
    <col width="18" customWidth="1" min="12" max="12"/>
    <col width="50" customWidth="1" min="13" max="13"/>
    <col width="14"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CAKRA ESA UNGGUL</t>
        </is>
      </c>
      <c r="B2" t="inlineStr">
        <is>
          <t>Kota Depok</t>
        </is>
      </c>
      <c r="C2" t="inlineStr">
        <is>
          <t>085959049044</t>
        </is>
      </c>
      <c r="D2" t="inlineStr">
        <is>
          <t>sales@cakraesa.com</t>
        </is>
      </c>
      <c r="E2" t="inlineStr">
        <is>
          <t>https://lpjk.pu.go.id/search-badan-usaha-detail/ZFovbk1BUWZjdGIrTnFMYnRYZ3NUQT09</t>
        </is>
      </c>
      <c r="F2" t="n">
        <v>1</v>
      </c>
      <c r="G2" t="inlineStr">
        <is>
          <t>BG005</t>
        </is>
      </c>
      <c r="H2" t="inlineStr">
        <is>
          <t>27 Oktober 2023</t>
        </is>
      </c>
      <c r="I2" s="2" t="n">
        <v>46339</v>
      </c>
      <c r="J2" t="inlineStr">
        <is>
          <t>Disetujui</t>
        </is>
      </c>
      <c r="K2" t="n">
        <v>60</v>
      </c>
      <c r="L2" t="inlineStr">
        <is>
          <t>13 November 2026</t>
        </is>
      </c>
      <c r="M2" t="inlineStr">
        <is>
          <t>Konstruksi Gedung Kesehatan</t>
        </is>
      </c>
      <c r="N2" t="inlineStr">
        <is>
          <t>K</t>
        </is>
      </c>
      <c r="O2" t="inlineStr">
        <is>
          <t>20231113</t>
        </is>
      </c>
      <c r="P2" t="inlineStr">
        <is>
          <t>Jawa Barat</t>
        </is>
      </c>
      <c r="Q2" s="3">
        <f>HYPERLINK("https://wa.me/6285959049044?text=*[PENGINGAT MASA BERLAKU SBU CAKRA ESA UNGGUL]*%0A%0AYth. Pimpinan CAKRA ESA UNGGUL,%0AMohon izin menginformasikan status SBU Anda di sistem LPJK:%0A%0A📄 SBU: BG005%0A📅 Expired: 13 November 2026 (60 Hari Lagi)%0A%0AKami tim PT. ESDEA Assistance Management siap men-support proses perpanjangan segera agar administrasi proyek tidak terhambat%0A%0AApakah boleh saya bantu siapkan estimasi biaya dan waktu pengerjaannya?.", "Hubungi")</f>
        <v/>
      </c>
    </row>
    <row r="3">
      <c r="A3" t="inlineStr">
        <is>
          <t>ESHAN PANCA BERSAMA</t>
        </is>
      </c>
      <c r="B3" t="inlineStr">
        <is>
          <t>Kota Bogor</t>
        </is>
      </c>
      <c r="C3" t="inlineStr">
        <is>
          <t>081584847506</t>
        </is>
      </c>
      <c r="D3" t="inlineStr">
        <is>
          <t>pt.eshanpancabersama5@gmail.com</t>
        </is>
      </c>
      <c r="E3" t="inlineStr">
        <is>
          <t>https://lpjk.pu.go.id/search-badan-usaha-detail/SjJiTFVjZkU5LzdpVGRmUFVrWXBvdz09</t>
        </is>
      </c>
      <c r="F3" t="n">
        <v>2</v>
      </c>
      <c r="G3" t="inlineStr">
        <is>
          <t>BG009</t>
        </is>
      </c>
      <c r="H3" t="inlineStr">
        <is>
          <t>10 Februari 2017</t>
        </is>
      </c>
      <c r="I3" s="2" t="n">
        <v>46339</v>
      </c>
      <c r="J3" t="inlineStr">
        <is>
          <t>Disetujui</t>
        </is>
      </c>
      <c r="K3" t="n">
        <v>60</v>
      </c>
      <c r="L3" t="inlineStr">
        <is>
          <t>13 November 2026</t>
        </is>
      </c>
      <c r="M3" t="inlineStr">
        <is>
          <t>Konstruksi Gedung Lainnya</t>
        </is>
      </c>
      <c r="N3" t="inlineStr">
        <is>
          <t>K</t>
        </is>
      </c>
      <c r="O3" t="inlineStr">
        <is>
          <t>20231109</t>
        </is>
      </c>
      <c r="P3" t="inlineStr">
        <is>
          <t>Jawa Barat</t>
        </is>
      </c>
      <c r="Q3" s="3">
        <f>HYPERLINK("https://wa.me/6281584847506?text=*[PENGINGAT MASA BERLAKU SBU ESHAN PANCA BERSAMA]*%0A%0AYth. Pimpinan ESHAN PANCA BERSAMA,%0AMohon izin menginformasikan status SBU Anda di sistem LPJK:%0A%0A📄 SBU: BG009%0A📅 Expired: 13 November 2026 (60 Hari Lagi)%0A%0AKami tim PT. ESDEA Assistance Management siap men-support proses perpanjangan segera agar administrasi proyek tidak terhambat%0A%0AApakah boleh saya bantu siapkan estimasi biaya dan waktu pengerjaannya?.", "Hubungi")</f>
        <v/>
      </c>
    </row>
    <row r="4">
      <c r="A4" t="inlineStr">
        <is>
          <t>GABE TAMA KARYA</t>
        </is>
      </c>
      <c r="B4" t="inlineStr">
        <is>
          <t>Kota Adm. Jakarta Timur</t>
        </is>
      </c>
      <c r="C4" t="inlineStr">
        <is>
          <t>02122876388</t>
        </is>
      </c>
      <c r="D4" t="inlineStr">
        <is>
          <t>gabetamakarya@yahoo.com</t>
        </is>
      </c>
      <c r="E4" t="inlineStr">
        <is>
          <t>https://lpjk.pu.go.id/search-badan-usaha-detail/T3Jxd1JYYnY0TnJRK0xFaWtPNW01dz09</t>
        </is>
      </c>
      <c r="F4" t="n">
        <v>5</v>
      </c>
      <c r="G4" t="inlineStr">
        <is>
          <t>BG001, BG002, BG005, BG006, BG009</t>
        </is>
      </c>
      <c r="H4" t="inlineStr">
        <is>
          <t>26 September 2023</t>
        </is>
      </c>
      <c r="I4" s="2" t="n">
        <v>46339</v>
      </c>
      <c r="J4" t="inlineStr">
        <is>
          <t>Disetujui</t>
        </is>
      </c>
      <c r="K4" t="n">
        <v>60</v>
      </c>
      <c r="L4" t="inlineStr">
        <is>
          <t>13 November 2026</t>
        </is>
      </c>
      <c r="M4" t="inlineStr">
        <is>
          <t>Konstruksi Gedung Hunian, Konstruksi Gedung Kesehatan, Konstruksi Gedung Lainnya, Konstruksi Gedung Pendidikan, Konstruksi Gedung Perkantoran</t>
        </is>
      </c>
      <c r="N4" t="inlineStr">
        <is>
          <t>K</t>
        </is>
      </c>
      <c r="O4" t="inlineStr">
        <is>
          <t>20231106, 20231113</t>
        </is>
      </c>
      <c r="P4" t="inlineStr">
        <is>
          <t>DKI Jakarta</t>
        </is>
      </c>
      <c r="Q4" t="inlineStr"/>
    </row>
    <row r="5">
      <c r="A5" t="inlineStr">
        <is>
          <t>KARYA WIKA KONSTRUKSI</t>
        </is>
      </c>
      <c r="B5" t="inlineStr">
        <is>
          <t>Kota Depok</t>
        </is>
      </c>
      <c r="C5" t="inlineStr">
        <is>
          <t>08111115153</t>
        </is>
      </c>
      <c r="D5" t="inlineStr">
        <is>
          <t>karyawika.konstruksi@gmail.com</t>
        </is>
      </c>
      <c r="E5" t="inlineStr">
        <is>
          <t>https://lpjk.pu.go.id/search-badan-usaha-detail/OFBmNW0yZXcwb3N1dEYxZEwrbXJIQT09</t>
        </is>
      </c>
      <c r="F5" t="n">
        <v>1</v>
      </c>
      <c r="G5" t="inlineStr">
        <is>
          <t>BS004</t>
        </is>
      </c>
      <c r="H5" t="inlineStr">
        <is>
          <t>24 Agustus 2023</t>
        </is>
      </c>
      <c r="I5" s="2" t="n">
        <v>46339</v>
      </c>
      <c r="J5" t="inlineStr">
        <is>
          <t>Disetujui</t>
        </is>
      </c>
      <c r="K5" t="n">
        <v>60</v>
      </c>
      <c r="L5" t="inlineStr">
        <is>
          <t>13 November 2026</t>
        </is>
      </c>
      <c r="M5" t="inlineStr">
        <is>
          <t>Konstruksi Jaringan Irigasi dan Drainase</t>
        </is>
      </c>
      <c r="N5" t="inlineStr">
        <is>
          <t>K</t>
        </is>
      </c>
      <c r="O5" t="inlineStr">
        <is>
          <t>20231114</t>
        </is>
      </c>
      <c r="P5" t="inlineStr">
        <is>
          <t>Jawa Barat</t>
        </is>
      </c>
      <c r="Q5" s="3">
        <f>HYPERLINK("https://wa.me/628111115153?text=*[PENGINGAT MASA BERLAKU SBU KARYA WIKA KONSTRUKSI]*%0A%0AYth. Pimpinan KARYA WIKA KONSTRUKSI,%0AMohon izin menginformasikan status SBU Anda di sistem LPJK:%0A%0A📄 SBU: BS004%0A📅 Expired: 13 November 2026 (60 Hari Lagi)%0A%0AKami tim PT. ESDEA Assistance Management siap men-support proses perpanjangan segera agar administrasi proyek tidak terhambat%0A%0AApakah boleh saya bantu siapkan estimasi biaya dan waktu pengerjaannya?.", "Hubungi")</f>
        <v/>
      </c>
    </row>
    <row r="6">
      <c r="A6" t="inlineStr">
        <is>
          <t>LASKAR CIPTAUTAMA</t>
        </is>
      </c>
      <c r="B6" t="inlineStr">
        <is>
          <t>Kota Adm. Jakarta Timur</t>
        </is>
      </c>
      <c r="C6" t="inlineStr">
        <is>
          <t>02122868759</t>
        </is>
      </c>
      <c r="D6" t="inlineStr">
        <is>
          <t>marketing@laskar-corp.com</t>
        </is>
      </c>
      <c r="E6" t="inlineStr">
        <is>
          <t>https://lpjk.pu.go.id/search-badan-usaha-detail/VVdvUVFVYlJCRGJWdFJuTk95Mis4dz09</t>
        </is>
      </c>
      <c r="F6" t="n">
        <v>4</v>
      </c>
      <c r="G6" t="inlineStr">
        <is>
          <t>BG002, BG003, BG008, BG009</t>
        </is>
      </c>
      <c r="H6" t="inlineStr">
        <is>
          <t>12 Agustus 1989</t>
        </is>
      </c>
      <c r="I6" s="2" t="n">
        <v>46339</v>
      </c>
      <c r="J6" t="inlineStr">
        <is>
          <t>Disetujui</t>
        </is>
      </c>
      <c r="K6" t="n">
        <v>60</v>
      </c>
      <c r="L6" t="inlineStr">
        <is>
          <t>13 November 2026</t>
        </is>
      </c>
      <c r="M6" t="inlineStr">
        <is>
          <t>Konstruksi Gedung Industri, Konstruksi Gedung Lainnya, Konstruksi Gedung Perkantoran, Konstruksi Gedung Tempat Hiburan dan Olahraga</t>
        </is>
      </c>
      <c r="N6" t="inlineStr">
        <is>
          <t>K</t>
        </is>
      </c>
      <c r="O6" t="inlineStr">
        <is>
          <t>20231109, 20231110</t>
        </is>
      </c>
      <c r="P6" t="inlineStr">
        <is>
          <t>DKI Jakarta</t>
        </is>
      </c>
      <c r="Q6" t="inlineStr"/>
    </row>
    <row r="7">
      <c r="A7" t="inlineStr">
        <is>
          <t>MITRA JASA LAKSANA</t>
        </is>
      </c>
      <c r="B7" t="inlineStr">
        <is>
          <t>Kota Bogor</t>
        </is>
      </c>
      <c r="C7" t="inlineStr">
        <is>
          <t>0251327974</t>
        </is>
      </c>
      <c r="D7" t="inlineStr">
        <is>
          <t>rief73@yahoo.co.id</t>
        </is>
      </c>
      <c r="E7" t="inlineStr">
        <is>
          <t>https://lpjk.pu.go.id/search-badan-usaha-detail/aUU2UGFvSVVHUWt5YmdONFBZTWZLUT09</t>
        </is>
      </c>
      <c r="F7" t="n">
        <v>3</v>
      </c>
      <c r="G7" t="inlineStr">
        <is>
          <t>BG009, BS001, BS004</t>
        </is>
      </c>
      <c r="H7" t="inlineStr">
        <is>
          <t>19 November 2001</t>
        </is>
      </c>
      <c r="I7" s="2" t="n">
        <v>46339</v>
      </c>
      <c r="J7" t="inlineStr">
        <is>
          <t>Disetujui</t>
        </is>
      </c>
      <c r="K7" t="n">
        <v>60</v>
      </c>
      <c r="L7" t="inlineStr">
        <is>
          <t>13 November 2026</t>
        </is>
      </c>
      <c r="M7" t="inlineStr">
        <is>
          <t>Konstruksi Bangunan Sipil Jalan, Konstruksi Gedung Lainnya, Konstruksi Jaringan Irigasi dan Drainase</t>
        </is>
      </c>
      <c r="N7" t="inlineStr">
        <is>
          <t>K</t>
        </is>
      </c>
      <c r="O7" t="inlineStr">
        <is>
          <t>20231110</t>
        </is>
      </c>
      <c r="P7" t="inlineStr">
        <is>
          <t>Jawa Barat</t>
        </is>
      </c>
      <c r="Q7" s="3">
        <f>HYPERLINK("https://wa.me/62251327974?text=*[PENGINGAT MASA BERLAKU SBU MITRA JASA LAKSANA]*%0A%0AYth. Pimpinan MITRA JASA LAKSANA,%0AMohon izin menginformasikan status SBU Anda di sistem LPJK:%0A%0A📄 SBU: BG009, BS001, BS004%0A📅 Expired: 13 November 2026 (60 Hari Lagi)%0A%0AKami tim PT. ESDEA Assistance Management siap men-support proses perpanjangan segera agar administrasi proyek tidak terhambat%0A%0AApakah boleh saya bantu siapkan estimasi biaya dan waktu pengerjaannya?.", "Hubungi")</f>
        <v/>
      </c>
    </row>
    <row r="8">
      <c r="A8" t="inlineStr">
        <is>
          <t>MUSANO PERMATA INDO</t>
        </is>
      </c>
      <c r="B8" t="inlineStr">
        <is>
          <t>Kab. Bekasi</t>
        </is>
      </c>
      <c r="C8" t="inlineStr">
        <is>
          <t>085779170668</t>
        </is>
      </c>
      <c r="D8" t="inlineStr">
        <is>
          <t>musanopermata.indo@gmail.com</t>
        </is>
      </c>
      <c r="E8" t="inlineStr">
        <is>
          <t>https://lpjk.pu.go.id/search-badan-usaha-detail/MzlNc1BNRW03WFl6WFlzVE5uYlZ1UT09</t>
        </is>
      </c>
      <c r="F8" t="n">
        <v>1</v>
      </c>
      <c r="G8" t="inlineStr">
        <is>
          <t>BG009</t>
        </is>
      </c>
      <c r="H8" t="inlineStr">
        <is>
          <t>24 Oktober 2023</t>
        </is>
      </c>
      <c r="I8" s="2" t="n">
        <v>46339</v>
      </c>
      <c r="J8" t="inlineStr">
        <is>
          <t>Disetujui</t>
        </is>
      </c>
      <c r="K8" t="n">
        <v>60</v>
      </c>
      <c r="L8" t="inlineStr">
        <is>
          <t>13 November 2026</t>
        </is>
      </c>
      <c r="M8" t="inlineStr">
        <is>
          <t>Konstruksi Gedung Lainnya</t>
        </is>
      </c>
      <c r="N8" t="inlineStr">
        <is>
          <t>K</t>
        </is>
      </c>
      <c r="O8" t="inlineStr">
        <is>
          <t>20231027</t>
        </is>
      </c>
      <c r="P8" t="inlineStr">
        <is>
          <t>Jawa Barat</t>
        </is>
      </c>
      <c r="Q8" s="3">
        <f>HYPERLINK("https://wa.me/6285779170668?text=*[PENGINGAT MASA BERLAKU SBU MUSANO PERMATA INDO]*%0A%0AYth. Pimpinan MUSANO PERMATA INDO,%0AMohon izin menginformasikan status SBU Anda di sistem LPJK:%0A%0A📄 SBU: BG009%0A📅 Expired: 13 November 2026 (60 Hari Lagi)%0A%0AKami tim PT. ESDEA Assistance Management siap men-support proses perpanjangan segera agar administrasi proyek tidak terhambat%0A%0AApakah boleh saya bantu siapkan estimasi biaya dan waktu pengerjaannya?.", "Hubungi")</f>
        <v/>
      </c>
    </row>
    <row r="9">
      <c r="A9" t="inlineStr">
        <is>
          <t>OIXIO RANCANG BANGUN</t>
        </is>
      </c>
      <c r="B9" t="inlineStr">
        <is>
          <t>Kota Bogor</t>
        </is>
      </c>
      <c r="C9" t="inlineStr">
        <is>
          <t>081386028424</t>
        </is>
      </c>
      <c r="D9" t="inlineStr">
        <is>
          <t>oixiodesignandbuild@gmail.com</t>
        </is>
      </c>
      <c r="E9" t="inlineStr">
        <is>
          <t>https://lpjk.pu.go.id/search-badan-usaha-detail/L3laMVR1REF1UDZ3RzBsSTI3RDQyQT09</t>
        </is>
      </c>
      <c r="F9" t="n">
        <v>1</v>
      </c>
      <c r="G9" t="inlineStr">
        <is>
          <t>BG009</t>
        </is>
      </c>
      <c r="H9" t="inlineStr">
        <is>
          <t>18 Agustus 2023</t>
        </is>
      </c>
      <c r="I9" s="2" t="n">
        <v>46339</v>
      </c>
      <c r="J9" t="inlineStr">
        <is>
          <t>Disetujui</t>
        </is>
      </c>
      <c r="K9" t="n">
        <v>60</v>
      </c>
      <c r="L9" t="inlineStr">
        <is>
          <t>13 November 2026</t>
        </is>
      </c>
      <c r="M9" t="inlineStr">
        <is>
          <t>Konstruksi Gedung Lainnya</t>
        </is>
      </c>
      <c r="N9" t="inlineStr">
        <is>
          <t>K</t>
        </is>
      </c>
      <c r="O9" t="inlineStr">
        <is>
          <t>20231113</t>
        </is>
      </c>
      <c r="P9" t="inlineStr">
        <is>
          <t>Jawa Barat</t>
        </is>
      </c>
      <c r="Q9" s="3">
        <f>HYPERLINK("https://wa.me/6281386028424?text=*[PENGINGAT MASA BERLAKU SBU OIXIO RANCANG BANGUN]*%0A%0AYth. Pimpinan OIXIO RANCANG BANGUN,%0AMohon izin menginformasikan status SBU Anda di sistem LPJK:%0A%0A📄 SBU: BG009%0A📅 Expired: 13 November 2026 (60 Hari Lagi)%0A%0AKami tim PT. ESDEA Assistance Management siap men-support proses perpanjangan segera agar administrasi proyek tidak terhambat%0A%0AApakah boleh saya bantu siapkan estimasi biaya dan waktu pengerjaannya?.", "Hubungi")</f>
        <v/>
      </c>
    </row>
    <row r="10">
      <c r="A10" t="inlineStr">
        <is>
          <t>PRATAMA CITRA KREASI</t>
        </is>
      </c>
      <c r="B10" t="inlineStr">
        <is>
          <t>Kota Adm. Jakarta Timur</t>
        </is>
      </c>
      <c r="C10" t="inlineStr">
        <is>
          <t>0218611576</t>
        </is>
      </c>
      <c r="D10" t="inlineStr">
        <is>
          <t>pratamacitrakreasi@yahoo.co.id</t>
        </is>
      </c>
      <c r="E10" t="inlineStr">
        <is>
          <t>https://lpjk.pu.go.id/search-badan-usaha-detail/S0VJamI2RnB5c1NBU3lFSktyTWtRdz09</t>
        </is>
      </c>
      <c r="F10" t="n">
        <v>1</v>
      </c>
      <c r="G10" t="inlineStr">
        <is>
          <t>BS004</t>
        </is>
      </c>
      <c r="H10" t="inlineStr">
        <is>
          <t>19 Maret 2014</t>
        </is>
      </c>
      <c r="I10" s="2" t="n">
        <v>46339</v>
      </c>
      <c r="J10" t="inlineStr">
        <is>
          <t>Disetujui</t>
        </is>
      </c>
      <c r="K10" t="n">
        <v>60</v>
      </c>
      <c r="L10" t="inlineStr">
        <is>
          <t>13 November 2026</t>
        </is>
      </c>
      <c r="M10" t="inlineStr">
        <is>
          <t>Konstruksi Jaringan Irigasi dan Drainase</t>
        </is>
      </c>
      <c r="N10" t="inlineStr">
        <is>
          <t>K</t>
        </is>
      </c>
      <c r="O10" t="inlineStr">
        <is>
          <t>20231112</t>
        </is>
      </c>
      <c r="P10" t="inlineStr">
        <is>
          <t>DKI Jakarta</t>
        </is>
      </c>
      <c r="Q10" t="inlineStr"/>
    </row>
    <row r="11">
      <c r="A11" t="inlineStr">
        <is>
          <t>RAJA RIMBUN RAYA</t>
        </is>
      </c>
      <c r="B11" t="inlineStr">
        <is>
          <t>Kota Adm. Jakarta Timur</t>
        </is>
      </c>
      <c r="C11" t="inlineStr">
        <is>
          <t>082211364615</t>
        </is>
      </c>
      <c r="D11" t="inlineStr">
        <is>
          <t>Ryanmogalana@gmail.com</t>
        </is>
      </c>
      <c r="E11" t="inlineStr">
        <is>
          <t>https://lpjk.pu.go.id/search-badan-usaha-detail/S0JnNVJ1MXgxYTNQRmVwMmRVUGk5Zz09</t>
        </is>
      </c>
      <c r="F11" t="n">
        <v>1</v>
      </c>
      <c r="G11" t="inlineStr">
        <is>
          <t>BS001</t>
        </is>
      </c>
      <c r="H11" t="inlineStr">
        <is>
          <t>5 Oktober 2023</t>
        </is>
      </c>
      <c r="I11" s="2" t="n">
        <v>46339</v>
      </c>
      <c r="J11" t="inlineStr">
        <is>
          <t>Disetujui</t>
        </is>
      </c>
      <c r="K11" t="n">
        <v>60</v>
      </c>
      <c r="L11" t="inlineStr">
        <is>
          <t>13 November 2026</t>
        </is>
      </c>
      <c r="M11" t="inlineStr">
        <is>
          <t>Konstruksi Bangunan Sipil Jalan</t>
        </is>
      </c>
      <c r="N11" t="inlineStr">
        <is>
          <t>K</t>
        </is>
      </c>
      <c r="O11" t="inlineStr">
        <is>
          <t>20231110</t>
        </is>
      </c>
      <c r="P11" t="inlineStr">
        <is>
          <t>DKI Jakarta</t>
        </is>
      </c>
      <c r="Q11" s="3">
        <f>HYPERLINK("https://wa.me/6282211364615?text=*[PENGINGAT MASA BERLAKU SBU RAJA RIMBUN RAYA]*%0A%0AYth. Pimpinan RAJA RIMBUN RAYA,%0AMohon izin menginformasikan status SBU Anda di sistem LPJK:%0A%0A📄 SBU: BS001%0A📅 Expired: 13 November 2026 (60 Hari Lagi)%0A%0AKami tim PT. ESDEA Assistance Management siap men-support proses perpanjangan segera agar administrasi proyek tidak terhambat%0A%0AApakah boleh saya bantu siapkan estimasi biaya dan waktu pengerjaannya?.", "Hubungi")</f>
        <v/>
      </c>
    </row>
    <row r="12">
      <c r="A12" t="inlineStr">
        <is>
          <t>SANGGUL BARINGIN BERKARYA</t>
        </is>
      </c>
      <c r="B12" t="inlineStr">
        <is>
          <t>Kota Bekasi</t>
        </is>
      </c>
      <c r="C12" t="inlineStr">
        <is>
          <t>087804072018</t>
        </is>
      </c>
      <c r="D12" t="inlineStr">
        <is>
          <t>pt.sanggulbaringinberkarya@gmail.com</t>
        </is>
      </c>
      <c r="E12" t="inlineStr">
        <is>
          <t>https://lpjk.pu.go.id/search-badan-usaha-detail/RDVYcmFTc00vTzliMUxQWExZT2h2QT09</t>
        </is>
      </c>
      <c r="F12" t="n">
        <v>2</v>
      </c>
      <c r="G12" t="inlineStr">
        <is>
          <t>BS001</t>
        </is>
      </c>
      <c r="H12" t="inlineStr">
        <is>
          <t>4 Juli 2022</t>
        </is>
      </c>
      <c r="I12" s="2" t="n">
        <v>46339</v>
      </c>
      <c r="J12" t="inlineStr">
        <is>
          <t>Disetujui</t>
        </is>
      </c>
      <c r="K12" t="n">
        <v>60</v>
      </c>
      <c r="L12" t="inlineStr">
        <is>
          <t>13 November 2026</t>
        </is>
      </c>
      <c r="M12" t="inlineStr">
        <is>
          <t>Konstruksi Bangunan Sipil Jalan</t>
        </is>
      </c>
      <c r="N12" t="inlineStr">
        <is>
          <t>K</t>
        </is>
      </c>
      <c r="O12" t="inlineStr">
        <is>
          <t>20231031</t>
        </is>
      </c>
      <c r="P12" t="inlineStr">
        <is>
          <t>Jawa Barat</t>
        </is>
      </c>
      <c r="Q12" s="3">
        <f>HYPERLINK("https://wa.me/6287804072018?text=*[PENGINGAT MASA BERLAKU SBU SANGGUL BARINGIN BERKARYA]*%0A%0AYth. Pimpinan SANGGUL BARINGIN BERKARYA,%0AMohon izin menginformasikan status SBU Anda di sistem LPJK:%0A%0A📄 SBU: BS001%0A📅 Expired: 13 November 2026 (60 Hari Lagi)%0A%0AKami tim PT. ESDEA Assistance Management siap men-support proses perpanjangan segera agar administrasi proyek tidak terhambat%0A%0AApakah boleh saya bantu siapkan estimasi biaya dan waktu pengerjaannya?.", "Hubungi")</f>
        <v/>
      </c>
    </row>
    <row r="13">
      <c r="A13" t="inlineStr">
        <is>
          <t>TYVAS PRAST ADHIGANA</t>
        </is>
      </c>
      <c r="B13" t="inlineStr">
        <is>
          <t>Kota Bekasi</t>
        </is>
      </c>
      <c r="C13" t="inlineStr">
        <is>
          <t>081280105719</t>
        </is>
      </c>
      <c r="D13" t="inlineStr">
        <is>
          <t>tyvasprastadhigana@gmail.com</t>
        </is>
      </c>
      <c r="E13" t="inlineStr">
        <is>
          <t>https://lpjk.pu.go.id/search-badan-usaha-detail/Z2J0czhvbE1SaklKN3grNWthWVdKdz09</t>
        </is>
      </c>
      <c r="F13" t="n">
        <v>2</v>
      </c>
      <c r="G13" t="inlineStr">
        <is>
          <t>BS001, BS002</t>
        </is>
      </c>
      <c r="H13" t="inlineStr">
        <is>
          <t>14 Juli 2022</t>
        </is>
      </c>
      <c r="I13" s="2" t="n">
        <v>46339</v>
      </c>
      <c r="J13" t="inlineStr">
        <is>
          <t>Pembekuan</t>
        </is>
      </c>
      <c r="K13" t="n">
        <v>60</v>
      </c>
      <c r="L13" t="inlineStr">
        <is>
          <t>13 November 2026</t>
        </is>
      </c>
      <c r="M13" t="inlineStr">
        <is>
          <t>Bangunan Sipil Jembatan, Jalan Layang, Fly Over, dan Underpass, Konstruksi Bangunan Sipil Jalan</t>
        </is>
      </c>
      <c r="N13" t="inlineStr">
        <is>
          <t>M</t>
        </is>
      </c>
      <c r="O13" t="inlineStr">
        <is>
          <t>20231113</t>
        </is>
      </c>
      <c r="P13" t="inlineStr">
        <is>
          <t>Jawa Barat</t>
        </is>
      </c>
      <c r="Q13" s="3">
        <f>HYPERLINK("https://wa.me/6281280105719?text=*[PENGINGAT MASA BERLAKU SBU TYVAS PRAST ADHIGANA]*%0A%0AYth. Pimpinan TYVAS PRAST ADHIGANA,%0AMohon izin menginformasikan status SBU Anda di sistem LPJK:%0A%0A📄 SBU: BS001, BS002%0A📅 Expired: 13 November 2026 (60 Hari Lagi)%0A%0AKami tim PT. ESDEA Assistance Management siap men-support proses perpanjangan segera agar administrasi proyek tidak terhambat%0A%0AApakah boleh saya bantu siapkan estimasi biaya dan waktu pengerjaannya?.", "Hubungi")</f>
        <v/>
      </c>
    </row>
    <row r="14">
      <c r="A14" t="inlineStr">
        <is>
          <t>WIDYA BANGUN PRAJA SEJAHTERA</t>
        </is>
      </c>
      <c r="B14" t="inlineStr">
        <is>
          <t>Kota Bogor</t>
        </is>
      </c>
      <c r="C14" t="inlineStr">
        <is>
          <t>08192123403</t>
        </is>
      </c>
      <c r="D14" t="inlineStr">
        <is>
          <t>wbps2021@gmail.com</t>
        </is>
      </c>
      <c r="E14" t="inlineStr">
        <is>
          <t>https://lpjk.pu.go.id/search-badan-usaha-detail/MmgwdkVWZFRiYlBjR2VrUHBUNldCZz09</t>
        </is>
      </c>
      <c r="F14" t="n">
        <v>1</v>
      </c>
      <c r="G14" t="inlineStr">
        <is>
          <t>BS009</t>
        </is>
      </c>
      <c r="H14" t="inlineStr">
        <is>
          <t>24 Februari 2021</t>
        </is>
      </c>
      <c r="I14" s="2" t="n">
        <v>46339</v>
      </c>
      <c r="J14" t="inlineStr">
        <is>
          <t>Disetujui</t>
        </is>
      </c>
      <c r="K14" t="n">
        <v>60</v>
      </c>
      <c r="L14" t="inlineStr">
        <is>
          <t>13 November 2026</t>
        </is>
      </c>
      <c r="M14" t="inlineStr">
        <is>
          <t>Konstruksi Sentral Telekomunikasi</t>
        </is>
      </c>
      <c r="N14" t="inlineStr">
        <is>
          <t>K</t>
        </is>
      </c>
      <c r="O14" t="inlineStr">
        <is>
          <t>20231108</t>
        </is>
      </c>
      <c r="P14" t="inlineStr">
        <is>
          <t>Jawa Barat</t>
        </is>
      </c>
      <c r="Q14" s="3">
        <f>HYPERLINK("https://wa.me/628192123403?text=*[PENGINGAT MASA BERLAKU SBU WIDYA BANGUN PRAJA SEJAHTERA]*%0A%0AYth. Pimpinan WIDYA BANGUN PRAJA SEJAHTERA,%0AMohon izin menginformasikan status SBU Anda di sistem LPJK:%0A%0A📄 SBU: BS009%0A📅 Expired: 13 November 2026 (60 Hari Lagi)%0A%0AKami tim PT. ESDEA Assistance Management siap men-support proses perpanjangan segera agar administrasi proyek tidak terhambat%0A%0AApakah boleh saya bantu siapkan estimasi biaya dan waktu pengerjaannya?.", "Hubungi")</f>
        <v/>
      </c>
    </row>
    <row r="15">
      <c r="A15" t="inlineStr">
        <is>
          <t>ABADI MITRA KARYA KONSTRUKSI INDONESIA</t>
        </is>
      </c>
      <c r="B15" t="inlineStr">
        <is>
          <t>Kota Adm. Jakarta Utara</t>
        </is>
      </c>
      <c r="C15" t="inlineStr">
        <is>
          <t>08111258151</t>
        </is>
      </c>
      <c r="D15" t="inlineStr">
        <is>
          <t>abadimitrakaryaKI@gmail.com</t>
        </is>
      </c>
      <c r="E15" t="inlineStr">
        <is>
          <t>https://lpjk.pu.go.id/search-badan-usaha-detail/d1ZMM1BvM1RESm5uUVZpL25wMENjZz09</t>
        </is>
      </c>
      <c r="F15" t="n">
        <v>2</v>
      </c>
      <c r="G15" t="inlineStr">
        <is>
          <t>BG003</t>
        </is>
      </c>
      <c r="H15" t="inlineStr">
        <is>
          <t>30 Oktober 2023</t>
        </is>
      </c>
      <c r="I15" s="2" t="n">
        <v>46339</v>
      </c>
      <c r="J15" t="inlineStr">
        <is>
          <t>Disetujui</t>
        </is>
      </c>
      <c r="K15" t="n">
        <v>60</v>
      </c>
      <c r="L15" t="inlineStr">
        <is>
          <t>13 November 2026</t>
        </is>
      </c>
      <c r="M15" t="inlineStr">
        <is>
          <t>Konstruksi Gedung Industri</t>
        </is>
      </c>
      <c r="N15" t="inlineStr">
        <is>
          <t>B</t>
        </is>
      </c>
      <c r="O15" t="inlineStr">
        <is>
          <t>20231110</t>
        </is>
      </c>
      <c r="P15" t="inlineStr">
        <is>
          <t>DKI Jakarta</t>
        </is>
      </c>
      <c r="Q15" t="inlineStr"/>
    </row>
    <row r="16">
      <c r="A16" t="inlineStr">
        <is>
          <t>ABIN PUTRA RAYA</t>
        </is>
      </c>
      <c r="B16" t="inlineStr">
        <is>
          <t>Kab. Cirebon</t>
        </is>
      </c>
      <c r="C16" t="inlineStr">
        <is>
          <t>0231248396</t>
        </is>
      </c>
      <c r="D16" t="inlineStr">
        <is>
          <t>pt.abinputraraya@gmail.com</t>
        </is>
      </c>
      <c r="E16" t="inlineStr">
        <is>
          <t>https://lpjk.pu.go.id/search-badan-usaha-detail/eS9obmpJdm5tMkFkUkJrSmNRSFpWUT09</t>
        </is>
      </c>
      <c r="F16" t="n">
        <v>2</v>
      </c>
      <c r="G16" t="inlineStr">
        <is>
          <t>IN001, IN004</t>
        </is>
      </c>
      <c r="H16" t="inlineStr">
        <is>
          <t>14 Februari 2011</t>
        </is>
      </c>
      <c r="I16" s="2" t="n">
        <v>46339</v>
      </c>
      <c r="J16" t="inlineStr">
        <is>
          <t>Pembekuan</t>
        </is>
      </c>
      <c r="K16" t="n">
        <v>60</v>
      </c>
      <c r="L16" t="inlineStr">
        <is>
          <t>13 November 2026</t>
        </is>
      </c>
      <c r="M16" t="inlineStr">
        <is>
          <t>Instalasi Mekanikal, Instalasi Minyak dan Gas</t>
        </is>
      </c>
      <c r="N16" t="inlineStr">
        <is>
          <t>Spesialis</t>
        </is>
      </c>
      <c r="O16" t="inlineStr">
        <is>
          <t>20231107, 20231113</t>
        </is>
      </c>
      <c r="P16" t="inlineStr">
        <is>
          <t>Jawa Barat</t>
        </is>
      </c>
      <c r="Q16" t="inlineStr"/>
    </row>
    <row r="17">
      <c r="A17" t="inlineStr">
        <is>
          <t>AGUNG RAYA</t>
        </is>
      </c>
      <c r="B17" t="inlineStr">
        <is>
          <t>Kab. Magetan</t>
        </is>
      </c>
      <c r="C17" t="inlineStr">
        <is>
          <t>08993503442</t>
        </is>
      </c>
      <c r="D17" t="inlineStr">
        <is>
          <t>agungraya.19@yahoo.com</t>
        </is>
      </c>
      <c r="E17" t="inlineStr">
        <is>
          <t>https://lpjk.pu.go.id/search-badan-usaha-detail/d2puNXBLSlFwWVFocnFkMi94TEJoZz09</t>
        </is>
      </c>
      <c r="F17" t="n">
        <v>2</v>
      </c>
      <c r="G17" t="inlineStr">
        <is>
          <t>BG009</t>
        </is>
      </c>
      <c r="H17" t="inlineStr">
        <is>
          <t>7 Februari 2019</t>
        </is>
      </c>
      <c r="I17" s="2" t="n">
        <v>46339</v>
      </c>
      <c r="J17" t="inlineStr">
        <is>
          <t>Disetujui</t>
        </is>
      </c>
      <c r="K17" t="n">
        <v>60</v>
      </c>
      <c r="L17" t="inlineStr">
        <is>
          <t>13 November 2026</t>
        </is>
      </c>
      <c r="M17" t="inlineStr">
        <is>
          <t>Konstruksi Gedung Lainnya</t>
        </is>
      </c>
      <c r="N17" t="inlineStr">
        <is>
          <t>K</t>
        </is>
      </c>
      <c r="O17" t="inlineStr">
        <is>
          <t>20231030</t>
        </is>
      </c>
      <c r="P17" t="inlineStr">
        <is>
          <t>Jawa Timur</t>
        </is>
      </c>
      <c r="Q17" t="inlineStr"/>
    </row>
    <row r="18">
      <c r="A18" t="inlineStr">
        <is>
          <t>ALIF BERDIRI</t>
        </is>
      </c>
      <c r="B18" t="inlineStr">
        <is>
          <t>Kab. Kutai Timur</t>
        </is>
      </c>
      <c r="C18" t="inlineStr">
        <is>
          <t>081333406808</t>
        </is>
      </c>
      <c r="D18" t="inlineStr">
        <is>
          <t>alifberdiri5@gmail.com</t>
        </is>
      </c>
      <c r="E18" t="inlineStr">
        <is>
          <t>https://lpjk.pu.go.id/search-badan-usaha-detail/NWxScDBROXZFaXFIMHR5Y1VnNVdCUT09</t>
        </is>
      </c>
      <c r="F18" t="n">
        <v>1</v>
      </c>
      <c r="G18" t="inlineStr">
        <is>
          <t>BS001</t>
        </is>
      </c>
      <c r="H18" t="inlineStr">
        <is>
          <t>17 April 2018</t>
        </is>
      </c>
      <c r="I18" s="2" t="n">
        <v>46339</v>
      </c>
      <c r="J18" t="inlineStr">
        <is>
          <t>Disetujui</t>
        </is>
      </c>
      <c r="K18" t="n">
        <v>60</v>
      </c>
      <c r="L18" t="inlineStr">
        <is>
          <t>13 November 2026</t>
        </is>
      </c>
      <c r="M18" t="inlineStr">
        <is>
          <t>Konstruksi Bangunan Sipil Jalan</t>
        </is>
      </c>
      <c r="N18" t="inlineStr">
        <is>
          <t>K</t>
        </is>
      </c>
      <c r="O18" t="inlineStr">
        <is>
          <t>20231114</t>
        </is>
      </c>
      <c r="P18" t="inlineStr">
        <is>
          <t>Kalimantan Timur</t>
        </is>
      </c>
      <c r="Q18" t="inlineStr"/>
    </row>
    <row r="19">
      <c r="A19" t="inlineStr">
        <is>
          <t>ANTIKA PURNAMA JAYA</t>
        </is>
      </c>
      <c r="B19" t="inlineStr">
        <is>
          <t>Kab. Gresik</t>
        </is>
      </c>
      <c r="C19" t="inlineStr">
        <is>
          <t>081334714500</t>
        </is>
      </c>
      <c r="D19" t="inlineStr">
        <is>
          <t>cv.antikapurnamajaya@gmail.com</t>
        </is>
      </c>
      <c r="E19" t="inlineStr">
        <is>
          <t>https://lpjk.pu.go.id/search-badan-usaha-detail/UUM1T3ZQNXduaTJlMHVESkc0aXZMdz09</t>
        </is>
      </c>
      <c r="F19" t="n">
        <v>1</v>
      </c>
      <c r="G19" t="inlineStr">
        <is>
          <t>BG005</t>
        </is>
      </c>
      <c r="H19" t="inlineStr">
        <is>
          <t>21 Februari 2023</t>
        </is>
      </c>
      <c r="I19" s="2" t="n">
        <v>46339</v>
      </c>
      <c r="J19" t="inlineStr">
        <is>
          <t>Disetujui</t>
        </is>
      </c>
      <c r="K19" t="n">
        <v>60</v>
      </c>
      <c r="L19" t="inlineStr">
        <is>
          <t>13 November 2026</t>
        </is>
      </c>
      <c r="M19" t="inlineStr">
        <is>
          <t>Konstruksi Gedung Kesehatan</t>
        </is>
      </c>
      <c r="N19" t="inlineStr">
        <is>
          <t>K</t>
        </is>
      </c>
      <c r="O19" t="inlineStr">
        <is>
          <t>20231103</t>
        </is>
      </c>
      <c r="P19" t="inlineStr">
        <is>
          <t>Jawa Timur</t>
        </is>
      </c>
      <c r="Q19" t="inlineStr"/>
    </row>
    <row r="20">
      <c r="A20" t="inlineStr">
        <is>
          <t>ARTHA GA</t>
        </is>
      </c>
      <c r="B20" t="inlineStr">
        <is>
          <t>Kab. Bener Meriah</t>
        </is>
      </c>
      <c r="C20" t="inlineStr">
        <is>
          <t>08126919039</t>
        </is>
      </c>
      <c r="D20" t="inlineStr">
        <is>
          <t>arthaga.cv@gmail.com</t>
        </is>
      </c>
      <c r="E20" t="inlineStr">
        <is>
          <t>https://lpjk.pu.go.id/search-badan-usaha-detail/Tm5YbGRqa1JiQ2xTUXJMcUxNQURsdz09</t>
        </is>
      </c>
      <c r="F20" t="n">
        <v>1</v>
      </c>
      <c r="G20" t="inlineStr">
        <is>
          <t>BS005</t>
        </is>
      </c>
      <c r="H20" t="inlineStr">
        <is>
          <t>12 Desember 2006</t>
        </is>
      </c>
      <c r="I20" s="2" t="n">
        <v>46339</v>
      </c>
      <c r="J20" t="inlineStr">
        <is>
          <t>Disetujui</t>
        </is>
      </c>
      <c r="K20" t="n">
        <v>60</v>
      </c>
      <c r="L20" t="inlineStr">
        <is>
          <t>13 November 2026</t>
        </is>
      </c>
      <c r="M20" t="inlineStr">
        <is>
          <t>Konstruksi Bangunan Sipil Pengolahan Air Bersih</t>
        </is>
      </c>
      <c r="N20" t="inlineStr">
        <is>
          <t>K</t>
        </is>
      </c>
      <c r="O20" t="inlineStr">
        <is>
          <t>20231113</t>
        </is>
      </c>
      <c r="P20" t="inlineStr">
        <is>
          <t>Aceh</t>
        </is>
      </c>
      <c r="Q20" t="inlineStr"/>
    </row>
    <row r="21">
      <c r="A21" t="inlineStr">
        <is>
          <t>ASIA NUSA GRAHA</t>
        </is>
      </c>
      <c r="B21" t="inlineStr">
        <is>
          <t>Kab. Tangerang</t>
        </is>
      </c>
      <c r="C21" t="inlineStr">
        <is>
          <t>02154217633</t>
        </is>
      </c>
      <c r="D21" t="inlineStr">
        <is>
          <t>anugrah.umum@gmail.com</t>
        </is>
      </c>
      <c r="E21" t="inlineStr">
        <is>
          <t>https://lpjk.pu.go.id/search-badan-usaha-detail/cEdvOW4wdndtNEZDbk5KTHVBRllQdz09</t>
        </is>
      </c>
      <c r="F21" t="n">
        <v>3</v>
      </c>
      <c r="G21" t="inlineStr">
        <is>
          <t>BG001, BG003, BG007</t>
        </is>
      </c>
      <c r="H21" t="inlineStr">
        <is>
          <t>14 Maret 2012</t>
        </is>
      </c>
      <c r="I21" s="2" t="n">
        <v>46339</v>
      </c>
      <c r="J21" t="inlineStr">
        <is>
          <t>Disetujui</t>
        </is>
      </c>
      <c r="K21" t="n">
        <v>60</v>
      </c>
      <c r="L21" t="inlineStr">
        <is>
          <t>13 November 2026</t>
        </is>
      </c>
      <c r="M21" t="inlineStr">
        <is>
          <t>Konstruksi Gedung Hunian, Konstruksi Gedung Industri, Konstruksi Gedung Penginapan</t>
        </is>
      </c>
      <c r="N21" t="inlineStr">
        <is>
          <t>K</t>
        </is>
      </c>
      <c r="O21" t="inlineStr">
        <is>
          <t>20231114</t>
        </is>
      </c>
      <c r="P21" t="inlineStr">
        <is>
          <t>Banten</t>
        </is>
      </c>
      <c r="Q21" t="inlineStr"/>
    </row>
    <row r="22">
      <c r="A22" t="inlineStr">
        <is>
          <t>AZZAHRA</t>
        </is>
      </c>
      <c r="B22" t="inlineStr">
        <is>
          <t>Kab. Lombok Tengah</t>
        </is>
      </c>
      <c r="C22" t="inlineStr">
        <is>
          <t>87854370517</t>
        </is>
      </c>
      <c r="D22" t="inlineStr">
        <is>
          <t>cvazzahra111@gmail.com</t>
        </is>
      </c>
      <c r="E22" t="inlineStr">
        <is>
          <t>https://lpjk.pu.go.id/search-badan-usaha-detail/MmRIUkdISFdJd2hIRlBWemd3TGdLQT09</t>
        </is>
      </c>
      <c r="F22" t="n">
        <v>1</v>
      </c>
      <c r="G22" t="inlineStr">
        <is>
          <t>BS001</t>
        </is>
      </c>
      <c r="H22" t="inlineStr">
        <is>
          <t>23 Mei 2016</t>
        </is>
      </c>
      <c r="I22" s="2" t="n">
        <v>46339</v>
      </c>
      <c r="J22" t="inlineStr">
        <is>
          <t>Disetujui</t>
        </is>
      </c>
      <c r="K22" t="n">
        <v>60</v>
      </c>
      <c r="L22" t="inlineStr">
        <is>
          <t>13 November 2026</t>
        </is>
      </c>
      <c r="M22" t="inlineStr">
        <is>
          <t>Konstruksi Bangunan Sipil Jalan</t>
        </is>
      </c>
      <c r="N22" t="inlineStr">
        <is>
          <t>K</t>
        </is>
      </c>
      <c r="O22" t="inlineStr">
        <is>
          <t>20231113</t>
        </is>
      </c>
      <c r="P22" t="inlineStr">
        <is>
          <t>Nusa Tenggara Barat</t>
        </is>
      </c>
      <c r="Q22" t="inlineStr"/>
    </row>
    <row r="23">
      <c r="A23" t="inlineStr">
        <is>
          <t>BANGUN PAPUA RAYA</t>
        </is>
      </c>
      <c r="B23" t="inlineStr">
        <is>
          <t>Kota Sorong</t>
        </is>
      </c>
      <c r="C23" t="inlineStr">
        <is>
          <t>085315555388</t>
        </is>
      </c>
      <c r="D23" t="inlineStr">
        <is>
          <t>cv.bangunpapuaraya@gmail.com</t>
        </is>
      </c>
      <c r="E23" t="inlineStr">
        <is>
          <t>https://lpjk.pu.go.id/search-badan-usaha-detail/dDdzbFVqU09TRE5oWmZMVE5rcWRsdTFUZDRjcHd1VG9zbzNnaVVGdzB5bz0</t>
        </is>
      </c>
      <c r="F23" t="n">
        <v>1</v>
      </c>
      <c r="G23" t="inlineStr">
        <is>
          <t>BS005</t>
        </is>
      </c>
      <c r="H23" t="inlineStr">
        <is>
          <t>8 Juli 2025</t>
        </is>
      </c>
      <c r="I23" s="2" t="n">
        <v>46339</v>
      </c>
      <c r="J23" t="inlineStr">
        <is>
          <t>Disetujui</t>
        </is>
      </c>
      <c r="K23" t="n">
        <v>60</v>
      </c>
      <c r="L23" t="inlineStr">
        <is>
          <t>13 November 2026</t>
        </is>
      </c>
      <c r="M23" t="inlineStr">
        <is>
          <t>Konstruksi Bangunan Sipil Pengolahan Air Bersih</t>
        </is>
      </c>
      <c r="N23" t="inlineStr">
        <is>
          <t>K</t>
        </is>
      </c>
      <c r="O23" t="inlineStr">
        <is>
          <t>20231113</t>
        </is>
      </c>
      <c r="P23" t="inlineStr">
        <is>
          <t>Papua Barat Daya</t>
        </is>
      </c>
      <c r="Q23" t="inlineStr"/>
    </row>
    <row r="24">
      <c r="A24" t="inlineStr">
        <is>
          <t>BARA ABADI GROUP</t>
        </is>
      </c>
      <c r="B24" t="inlineStr">
        <is>
          <t>Kota Pekanbaru</t>
        </is>
      </c>
      <c r="C24" t="inlineStr">
        <is>
          <t>087837479400</t>
        </is>
      </c>
      <c r="D24" t="inlineStr">
        <is>
          <t>groupbaraabadi@gmail.com</t>
        </is>
      </c>
      <c r="E24" t="inlineStr">
        <is>
          <t>https://lpjk.pu.go.id/search-badan-usaha-detail/c3hsLzgzY2pmUGpRZDhLYldJYWNQdz09</t>
        </is>
      </c>
      <c r="F24" t="n">
        <v>4</v>
      </c>
      <c r="G24" t="inlineStr">
        <is>
          <t>BS001, BS004</t>
        </is>
      </c>
      <c r="H24" t="inlineStr">
        <is>
          <t>18 April 2023</t>
        </is>
      </c>
      <c r="I24" s="2" t="n">
        <v>46339</v>
      </c>
      <c r="J24" t="inlineStr">
        <is>
          <t>Pencabutan</t>
        </is>
      </c>
      <c r="K24" t="n">
        <v>60</v>
      </c>
      <c r="L24" t="inlineStr">
        <is>
          <t>13 November 2026</t>
        </is>
      </c>
      <c r="M24" t="inlineStr">
        <is>
          <t>Konstruksi Bangunan Sipil Jalan, Konstruksi Jaringan Irigasi dan Drainase</t>
        </is>
      </c>
      <c r="N24" t="inlineStr">
        <is>
          <t>K</t>
        </is>
      </c>
      <c r="O24" t="inlineStr">
        <is>
          <t>20231113, 20231114</t>
        </is>
      </c>
      <c r="P24" t="inlineStr">
        <is>
          <t>Riau</t>
        </is>
      </c>
      <c r="Q24" t="inlineStr"/>
    </row>
    <row r="25">
      <c r="A25" t="inlineStr">
        <is>
          <t>BARA JAYA MUDA</t>
        </is>
      </c>
      <c r="B25" t="inlineStr">
        <is>
          <t>Kab. Kampar</t>
        </is>
      </c>
      <c r="C25" t="inlineStr">
        <is>
          <t>0</t>
        </is>
      </c>
      <c r="D25" t="inlineStr">
        <is>
          <t>barajayamuda92@gmail.com</t>
        </is>
      </c>
      <c r="E25" t="inlineStr">
        <is>
          <t>https://lpjk.pu.go.id/search-badan-usaha-detail/bURyN01WclQrN0MrV1hSbDB5YVdPdz09</t>
        </is>
      </c>
      <c r="F25" t="n">
        <v>4</v>
      </c>
      <c r="G25" t="inlineStr">
        <is>
          <t>BS001, BS004</t>
        </is>
      </c>
      <c r="H25" t="inlineStr">
        <is>
          <t>11 Januari 2023</t>
        </is>
      </c>
      <c r="I25" s="2" t="n">
        <v>46339</v>
      </c>
      <c r="J25" t="inlineStr">
        <is>
          <t>Disetujui</t>
        </is>
      </c>
      <c r="K25" t="n">
        <v>60</v>
      </c>
      <c r="L25" t="inlineStr">
        <is>
          <t>13 November 2026</t>
        </is>
      </c>
      <c r="M25" t="inlineStr">
        <is>
          <t>Konstruksi Bangunan Sipil Jalan, Konstruksi Jaringan Irigasi dan Drainase</t>
        </is>
      </c>
      <c r="N25" t="inlineStr">
        <is>
          <t>K</t>
        </is>
      </c>
      <c r="O25" t="inlineStr">
        <is>
          <t>20231114, 20231115</t>
        </is>
      </c>
      <c r="P25" t="inlineStr">
        <is>
          <t>Riau</t>
        </is>
      </c>
      <c r="Q25" t="inlineStr"/>
    </row>
    <row r="26">
      <c r="A26" t="inlineStr">
        <is>
          <t>BARATAMA</t>
        </is>
      </c>
      <c r="B26" t="inlineStr">
        <is>
          <t>Kab. Sukoharjo</t>
        </is>
      </c>
      <c r="C26" t="inlineStr">
        <is>
          <t>081393282277</t>
        </is>
      </c>
      <c r="D26" t="inlineStr">
        <is>
          <t>baratamaskh@gmail.com</t>
        </is>
      </c>
      <c r="E26" t="inlineStr">
        <is>
          <t>https://lpjk.pu.go.id/search-badan-usaha-detail/NkdwRkVqWWNSUXh4Z1k5SU9kVFBxdz09</t>
        </is>
      </c>
      <c r="F26" t="n">
        <v>5</v>
      </c>
      <c r="G26" t="inlineStr">
        <is>
          <t>PL005</t>
        </is>
      </c>
      <c r="H26" t="inlineStr">
        <is>
          <t>25 Juni 2020</t>
        </is>
      </c>
      <c r="I26" s="2" t="n">
        <v>46339</v>
      </c>
      <c r="J26" t="inlineStr">
        <is>
          <t>Pembekuan</t>
        </is>
      </c>
      <c r="K26" t="n">
        <v>60</v>
      </c>
      <c r="L26" t="inlineStr">
        <is>
          <t>13 November 2026</t>
        </is>
      </c>
      <c r="M26" t="inlineStr">
        <is>
          <t>Pembuatan/Pengeboran Sumur Air Tanah</t>
        </is>
      </c>
      <c r="N26" t="inlineStr">
        <is>
          <t>Spesialis</t>
        </is>
      </c>
      <c r="O26" t="inlineStr">
        <is>
          <t>20231114</t>
        </is>
      </c>
      <c r="P26" t="inlineStr">
        <is>
          <t>Jawa Tengah</t>
        </is>
      </c>
      <c r="Q26" t="inlineStr"/>
    </row>
    <row r="27">
      <c r="A27" t="inlineStr">
        <is>
          <t>BIMA SURYA MANDIRI</t>
        </is>
      </c>
      <c r="B27" t="inlineStr">
        <is>
          <t>Kota Tangerang Selatan</t>
        </is>
      </c>
      <c r="C27" t="inlineStr">
        <is>
          <t>02153122918</t>
        </is>
      </c>
      <c r="D27" t="inlineStr">
        <is>
          <t>bimasuryamandiri67@gmail.com</t>
        </is>
      </c>
      <c r="E27" t="inlineStr">
        <is>
          <t>https://lpjk.pu.go.id/search-badan-usaha-detail/M1BIa1FndTZqY1BNa01KMWVxZ004Zz09</t>
        </is>
      </c>
      <c r="F27" t="n">
        <v>1</v>
      </c>
      <c r="G27" t="inlineStr">
        <is>
          <t>BG009</t>
        </is>
      </c>
      <c r="H27" t="inlineStr">
        <is>
          <t>24 Juni 2019</t>
        </is>
      </c>
      <c r="I27" s="2" t="n">
        <v>46339</v>
      </c>
      <c r="J27" t="inlineStr">
        <is>
          <t>Disetujui</t>
        </is>
      </c>
      <c r="K27" t="n">
        <v>60</v>
      </c>
      <c r="L27" t="inlineStr">
        <is>
          <t>13 November 2026</t>
        </is>
      </c>
      <c r="M27" t="inlineStr">
        <is>
          <t>Konstruksi Gedung Lainnya</t>
        </is>
      </c>
      <c r="N27" t="inlineStr">
        <is>
          <t>K</t>
        </is>
      </c>
      <c r="O27" t="inlineStr">
        <is>
          <t>20231113</t>
        </is>
      </c>
      <c r="P27" t="inlineStr">
        <is>
          <t>Banten</t>
        </is>
      </c>
      <c r="Q27" t="inlineStr"/>
    </row>
    <row r="28">
      <c r="A28" t="inlineStr">
        <is>
          <t>BINA MANDIRI</t>
        </is>
      </c>
      <c r="B28" t="inlineStr">
        <is>
          <t>Kota Langsa</t>
        </is>
      </c>
      <c r="C28" t="inlineStr">
        <is>
          <t>0813 6164 3666</t>
        </is>
      </c>
      <c r="D28" t="inlineStr">
        <is>
          <t>binamandiri801@gmail.com</t>
        </is>
      </c>
      <c r="E28" t="inlineStr">
        <is>
          <t>https://lpjk.pu.go.id/search-badan-usaha-detail/bVdURlZQbHJnVkMwVXJsdVJWV28zUT09</t>
        </is>
      </c>
      <c r="F28" t="n">
        <v>3</v>
      </c>
      <c r="G28" t="inlineStr">
        <is>
          <t>BG001, BG002, BS001</t>
        </is>
      </c>
      <c r="H28" t="inlineStr">
        <is>
          <t>4 November 2000</t>
        </is>
      </c>
      <c r="I28" s="2" t="n">
        <v>46339</v>
      </c>
      <c r="J28" t="inlineStr">
        <is>
          <t>Disetujui</t>
        </is>
      </c>
      <c r="K28" t="n">
        <v>60</v>
      </c>
      <c r="L28" t="inlineStr">
        <is>
          <t>13 November 2026</t>
        </is>
      </c>
      <c r="M28" t="inlineStr">
        <is>
          <t>Konstruksi Bangunan Sipil Jalan, Konstruksi Gedung Hunian, Konstruksi Gedung Perkantoran</t>
        </is>
      </c>
      <c r="N28" t="inlineStr">
        <is>
          <t>K</t>
        </is>
      </c>
      <c r="O28" t="inlineStr">
        <is>
          <t>20231108, 20231113</t>
        </is>
      </c>
      <c r="P28" t="inlineStr">
        <is>
          <t>Aceh</t>
        </is>
      </c>
      <c r="Q28" t="inlineStr"/>
    </row>
    <row r="29">
      <c r="A29" t="inlineStr">
        <is>
          <t>BINTANG SAHABAT</t>
        </is>
      </c>
      <c r="B29" t="inlineStr">
        <is>
          <t>Kab. Tegal</t>
        </is>
      </c>
      <c r="C29" t="inlineStr">
        <is>
          <t>0858 6627 9119</t>
        </is>
      </c>
      <c r="D29" t="inlineStr">
        <is>
          <t>bintangsahabat25@yahoo.com</t>
        </is>
      </c>
      <c r="E29" t="inlineStr">
        <is>
          <t>https://lpjk.pu.go.id/search-badan-usaha-detail/Q1ZtUVJ4TklPTEJ1V2xVbmw4U2RYZz09</t>
        </is>
      </c>
      <c r="F29" t="n">
        <v>6</v>
      </c>
      <c r="G29" t="inlineStr">
        <is>
          <t>BG006, BG009, BS001</t>
        </is>
      </c>
      <c r="H29" t="inlineStr">
        <is>
          <t>24 Juli 2008</t>
        </is>
      </c>
      <c r="I29" s="2" t="n">
        <v>46339</v>
      </c>
      <c r="J29" t="inlineStr">
        <is>
          <t>Disetujui</t>
        </is>
      </c>
      <c r="K29" t="n">
        <v>60</v>
      </c>
      <c r="L29" t="inlineStr">
        <is>
          <t>13 November 2026</t>
        </is>
      </c>
      <c r="M29" t="inlineStr">
        <is>
          <t>Konstruksi Bangunan Sipil Jalan, Konstruksi Gedung Lainnya, Konstruksi Gedung Pendidikan</t>
        </is>
      </c>
      <c r="N29" t="inlineStr">
        <is>
          <t>K</t>
        </is>
      </c>
      <c r="O29" t="inlineStr">
        <is>
          <t>20231110, 20231113</t>
        </is>
      </c>
      <c r="P29" t="inlineStr">
        <is>
          <t>Jawa Tengah</t>
        </is>
      </c>
      <c r="Q29" t="inlineStr"/>
    </row>
    <row r="30">
      <c r="A30" t="inlineStr">
        <is>
          <t>BUMI BANGUNAN</t>
        </is>
      </c>
      <c r="B30" t="inlineStr">
        <is>
          <t>Kab. Lingga</t>
        </is>
      </c>
      <c r="C30" t="inlineStr">
        <is>
          <t>08127739288</t>
        </is>
      </c>
      <c r="D30" t="inlineStr">
        <is>
          <t>bb_aan165@ymail.com</t>
        </is>
      </c>
      <c r="E30" t="inlineStr">
        <is>
          <t>https://lpjk.pu.go.id/search-badan-usaha-detail/QmN4R2xKMFBUdSsrK2ZmSlpsUFlOdz09</t>
        </is>
      </c>
      <c r="F30" t="n">
        <v>3</v>
      </c>
      <c r="G30" t="inlineStr">
        <is>
          <t>BG005, BG006, BS001</t>
        </is>
      </c>
      <c r="H30" t="inlineStr">
        <is>
          <t>14 Februari 2014</t>
        </is>
      </c>
      <c r="I30" s="2" t="n">
        <v>46339</v>
      </c>
      <c r="J30" t="inlineStr">
        <is>
          <t>Disetujui</t>
        </is>
      </c>
      <c r="K30" t="n">
        <v>60</v>
      </c>
      <c r="L30" t="inlineStr">
        <is>
          <t>13 November 2026</t>
        </is>
      </c>
      <c r="M30" t="inlineStr">
        <is>
          <t>Konstruksi Bangunan Sipil Jalan, Konstruksi Gedung Kesehatan, Konstruksi Gedung Pendidikan</t>
        </is>
      </c>
      <c r="N30" t="inlineStr">
        <is>
          <t>K</t>
        </is>
      </c>
      <c r="O30" t="inlineStr">
        <is>
          <t>20221219, 20231102</t>
        </is>
      </c>
      <c r="P30" t="inlineStr">
        <is>
          <t>Kepulauan Riau</t>
        </is>
      </c>
      <c r="Q30" t="inlineStr"/>
    </row>
    <row r="31">
      <c r="A31" t="inlineStr">
        <is>
          <t>CAHAYA BERLIAN ARBAS</t>
        </is>
      </c>
      <c r="B31" t="inlineStr">
        <is>
          <t>Kota Pekanbaru</t>
        </is>
      </c>
      <c r="C31" t="inlineStr">
        <is>
          <t>0761587791</t>
        </is>
      </c>
      <c r="D31" t="inlineStr">
        <is>
          <t>cahayaberlianarbas@yahoo.com</t>
        </is>
      </c>
      <c r="E31" t="inlineStr">
        <is>
          <t>https://lpjk.pu.go.id/search-badan-usaha-detail/KzdFOUo0bS81WloyWURVQzZLbkdmdz09</t>
        </is>
      </c>
      <c r="F31" t="n">
        <v>1</v>
      </c>
      <c r="G31" t="inlineStr">
        <is>
          <t>BG009</t>
        </is>
      </c>
      <c r="H31" t="inlineStr">
        <is>
          <t>20 Juni 2011</t>
        </is>
      </c>
      <c r="I31" s="2" t="n">
        <v>46339</v>
      </c>
      <c r="J31" t="inlineStr">
        <is>
          <t>Disetujui</t>
        </is>
      </c>
      <c r="K31" t="n">
        <v>60</v>
      </c>
      <c r="L31" t="inlineStr">
        <is>
          <t>13 November 2026</t>
        </is>
      </c>
      <c r="M31" t="inlineStr">
        <is>
          <t>Konstruksi Gedung Lainnya</t>
        </is>
      </c>
      <c r="N31" t="inlineStr">
        <is>
          <t>K</t>
        </is>
      </c>
      <c r="O31" t="inlineStr">
        <is>
          <t>20231112</t>
        </is>
      </c>
      <c r="P31" t="inlineStr">
        <is>
          <t>Riau</t>
        </is>
      </c>
      <c r="Q31" t="inlineStr"/>
    </row>
    <row r="32">
      <c r="A32" t="inlineStr">
        <is>
          <t>CAHAYA BINTANG TEKNINDO</t>
        </is>
      </c>
      <c r="B32" t="inlineStr">
        <is>
          <t>Kota Adm. Jakarta Barat</t>
        </is>
      </c>
      <c r="C32" t="inlineStr">
        <is>
          <t>08111080446</t>
        </is>
      </c>
      <c r="D32" t="inlineStr">
        <is>
          <t>ptcahayabintangteknindo@gmail.com</t>
        </is>
      </c>
      <c r="E32" t="inlineStr">
        <is>
          <t>https://lpjk.pu.go.id/search-badan-usaha-detail/MmVDdW56MkRLUmprV1RYeHYxczZMZz09</t>
        </is>
      </c>
      <c r="F32" t="n">
        <v>2</v>
      </c>
      <c r="G32" t="inlineStr">
        <is>
          <t>BS007, BS009</t>
        </is>
      </c>
      <c r="H32" t="inlineStr">
        <is>
          <t>14 April 2021</t>
        </is>
      </c>
      <c r="I32" s="2" t="n">
        <v>46339</v>
      </c>
      <c r="J32" t="inlineStr">
        <is>
          <t>Disetujui</t>
        </is>
      </c>
      <c r="K32" t="n">
        <v>60</v>
      </c>
      <c r="L32" t="inlineStr">
        <is>
          <t>13 November 2026</t>
        </is>
      </c>
      <c r="M32" t="inlineStr">
        <is>
          <t>Konstruksi Bangunan Sipil Elektrikal, Konstruksi Sentral Telekomunikasi</t>
        </is>
      </c>
      <c r="N32" t="inlineStr">
        <is>
          <t>K</t>
        </is>
      </c>
      <c r="O32" t="inlineStr">
        <is>
          <t>20231114</t>
        </is>
      </c>
      <c r="P32" t="inlineStr">
        <is>
          <t>DKI Jakarta</t>
        </is>
      </c>
      <c r="Q32" t="inlineStr"/>
    </row>
    <row r="33">
      <c r="A33" t="inlineStr">
        <is>
          <t>CAHAYA KASIH BUNDA</t>
        </is>
      </c>
      <c r="B33" t="inlineStr">
        <is>
          <t>Kab. Banyuwangi</t>
        </is>
      </c>
      <c r="C33" t="inlineStr">
        <is>
          <t>0895411079391</t>
        </is>
      </c>
      <c r="D33" t="inlineStr">
        <is>
          <t>cahayakasihbunga@yahoo.com</t>
        </is>
      </c>
      <c r="E33" t="inlineStr">
        <is>
          <t>https://lpjk.pu.go.id/search-badan-usaha-detail/UDl0QTF1OUxOaDJGWTIydHUvTUcrZz09</t>
        </is>
      </c>
      <c r="F33" t="n">
        <v>2</v>
      </c>
      <c r="G33" t="inlineStr">
        <is>
          <t>BS001, BS004</t>
        </is>
      </c>
      <c r="H33" t="inlineStr">
        <is>
          <t>15 April 2021</t>
        </is>
      </c>
      <c r="I33" s="2" t="n">
        <v>46339</v>
      </c>
      <c r="J33" t="inlineStr">
        <is>
          <t>Disetujui</t>
        </is>
      </c>
      <c r="K33" t="n">
        <v>60</v>
      </c>
      <c r="L33" t="inlineStr">
        <is>
          <t>13 November 2026</t>
        </is>
      </c>
      <c r="M33" t="inlineStr">
        <is>
          <t>Konstruksi Bangunan Sipil Jalan, Konstruksi Jaringan Irigasi dan Drainase</t>
        </is>
      </c>
      <c r="N33" t="inlineStr">
        <is>
          <t>K</t>
        </is>
      </c>
      <c r="O33" t="inlineStr">
        <is>
          <t>20231113</t>
        </is>
      </c>
      <c r="P33" t="inlineStr">
        <is>
          <t>Jawa Timur</t>
        </is>
      </c>
      <c r="Q33" t="inlineStr"/>
    </row>
    <row r="34">
      <c r="A34" t="inlineStr">
        <is>
          <t>CHELSI PERDANA</t>
        </is>
      </c>
      <c r="B34" t="inlineStr">
        <is>
          <t>Kab. Morowali Utara</t>
        </is>
      </c>
      <c r="C34" t="inlineStr">
        <is>
          <t>082188356867</t>
        </is>
      </c>
      <c r="D34" t="inlineStr">
        <is>
          <t>cvchelsiperdana26@gmail.com</t>
        </is>
      </c>
      <c r="E34" t="inlineStr">
        <is>
          <t>https://lpjk.pu.go.id/search-badan-usaha-detail/WXdXWk8zUWE1TjdNNHlZajNzQ1U2Zz09</t>
        </is>
      </c>
      <c r="F34" t="n">
        <v>3</v>
      </c>
      <c r="G34" t="inlineStr">
        <is>
          <t>BG001, BG005, BG006</t>
        </is>
      </c>
      <c r="H34" t="inlineStr">
        <is>
          <t>9 Mei 2019</t>
        </is>
      </c>
      <c r="I34" s="2" t="n">
        <v>46339</v>
      </c>
      <c r="J34" t="inlineStr">
        <is>
          <t>Disetujui</t>
        </is>
      </c>
      <c r="K34" t="n">
        <v>60</v>
      </c>
      <c r="L34" t="inlineStr">
        <is>
          <t>13 November 2026</t>
        </is>
      </c>
      <c r="M34" t="inlineStr">
        <is>
          <t>Konstruksi Gedung Hunian, Konstruksi Gedung Kesehatan, Konstruksi Gedung Pendidikan</t>
        </is>
      </c>
      <c r="N34" t="inlineStr">
        <is>
          <t>K</t>
        </is>
      </c>
      <c r="O34" t="inlineStr">
        <is>
          <t>20231110</t>
        </is>
      </c>
      <c r="P34" t="inlineStr">
        <is>
          <t>Sulawesi Tengah</t>
        </is>
      </c>
      <c r="Q34" t="inlineStr"/>
    </row>
    <row r="35">
      <c r="A35" t="inlineStr">
        <is>
          <t>CIPTA BANGUN NUSANTARA</t>
        </is>
      </c>
      <c r="B35" t="inlineStr">
        <is>
          <t>Kota Sukabumi</t>
        </is>
      </c>
      <c r="C35" t="inlineStr">
        <is>
          <t>02666247273</t>
        </is>
      </c>
      <c r="D35" t="inlineStr">
        <is>
          <t>information@cbn-epcm.com</t>
        </is>
      </c>
      <c r="E35" t="inlineStr">
        <is>
          <t>https://lpjk.pu.go.id/search-badan-usaha-detail/eWUwSjhrVVFGaytzYWd6aFFJVThIWnVMM1cramVEcno5bzh6WlQ4NzdBND0</t>
        </is>
      </c>
      <c r="F35" t="n">
        <v>2</v>
      </c>
      <c r="G35" t="inlineStr">
        <is>
          <t>ST008</t>
        </is>
      </c>
      <c r="H35" t="inlineStr">
        <is>
          <t>24 Februari 2023</t>
        </is>
      </c>
      <c r="I35" s="2" t="n">
        <v>46339</v>
      </c>
      <c r="J35" t="inlineStr">
        <is>
          <t>Disetujui</t>
        </is>
      </c>
      <c r="K35" t="n">
        <v>60</v>
      </c>
      <c r="L35" t="inlineStr">
        <is>
          <t>13 November 2026</t>
        </is>
      </c>
      <c r="M35" t="inlineStr">
        <is>
          <t>Konstruksi Bangunan Sipil Panas Bumi</t>
        </is>
      </c>
      <c r="N35" t="inlineStr">
        <is>
          <t>B</t>
        </is>
      </c>
      <c r="O35" t="inlineStr">
        <is>
          <t>20220127</t>
        </is>
      </c>
      <c r="P35" t="inlineStr">
        <is>
          <t>Jawa Barat</t>
        </is>
      </c>
      <c r="Q35" t="inlineStr"/>
    </row>
    <row r="36">
      <c r="A36" t="inlineStr">
        <is>
          <t>CIPTA DYTAMA</t>
        </is>
      </c>
      <c r="B36" t="inlineStr">
        <is>
          <t>Kota Surabaya</t>
        </is>
      </c>
      <c r="C36" t="inlineStr">
        <is>
          <t>08133639417</t>
        </is>
      </c>
      <c r="D36" t="inlineStr">
        <is>
          <t>cvciptadytama2@outlook.com</t>
        </is>
      </c>
      <c r="E36" t="inlineStr">
        <is>
          <t>https://lpjk.pu.go.id/search-badan-usaha-detail/R2J2ckFGS0FodjJPQ3RVU3QrcVRyZz09</t>
        </is>
      </c>
      <c r="F36" t="n">
        <v>4</v>
      </c>
      <c r="G36" t="inlineStr">
        <is>
          <t>BG003, BG009</t>
        </is>
      </c>
      <c r="H36" t="inlineStr">
        <is>
          <t>28 September 1995</t>
        </is>
      </c>
      <c r="I36" s="2" t="n">
        <v>46339</v>
      </c>
      <c r="J36" t="inlineStr">
        <is>
          <t>Disetujui</t>
        </is>
      </c>
      <c r="K36" t="n">
        <v>60</v>
      </c>
      <c r="L36" t="inlineStr">
        <is>
          <t>13 November 2026</t>
        </is>
      </c>
      <c r="M36" t="inlineStr">
        <is>
          <t>Konstruksi Gedung Industri, Konstruksi Gedung Lainnya</t>
        </is>
      </c>
      <c r="N36" t="inlineStr">
        <is>
          <t>K</t>
        </is>
      </c>
      <c r="O36" t="inlineStr">
        <is>
          <t>20231110</t>
        </is>
      </c>
      <c r="P36" t="inlineStr">
        <is>
          <t>Jawa Timur</t>
        </is>
      </c>
      <c r="Q36" t="inlineStr"/>
    </row>
    <row r="37">
      <c r="A37" t="inlineStr">
        <is>
          <t>CIPTA KARSA BUMI LESTARI</t>
        </is>
      </c>
      <c r="B37" t="inlineStr">
        <is>
          <t>Kota Surabaya</t>
        </is>
      </c>
      <c r="C37" t="inlineStr">
        <is>
          <t>0318280593</t>
        </is>
      </c>
      <c r="D37" t="inlineStr">
        <is>
          <t>ptcipta2006_sing@yahoo.com</t>
        </is>
      </c>
      <c r="E37" t="inlineStr">
        <is>
          <t>https://lpjk.pu.go.id/search-badan-usaha-detail/azNJNzJ5K3JaSGNWcjA3Zi9kYXNhdz09</t>
        </is>
      </c>
      <c r="F37" t="n">
        <v>2</v>
      </c>
      <c r="G37" t="inlineStr">
        <is>
          <t>BS001</t>
        </is>
      </c>
      <c r="H37" t="inlineStr">
        <is>
          <t>4 Oktober 1999</t>
        </is>
      </c>
      <c r="I37" s="2" t="n">
        <v>46339</v>
      </c>
      <c r="J37" t="inlineStr">
        <is>
          <t>Disetujui</t>
        </is>
      </c>
      <c r="K37" t="n">
        <v>60</v>
      </c>
      <c r="L37" t="inlineStr">
        <is>
          <t>13 November 2026</t>
        </is>
      </c>
      <c r="M37" t="inlineStr">
        <is>
          <t>Konstruksi Bangunan Sipil Jalan</t>
        </is>
      </c>
      <c r="N37" t="inlineStr">
        <is>
          <t>M</t>
        </is>
      </c>
      <c r="O37" t="inlineStr">
        <is>
          <t>20231109</t>
        </is>
      </c>
      <c r="P37" t="inlineStr">
        <is>
          <t>Jawa Timur</t>
        </is>
      </c>
      <c r="Q37" t="inlineStr"/>
    </row>
    <row r="38">
      <c r="A38" t="inlineStr">
        <is>
          <t>CIPTA MULTI KONSTRUKSINDO</t>
        </is>
      </c>
      <c r="B38" t="inlineStr">
        <is>
          <t>Kab. Malang</t>
        </is>
      </c>
      <c r="C38" t="inlineStr">
        <is>
          <t>03413021118</t>
        </is>
      </c>
      <c r="D38" t="inlineStr">
        <is>
          <t>ciptamultikonstruksindo@gmail.com</t>
        </is>
      </c>
      <c r="E38" t="inlineStr">
        <is>
          <t>https://lpjk.pu.go.id/search-badan-usaha-detail/RmhrdWVjYnlMVVZDbEUvaUh5RjNXUT09</t>
        </is>
      </c>
      <c r="F38" t="n">
        <v>4</v>
      </c>
      <c r="G38" t="inlineStr">
        <is>
          <t>BG001, BG002, BG005, BG009</t>
        </is>
      </c>
      <c r="H38" t="inlineStr">
        <is>
          <t>22 Juni 2012</t>
        </is>
      </c>
      <c r="I38" s="2" t="n">
        <v>46339</v>
      </c>
      <c r="J38" t="inlineStr">
        <is>
          <t>Disetujui</t>
        </is>
      </c>
      <c r="K38" t="n">
        <v>60</v>
      </c>
      <c r="L38" t="inlineStr">
        <is>
          <t>13 November 2026</t>
        </is>
      </c>
      <c r="M38" t="inlineStr">
        <is>
          <t>Konstruksi Gedung Hunian, Konstruksi Gedung Kesehatan, Konstruksi Gedung Lainnya, Konstruksi Gedung Perkantoran</t>
        </is>
      </c>
      <c r="N38" t="inlineStr">
        <is>
          <t>K</t>
        </is>
      </c>
      <c r="O38" t="inlineStr">
        <is>
          <t>20231111</t>
        </is>
      </c>
      <c r="P38" t="inlineStr">
        <is>
          <t>Jawa Timur</t>
        </is>
      </c>
      <c r="Q38" t="inlineStr"/>
    </row>
    <row r="39">
      <c r="A39" t="inlineStr">
        <is>
          <t>DAS KONSTRUKSI NUSANTARA</t>
        </is>
      </c>
      <c r="B39" t="inlineStr">
        <is>
          <t>Kota Makassar</t>
        </is>
      </c>
      <c r="C39" t="inlineStr">
        <is>
          <t>085242259296</t>
        </is>
      </c>
      <c r="D39" t="inlineStr">
        <is>
          <t>pt.dask@yahoo.com</t>
        </is>
      </c>
      <c r="E39" t="inlineStr">
        <is>
          <t>https://lpjk.pu.go.id/search-badan-usaha-detail/cHQ0TXpHMVMxZC9SZC9xM2hOY3NGdz09</t>
        </is>
      </c>
      <c r="F39" t="n">
        <v>2</v>
      </c>
      <c r="G39" t="inlineStr">
        <is>
          <t>BS004, BS010</t>
        </is>
      </c>
      <c r="H39" t="inlineStr">
        <is>
          <t>24 April 2012</t>
        </is>
      </c>
      <c r="I39" s="2" t="n">
        <v>46339</v>
      </c>
      <c r="J39" t="inlineStr">
        <is>
          <t>Pembekuan, Pencabutan</t>
        </is>
      </c>
      <c r="K39" t="n">
        <v>60</v>
      </c>
      <c r="L39" t="inlineStr">
        <is>
          <t>13 November 2026</t>
        </is>
      </c>
      <c r="M39" t="inlineStr">
        <is>
          <t>Konstruksi Bangunan Prasarana Sumber Daya Air, Konstruksi Jaringan Irigasi dan Drainase</t>
        </is>
      </c>
      <c r="N39" t="inlineStr">
        <is>
          <t>M</t>
        </is>
      </c>
      <c r="O39" t="inlineStr">
        <is>
          <t>20231113, 20231114</t>
        </is>
      </c>
      <c r="P39" t="inlineStr">
        <is>
          <t>Sulawesi Selatan</t>
        </is>
      </c>
      <c r="Q39" t="inlineStr"/>
    </row>
    <row r="40">
      <c r="A40" t="inlineStr">
        <is>
          <t>DEMIX JAYA UTAMA</t>
        </is>
      </c>
      <c r="B40" t="inlineStr">
        <is>
          <t>Kab. Sukabumi</t>
        </is>
      </c>
      <c r="C40" t="inlineStr">
        <is>
          <t>085659404222</t>
        </is>
      </c>
      <c r="D40" t="inlineStr">
        <is>
          <t>pt_demix@yahoo.co.id</t>
        </is>
      </c>
      <c r="E40" t="inlineStr">
        <is>
          <t>https://lpjk.pu.go.id/search-badan-usaha-detail/L0NBR2lCeFprK1JCQ0kvakhSNGorZz09</t>
        </is>
      </c>
      <c r="F40" t="n">
        <v>2</v>
      </c>
      <c r="G40" t="inlineStr">
        <is>
          <t>BS010</t>
        </is>
      </c>
      <c r="H40" t="inlineStr">
        <is>
          <t>3 Februari 2003</t>
        </is>
      </c>
      <c r="I40" s="2" t="n">
        <v>46339</v>
      </c>
      <c r="J40" t="inlineStr">
        <is>
          <t>Pencabutan</t>
        </is>
      </c>
      <c r="K40" t="n">
        <v>60</v>
      </c>
      <c r="L40" t="inlineStr">
        <is>
          <t>13 November 2026</t>
        </is>
      </c>
      <c r="M40" t="inlineStr">
        <is>
          <t>Konstruksi Bangunan Prasarana Sumber Daya Air</t>
        </is>
      </c>
      <c r="N40" t="inlineStr">
        <is>
          <t>M</t>
        </is>
      </c>
      <c r="O40" t="inlineStr">
        <is>
          <t>20230224</t>
        </is>
      </c>
      <c r="P40" t="inlineStr">
        <is>
          <t>Jawa Barat</t>
        </is>
      </c>
      <c r="Q40" t="inlineStr"/>
    </row>
    <row r="41">
      <c r="A41" t="inlineStr">
        <is>
          <t>DIRKA JAYA MANDIRI</t>
        </is>
      </c>
      <c r="B41" t="inlineStr">
        <is>
          <t>Kab. Tasikmalaya</t>
        </is>
      </c>
      <c r="C41" t="inlineStr">
        <is>
          <t>085220800648</t>
        </is>
      </c>
      <c r="D41" t="inlineStr">
        <is>
          <t>dirkajaya2000@gmail.com</t>
        </is>
      </c>
      <c r="E41" t="inlineStr">
        <is>
          <t>https://lpjk.pu.go.id/search-badan-usaha-detail/YVlCdkI4YWE0M2lMQmZQV1h4eDlYZz09</t>
        </is>
      </c>
      <c r="F41" t="n">
        <v>2</v>
      </c>
      <c r="G41" t="inlineStr">
        <is>
          <t>BS001, BS004</t>
        </is>
      </c>
      <c r="H41" t="inlineStr">
        <is>
          <t>13 September 2019</t>
        </is>
      </c>
      <c r="I41" s="2" t="n">
        <v>46339</v>
      </c>
      <c r="J41" t="inlineStr">
        <is>
          <t>Disetujui</t>
        </is>
      </c>
      <c r="K41" t="n">
        <v>60</v>
      </c>
      <c r="L41" t="inlineStr">
        <is>
          <t>13 November 2026</t>
        </is>
      </c>
      <c r="M41" t="inlineStr">
        <is>
          <t>Konstruksi Bangunan Sipil Jalan, Konstruksi Jaringan Irigasi dan Drainase</t>
        </is>
      </c>
      <c r="N41" t="inlineStr">
        <is>
          <t>K</t>
        </is>
      </c>
      <c r="O41" t="inlineStr">
        <is>
          <t>20231113</t>
        </is>
      </c>
      <c r="P41" t="inlineStr">
        <is>
          <t>Jawa Barat</t>
        </is>
      </c>
      <c r="Q41" t="inlineStr"/>
    </row>
    <row r="42">
      <c r="A42" t="inlineStr">
        <is>
          <t>DWIFA MULYA</t>
        </is>
      </c>
      <c r="B42" t="inlineStr">
        <is>
          <t>Kab. Kuningan</t>
        </is>
      </c>
      <c r="C42" t="inlineStr">
        <is>
          <t>085324437015</t>
        </is>
      </c>
      <c r="D42" t="inlineStr">
        <is>
          <t>dwifamulyadiding@yahoo.com</t>
        </is>
      </c>
      <c r="E42" t="inlineStr">
        <is>
          <t>https://lpjk.pu.go.id/search-badan-usaha-detail/c05lNFh1RnJ1TUx1dno0NFFCS1VQdz09</t>
        </is>
      </c>
      <c r="F42" t="n">
        <v>1</v>
      </c>
      <c r="G42" t="inlineStr">
        <is>
          <t>BG005</t>
        </is>
      </c>
      <c r="H42" t="inlineStr">
        <is>
          <t>13 Januari 2004</t>
        </is>
      </c>
      <c r="I42" s="2" t="n">
        <v>46339</v>
      </c>
      <c r="J42" t="inlineStr">
        <is>
          <t>Disetujui</t>
        </is>
      </c>
      <c r="K42" t="n">
        <v>60</v>
      </c>
      <c r="L42" t="inlineStr">
        <is>
          <t>13 November 2026</t>
        </is>
      </c>
      <c r="M42" t="inlineStr">
        <is>
          <t>Konstruksi Gedung Kesehatan</t>
        </is>
      </c>
      <c r="N42" t="inlineStr">
        <is>
          <t>K</t>
        </is>
      </c>
      <c r="O42" t="inlineStr">
        <is>
          <t>20231110</t>
        </is>
      </c>
      <c r="P42" t="inlineStr">
        <is>
          <t>Jawa Barat</t>
        </is>
      </c>
      <c r="Q42" t="inlineStr"/>
    </row>
    <row r="43">
      <c r="A43" t="inlineStr">
        <is>
          <t>ENERGI PERKASA CAKRAWALA</t>
        </is>
      </c>
      <c r="B43" t="inlineStr">
        <is>
          <t>Kota Adm. Jakarta Selatan</t>
        </is>
      </c>
      <c r="C43" t="inlineStr">
        <is>
          <t>0217655858</t>
        </is>
      </c>
      <c r="D43" t="inlineStr">
        <is>
          <t>energiperkasacakrawala999@gmail.com</t>
        </is>
      </c>
      <c r="E43" t="inlineStr">
        <is>
          <t>https://lpjk.pu.go.id/search-badan-usaha-detail/N3Q3c2lYNnExZm1IREluQ3l0cEhCUT09</t>
        </is>
      </c>
      <c r="F43" t="n">
        <v>1</v>
      </c>
      <c r="G43" t="inlineStr">
        <is>
          <t>BS007</t>
        </is>
      </c>
      <c r="H43" t="inlineStr">
        <is>
          <t>15 Juni 2017</t>
        </is>
      </c>
      <c r="I43" s="2" t="n">
        <v>46339</v>
      </c>
      <c r="J43" t="inlineStr">
        <is>
          <t>Disetujui</t>
        </is>
      </c>
      <c r="K43" t="n">
        <v>60</v>
      </c>
      <c r="L43" t="inlineStr">
        <is>
          <t>13 November 2026</t>
        </is>
      </c>
      <c r="M43" t="inlineStr">
        <is>
          <t>Konstruksi Bangunan Sipil Elektrikal</t>
        </is>
      </c>
      <c r="N43" t="inlineStr">
        <is>
          <t>K</t>
        </is>
      </c>
      <c r="O43" t="inlineStr">
        <is>
          <t>20231107</t>
        </is>
      </c>
      <c r="P43" t="inlineStr">
        <is>
          <t>DKI Jakarta</t>
        </is>
      </c>
      <c r="Q43" t="inlineStr"/>
    </row>
    <row r="44">
      <c r="A44" t="inlineStr">
        <is>
          <t>FIRDAUS JAYA ABADI</t>
        </is>
      </c>
      <c r="B44" t="inlineStr">
        <is>
          <t>Kab. Lampung Tengah</t>
        </is>
      </c>
      <c r="C44" t="inlineStr">
        <is>
          <t>082183976299</t>
        </is>
      </c>
      <c r="D44" t="inlineStr">
        <is>
          <t>firdausjayaabadi74@gmail.com</t>
        </is>
      </c>
      <c r="E44" t="inlineStr">
        <is>
          <t>https://lpjk.pu.go.id/search-badan-usaha-detail/QTV6OFlzcStGZGhLYnlBTjRvaVNEUT09</t>
        </is>
      </c>
      <c r="F44" t="n">
        <v>2</v>
      </c>
      <c r="G44" t="inlineStr">
        <is>
          <t>BG009</t>
        </is>
      </c>
      <c r="H44" t="inlineStr">
        <is>
          <t>13 Februari 2008</t>
        </is>
      </c>
      <c r="I44" s="2" t="n">
        <v>46339</v>
      </c>
      <c r="J44" t="inlineStr">
        <is>
          <t>Disetujui</t>
        </is>
      </c>
      <c r="K44" t="n">
        <v>60</v>
      </c>
      <c r="L44" t="inlineStr">
        <is>
          <t>13 November 2026</t>
        </is>
      </c>
      <c r="M44" t="inlineStr">
        <is>
          <t>Konstruksi Gedung Lainnya</t>
        </is>
      </c>
      <c r="N44" t="inlineStr">
        <is>
          <t>K</t>
        </is>
      </c>
      <c r="O44" t="inlineStr">
        <is>
          <t>20231112</t>
        </is>
      </c>
      <c r="P44" t="inlineStr">
        <is>
          <t>Lampung</t>
        </is>
      </c>
      <c r="Q44" t="inlineStr"/>
    </row>
    <row r="45">
      <c r="A45" t="inlineStr">
        <is>
          <t>FREYA JAYA MANDIRI</t>
        </is>
      </c>
      <c r="B45" t="inlineStr">
        <is>
          <t>Kota Kendari</t>
        </is>
      </c>
      <c r="C45" t="inlineStr">
        <is>
          <t>085241612951</t>
        </is>
      </c>
      <c r="D45" t="inlineStr">
        <is>
          <t>freyajayamandiri@gmail.com</t>
        </is>
      </c>
      <c r="E45" t="inlineStr">
        <is>
          <t>https://lpjk.pu.go.id/search-badan-usaha-detail/NWVOSDFuQ0UrdVlCdnhGV0s5MGlwQT09</t>
        </is>
      </c>
      <c r="F45" t="n">
        <v>1</v>
      </c>
      <c r="G45" t="inlineStr">
        <is>
          <t>BS005</t>
        </is>
      </c>
      <c r="H45" t="inlineStr">
        <is>
          <t>15 Juni 2017</t>
        </is>
      </c>
      <c r="I45" s="2" t="n">
        <v>46339</v>
      </c>
      <c r="J45" t="inlineStr">
        <is>
          <t>Disetujui</t>
        </is>
      </c>
      <c r="K45" t="n">
        <v>60</v>
      </c>
      <c r="L45" t="inlineStr">
        <is>
          <t>13 November 2026</t>
        </is>
      </c>
      <c r="M45" t="inlineStr">
        <is>
          <t>Konstruksi Bangunan Sipil Pengolahan Air Bersih</t>
        </is>
      </c>
      <c r="N45" t="inlineStr">
        <is>
          <t>K</t>
        </is>
      </c>
      <c r="O45" t="inlineStr">
        <is>
          <t>20231112</t>
        </is>
      </c>
      <c r="P45" t="inlineStr">
        <is>
          <t>Sulawesi Tenggara</t>
        </is>
      </c>
      <c r="Q45" t="inlineStr"/>
    </row>
    <row r="46">
      <c r="A46" t="inlineStr">
        <is>
          <t>GAY MELANDIS DEVELOPMENT</t>
        </is>
      </c>
      <c r="B46" t="inlineStr">
        <is>
          <t>Kab. Cianjur</t>
        </is>
      </c>
      <c r="C46" t="inlineStr">
        <is>
          <t>085863520900</t>
        </is>
      </c>
      <c r="D46" t="inlineStr">
        <is>
          <t>gmd.cianjur@gmail.com</t>
        </is>
      </c>
      <c r="E46" t="inlineStr">
        <is>
          <t>https://lpjk.pu.go.id/search-badan-usaha-detail/QjJtTE81ZEFlVEVZa1NNcW9ZRlpHdz09</t>
        </is>
      </c>
      <c r="F46" t="n">
        <v>1</v>
      </c>
      <c r="G46" t="inlineStr">
        <is>
          <t>BG009</t>
        </is>
      </c>
      <c r="H46" t="inlineStr">
        <is>
          <t>23 Oktober 1986</t>
        </is>
      </c>
      <c r="I46" s="2" t="n">
        <v>46339</v>
      </c>
      <c r="J46" t="inlineStr">
        <is>
          <t>Disetujui</t>
        </is>
      </c>
      <c r="K46" t="n">
        <v>60</v>
      </c>
      <c r="L46" t="inlineStr">
        <is>
          <t>13 November 2026</t>
        </is>
      </c>
      <c r="M46" t="inlineStr">
        <is>
          <t>Konstruksi Gedung Lainnya</t>
        </is>
      </c>
      <c r="N46" t="inlineStr">
        <is>
          <t>K</t>
        </is>
      </c>
      <c r="O46" t="inlineStr">
        <is>
          <t>20231113</t>
        </is>
      </c>
      <c r="P46" t="inlineStr">
        <is>
          <t>Jawa Barat</t>
        </is>
      </c>
      <c r="Q46" t="inlineStr"/>
    </row>
    <row r="47">
      <c r="A47" t="inlineStr">
        <is>
          <t>GENTA MULTI JAYYA</t>
        </is>
      </c>
      <c r="B47" t="inlineStr">
        <is>
          <t>Kota Semarang</t>
        </is>
      </c>
      <c r="C47" t="inlineStr">
        <is>
          <t>0243588766</t>
        </is>
      </c>
      <c r="D47" t="inlineStr">
        <is>
          <t>pt.gentamultijaya@gmail.com</t>
        </is>
      </c>
      <c r="E47" t="inlineStr">
        <is>
          <t>https://lpjk.pu.go.id/search-badan-usaha-detail/S2lrR1FtMk9qZEYxcWxEYnhBcXh6QT09</t>
        </is>
      </c>
      <c r="F47" t="n">
        <v>2</v>
      </c>
      <c r="G47" t="inlineStr">
        <is>
          <t>BS001, BS004</t>
        </is>
      </c>
      <c r="H47" t="inlineStr">
        <is>
          <t>5 November 2018</t>
        </is>
      </c>
      <c r="I47" s="2" t="n">
        <v>46339</v>
      </c>
      <c r="J47" t="inlineStr">
        <is>
          <t>Disetujui, Pencabutan</t>
        </is>
      </c>
      <c r="K47" t="n">
        <v>60</v>
      </c>
      <c r="L47" t="inlineStr">
        <is>
          <t>13 November 2026</t>
        </is>
      </c>
      <c r="M47" t="inlineStr">
        <is>
          <t>Konstruksi Bangunan Sipil Jalan, Konstruksi Jaringan Irigasi dan Drainase</t>
        </is>
      </c>
      <c r="N47" t="inlineStr">
        <is>
          <t>K</t>
        </is>
      </c>
      <c r="O47" t="inlineStr">
        <is>
          <t>20231111</t>
        </is>
      </c>
      <c r="P47" t="inlineStr">
        <is>
          <t>Jawa Tengah</t>
        </is>
      </c>
      <c r="Q47" t="inlineStr"/>
    </row>
    <row r="48">
      <c r="A48" t="inlineStr">
        <is>
          <t>GILANG BANGUN KARYA</t>
        </is>
      </c>
      <c r="B48" t="inlineStr">
        <is>
          <t>Kab. Banjarnegara</t>
        </is>
      </c>
      <c r="C48" t="inlineStr">
        <is>
          <t>081226844220</t>
        </is>
      </c>
      <c r="D48" t="inlineStr">
        <is>
          <t>gilangbangunk@yahoo.com</t>
        </is>
      </c>
      <c r="E48" t="inlineStr">
        <is>
          <t>https://lpjk.pu.go.id/search-badan-usaha-detail/VWFPVCtyeGlPR0xJOVlESVlHOTZHUT09</t>
        </is>
      </c>
      <c r="F48" t="n">
        <v>1</v>
      </c>
      <c r="G48" t="inlineStr">
        <is>
          <t>BG009</t>
        </is>
      </c>
      <c r="H48" t="inlineStr">
        <is>
          <t>24 September 2002</t>
        </is>
      </c>
      <c r="I48" s="2" t="n">
        <v>46339</v>
      </c>
      <c r="J48" t="inlineStr">
        <is>
          <t>Pencabutan</t>
        </is>
      </c>
      <c r="K48" t="n">
        <v>60</v>
      </c>
      <c r="L48" t="inlineStr">
        <is>
          <t>13 November 2026</t>
        </is>
      </c>
      <c r="M48" t="inlineStr">
        <is>
          <t>Konstruksi Gedung Lainnya</t>
        </is>
      </c>
      <c r="N48" t="inlineStr">
        <is>
          <t>K</t>
        </is>
      </c>
      <c r="O48" t="inlineStr">
        <is>
          <t>20231103</t>
        </is>
      </c>
      <c r="P48" t="inlineStr">
        <is>
          <t>Jawa Tengah</t>
        </is>
      </c>
      <c r="Q48" t="inlineStr"/>
    </row>
    <row r="49">
      <c r="A49" t="inlineStr">
        <is>
          <t>GRIYA PERSADA ENGINEERING</t>
        </is>
      </c>
      <c r="B49" t="inlineStr">
        <is>
          <t>Kota Surabaya</t>
        </is>
      </c>
      <c r="C49" t="inlineStr">
        <is>
          <t>081331390957</t>
        </is>
      </c>
      <c r="D49" t="inlineStr">
        <is>
          <t>griyapersada.sby@gmail.com</t>
        </is>
      </c>
      <c r="E49" t="inlineStr">
        <is>
          <t>https://lpjk.pu.go.id/search-badan-usaha-detail/K1FuT3Z4aDZFdmN1djJsV0lObnFMZz09</t>
        </is>
      </c>
      <c r="F49" t="n">
        <v>2</v>
      </c>
      <c r="G49" t="inlineStr">
        <is>
          <t>RK001, RK002</t>
        </is>
      </c>
      <c r="H49" t="inlineStr">
        <is>
          <t>4 April 2018</t>
        </is>
      </c>
      <c r="I49" s="2" t="n">
        <v>46339</v>
      </c>
      <c r="J49" t="inlineStr">
        <is>
          <t>Disetujui</t>
        </is>
      </c>
      <c r="K49" t="n">
        <v>60</v>
      </c>
      <c r="L49" t="inlineStr">
        <is>
          <t>13 November 2026</t>
        </is>
      </c>
      <c r="M49" t="inlineStr">
        <is>
          <t>Jasa Rekayasa Konstruksi Bangunan Gedung Hunian dan Non Hunian, Jasa Rekayasa Pekerjaan Teknik Sipil Sumber Daya Air</t>
        </is>
      </c>
      <c r="N49" t="inlineStr">
        <is>
          <t>K</t>
        </is>
      </c>
      <c r="O49" t="inlineStr">
        <is>
          <t>20231103</t>
        </is>
      </c>
      <c r="P49" t="inlineStr">
        <is>
          <t>Jawa Timur</t>
        </is>
      </c>
      <c r="Q49" t="inlineStr"/>
    </row>
    <row r="50">
      <c r="A50" t="inlineStr">
        <is>
          <t>HARAPAN JAYA KONSTRUKSI</t>
        </is>
      </c>
      <c r="B50" t="inlineStr">
        <is>
          <t>Kota Semarang</t>
        </is>
      </c>
      <c r="C50" t="inlineStr">
        <is>
          <t>81234234757</t>
        </is>
      </c>
      <c r="D50" t="inlineStr">
        <is>
          <t>hjkgroup@yahoo.com</t>
        </is>
      </c>
      <c r="E50" t="inlineStr">
        <is>
          <t>https://lpjk.pu.go.id/search-badan-usaha-detail/eHhidEhsR0R6ZCtIWjVSMStRY2t6dz09</t>
        </is>
      </c>
      <c r="F50" t="n">
        <v>3</v>
      </c>
      <c r="G50" t="inlineStr">
        <is>
          <t>BG004, BG006, BG009</t>
        </is>
      </c>
      <c r="H50" t="inlineStr">
        <is>
          <t>20 Januari 2010</t>
        </is>
      </c>
      <c r="I50" s="2" t="n">
        <v>46339</v>
      </c>
      <c r="J50" t="inlineStr">
        <is>
          <t>Disetujui</t>
        </is>
      </c>
      <c r="K50" t="n">
        <v>60</v>
      </c>
      <c r="L50" t="inlineStr">
        <is>
          <t>13 November 2026</t>
        </is>
      </c>
      <c r="M50" t="inlineStr">
        <is>
          <t>Konstruksi Gedung Lainnya, Konstruksi Gedung Pendidikan, Konstruksi Gedung Perbelanjaan</t>
        </is>
      </c>
      <c r="N50" t="inlineStr">
        <is>
          <t>K</t>
        </is>
      </c>
      <c r="O50" t="inlineStr">
        <is>
          <t>20231110, 20231114, 20231115</t>
        </is>
      </c>
      <c r="P50" t="inlineStr">
        <is>
          <t>Jawa Tengah</t>
        </is>
      </c>
      <c r="Q50" t="inlineStr"/>
    </row>
    <row r="51">
      <c r="A51" t="inlineStr">
        <is>
          <t>HASTARINDO</t>
        </is>
      </c>
      <c r="B51" t="inlineStr">
        <is>
          <t>Kota Adm. Jakarta Barat</t>
        </is>
      </c>
      <c r="C51" t="inlineStr">
        <is>
          <t>0215682420</t>
        </is>
      </c>
      <c r="D51" t="inlineStr">
        <is>
          <t>admin@hastarindo.com</t>
        </is>
      </c>
      <c r="E51" t="inlineStr">
        <is>
          <t>https://lpjk.pu.go.id/search-badan-usaha-detail/WUVaaGRVQTdCdkR3VUxIeE9PdEtQZz09</t>
        </is>
      </c>
      <c r="F51" t="n">
        <v>1</v>
      </c>
      <c r="G51" t="inlineStr">
        <is>
          <t>BG002</t>
        </is>
      </c>
      <c r="H51" t="inlineStr">
        <is>
          <t>25 Maret 2011</t>
        </is>
      </c>
      <c r="I51" s="2" t="n">
        <v>46339</v>
      </c>
      <c r="J51" t="inlineStr">
        <is>
          <t>Disetujui</t>
        </is>
      </c>
      <c r="K51" t="n">
        <v>60</v>
      </c>
      <c r="L51" t="inlineStr">
        <is>
          <t>13 November 2026</t>
        </is>
      </c>
      <c r="M51" t="inlineStr">
        <is>
          <t>Konstruksi Gedung Perkantoran</t>
        </is>
      </c>
      <c r="N51" t="inlineStr">
        <is>
          <t>K</t>
        </is>
      </c>
      <c r="O51" t="inlineStr">
        <is>
          <t>20231114</t>
        </is>
      </c>
      <c r="P51" t="inlineStr">
        <is>
          <t>DKI Jakarta</t>
        </is>
      </c>
      <c r="Q51" t="inlineStr"/>
    </row>
    <row r="52">
      <c r="A52" t="inlineStr">
        <is>
          <t>HYDRO TEKNO BESTARI</t>
        </is>
      </c>
      <c r="B52" t="inlineStr">
        <is>
          <t>Kota Adm. Jakarta Selatan</t>
        </is>
      </c>
      <c r="C52" t="inlineStr">
        <is>
          <t>02150812001</t>
        </is>
      </c>
      <c r="D52" t="inlineStr">
        <is>
          <t>hydroteknobestari@gmail.coom</t>
        </is>
      </c>
      <c r="E52" t="inlineStr">
        <is>
          <t>https://lpjk.pu.go.id/search-badan-usaha-detail/bnBSdk1DcS8rYjV6TkFhWEZsZTVzdz09</t>
        </is>
      </c>
      <c r="F52" t="n">
        <v>2</v>
      </c>
      <c r="G52" t="inlineStr">
        <is>
          <t>BS005, BS006</t>
        </is>
      </c>
      <c r="H52" t="inlineStr">
        <is>
          <t>30 April 2021</t>
        </is>
      </c>
      <c r="I52" s="2" t="n">
        <v>46339</v>
      </c>
      <c r="J52" t="inlineStr">
        <is>
          <t>Disetujui</t>
        </is>
      </c>
      <c r="K52" t="n">
        <v>60</v>
      </c>
      <c r="L52" t="inlineStr">
        <is>
          <t>13 November 2026</t>
        </is>
      </c>
      <c r="M52" t="inlineStr">
        <is>
          <t>Konstruksi Bangunan Sipil Pengolahan Air Bersih, Konstruksi Bangunan Sipil Prasarana dan Sarana Sistem Pengolahan Limbah Padat, Cair, dan Gas</t>
        </is>
      </c>
      <c r="N52" t="inlineStr">
        <is>
          <t>K</t>
        </is>
      </c>
      <c r="O52" t="inlineStr">
        <is>
          <t>20231111, 20231113</t>
        </is>
      </c>
      <c r="P52" t="inlineStr">
        <is>
          <t>DKI Jakarta</t>
        </is>
      </c>
      <c r="Q52" t="inlineStr"/>
    </row>
    <row r="53">
      <c r="A53" t="inlineStr">
        <is>
          <t>INAYA RASYA</t>
        </is>
      </c>
      <c r="B53" t="inlineStr">
        <is>
          <t>Kota Palangkaraya</t>
        </is>
      </c>
      <c r="C53" t="inlineStr">
        <is>
          <t>082125236364</t>
        </is>
      </c>
      <c r="D53" t="inlineStr">
        <is>
          <t>inayarasya.cv@gmail.com</t>
        </is>
      </c>
      <c r="E53" t="inlineStr">
        <is>
          <t>https://lpjk.pu.go.id/search-badan-usaha-detail/Z0VmWGw5bjMydGdSSjhna1A1WUtOQT09</t>
        </is>
      </c>
      <c r="F53" t="n">
        <v>6</v>
      </c>
      <c r="G53" t="inlineStr">
        <is>
          <t>BG001, BG002, BG005, BG006, BG009, BS001</t>
        </is>
      </c>
      <c r="H53" t="inlineStr">
        <is>
          <t>5 September 2014</t>
        </is>
      </c>
      <c r="I53" s="2" t="n">
        <v>46339</v>
      </c>
      <c r="J53" t="inlineStr">
        <is>
          <t>Disetujui</t>
        </is>
      </c>
      <c r="K53" t="n">
        <v>60</v>
      </c>
      <c r="L53" t="inlineStr">
        <is>
          <t>13 November 2026</t>
        </is>
      </c>
      <c r="M53" t="inlineStr">
        <is>
          <t>Konstruksi Bangunan Sipil Jalan, Konstruksi Gedung Hunian, Konstruksi Gedung Kesehatan, Konstruksi Gedung Lainnya, Konstruksi Gedung Pendidikan, Konstruksi Gedung Perkantoran</t>
        </is>
      </c>
      <c r="N53" t="inlineStr">
        <is>
          <t>K</t>
        </is>
      </c>
      <c r="O53" t="inlineStr">
        <is>
          <t>20231110, 20231113</t>
        </is>
      </c>
      <c r="P53" t="inlineStr">
        <is>
          <t>Kalimantan Tengah</t>
        </is>
      </c>
      <c r="Q53" t="inlineStr"/>
    </row>
    <row r="54">
      <c r="A54" t="inlineStr">
        <is>
          <t>INDIRAH</t>
        </is>
      </c>
      <c r="B54" t="inlineStr">
        <is>
          <t>Kab. Wajo</t>
        </is>
      </c>
      <c r="C54" t="inlineStr">
        <is>
          <t>085256212117</t>
        </is>
      </c>
      <c r="D54" t="inlineStr">
        <is>
          <t>cv.indirah@gmail.com</t>
        </is>
      </c>
      <c r="E54" t="inlineStr">
        <is>
          <t>https://lpjk.pu.go.id/search-badan-usaha-detail/R2ZFbzJVNjJtalNaK01veURiMFhOUT09</t>
        </is>
      </c>
      <c r="F54" t="n">
        <v>1</v>
      </c>
      <c r="G54" t="inlineStr">
        <is>
          <t>BG002</t>
        </is>
      </c>
      <c r="H54" t="inlineStr">
        <is>
          <t>12 April 2023</t>
        </is>
      </c>
      <c r="I54" s="2" t="n">
        <v>46339</v>
      </c>
      <c r="J54" t="inlineStr">
        <is>
          <t>Disetujui</t>
        </is>
      </c>
      <c r="K54" t="n">
        <v>60</v>
      </c>
      <c r="L54" t="inlineStr">
        <is>
          <t>13 November 2026</t>
        </is>
      </c>
      <c r="M54" t="inlineStr">
        <is>
          <t>Konstruksi Gedung Perkantoran</t>
        </is>
      </c>
      <c r="N54" t="inlineStr">
        <is>
          <t>K</t>
        </is>
      </c>
      <c r="O54" t="inlineStr">
        <is>
          <t>20231111</t>
        </is>
      </c>
      <c r="P54" t="inlineStr">
        <is>
          <t>Sulawesi Selatan</t>
        </is>
      </c>
      <c r="Q54" t="inlineStr"/>
    </row>
    <row r="55">
      <c r="A55" t="inlineStr">
        <is>
          <t>INDORAYA UTAMA KARYA</t>
        </is>
      </c>
      <c r="B55" t="inlineStr">
        <is>
          <t>Kab. Luwu Timur</t>
        </is>
      </c>
      <c r="C55" t="inlineStr">
        <is>
          <t>081241113649</t>
        </is>
      </c>
      <c r="D55" t="inlineStr">
        <is>
          <t>indor6896@gmail.com</t>
        </is>
      </c>
      <c r="E55" t="inlineStr">
        <is>
          <t>https://lpjk.pu.go.id/search-badan-usaha-detail/VFhpTVpQT05WZ0w4RU9DS2MvWHkyUT09</t>
        </is>
      </c>
      <c r="F55" t="n">
        <v>4</v>
      </c>
      <c r="G55" t="inlineStr">
        <is>
          <t>BS010, BS016</t>
        </is>
      </c>
      <c r="H55" t="inlineStr">
        <is>
          <t>27 Oktober 2023</t>
        </is>
      </c>
      <c r="I55" s="2" t="n">
        <v>46339</v>
      </c>
      <c r="J55" t="inlineStr">
        <is>
          <t>Disetujui</t>
        </is>
      </c>
      <c r="K55" t="n">
        <v>60</v>
      </c>
      <c r="L55" t="inlineStr">
        <is>
          <t>13 November 2026</t>
        </is>
      </c>
      <c r="M55" t="inlineStr">
        <is>
          <t>Konstruksi Bangunan Prasarana Sumber Daya Air, Konstruksi Bangunan Sipil Fasilitas Olah Raga</t>
        </is>
      </c>
      <c r="N55" t="inlineStr">
        <is>
          <t>K</t>
        </is>
      </c>
      <c r="O55" t="inlineStr">
        <is>
          <t>20231114</t>
        </is>
      </c>
      <c r="P55" t="inlineStr">
        <is>
          <t>Sulawesi Selatan</t>
        </is>
      </c>
      <c r="Q55" t="inlineStr"/>
    </row>
    <row r="56">
      <c r="A56" t="inlineStr">
        <is>
          <t>INTEGRAL KONSULTAN</t>
        </is>
      </c>
      <c r="B56" t="inlineStr">
        <is>
          <t>Kota Probolinggo</t>
        </is>
      </c>
      <c r="C56" t="inlineStr">
        <is>
          <t>081336763058</t>
        </is>
      </c>
      <c r="D56" t="inlineStr">
        <is>
          <t>integral.konsultan@gmail.com</t>
        </is>
      </c>
      <c r="E56" t="inlineStr">
        <is>
          <t>https://lpjk.pu.go.id/search-badan-usaha-detail/V0JwTkRVbkhRMm92aUtoYnRPUlIzQT09</t>
        </is>
      </c>
      <c r="F56" t="n">
        <v>3</v>
      </c>
      <c r="G56" t="inlineStr">
        <is>
          <t>RK001, RK002, RK003</t>
        </is>
      </c>
      <c r="H56" t="inlineStr">
        <is>
          <t>8 Agustus 2005</t>
        </is>
      </c>
      <c r="I56" s="2" t="n">
        <v>46339</v>
      </c>
      <c r="J56" t="inlineStr">
        <is>
          <t>Disetujui</t>
        </is>
      </c>
      <c r="K56" t="n">
        <v>60</v>
      </c>
      <c r="L56" t="inlineStr">
        <is>
          <t>13 November 2026</t>
        </is>
      </c>
      <c r="M56" t="inlineStr">
        <is>
          <t>Jasa Rekayasa Konstruksi Bangunan Gedung Hunian dan Non Hunian, Jasa Rekayasa Pekerjaan Teknik Sipil Sumber Daya Air, Jasa Rekayasa Pekerjaan Teknik Sipil Transportasi</t>
        </is>
      </c>
      <c r="N56" t="inlineStr">
        <is>
          <t>K</t>
        </is>
      </c>
      <c r="O56" t="inlineStr">
        <is>
          <t>20231019, 20231020</t>
        </is>
      </c>
      <c r="P56" t="inlineStr">
        <is>
          <t>Jawa Timur</t>
        </is>
      </c>
      <c r="Q56" t="inlineStr"/>
    </row>
    <row r="57">
      <c r="A57" t="inlineStr">
        <is>
          <t>JAGARNATAMA PUTRA MANDIRI</t>
        </is>
      </c>
      <c r="B57" t="inlineStr">
        <is>
          <t>Kota Padang</t>
        </is>
      </c>
      <c r="C57" t="inlineStr">
        <is>
          <t>085358618825</t>
        </is>
      </c>
      <c r="D57" t="inlineStr">
        <is>
          <t>jagarnatamaputram@gmail.com</t>
        </is>
      </c>
      <c r="E57" t="inlineStr">
        <is>
          <t>https://lpjk.pu.go.id/search-badan-usaha-detail/VkVqZllCSHVIUThRRkY3NkpBYmxMdz09</t>
        </is>
      </c>
      <c r="F57" t="n">
        <v>1</v>
      </c>
      <c r="G57" t="inlineStr">
        <is>
          <t>BG009</t>
        </is>
      </c>
      <c r="H57" t="inlineStr">
        <is>
          <t>14 Februari 2023</t>
        </is>
      </c>
      <c r="I57" s="2" t="n">
        <v>46339</v>
      </c>
      <c r="J57" t="inlineStr">
        <is>
          <t>Disetujui</t>
        </is>
      </c>
      <c r="K57" t="n">
        <v>60</v>
      </c>
      <c r="L57" t="inlineStr">
        <is>
          <t>13 November 2026</t>
        </is>
      </c>
      <c r="M57" t="inlineStr">
        <is>
          <t>Konstruksi Gedung Lainnya</t>
        </is>
      </c>
      <c r="N57" t="inlineStr">
        <is>
          <t>K</t>
        </is>
      </c>
      <c r="O57" t="inlineStr">
        <is>
          <t>20231113</t>
        </is>
      </c>
      <c r="P57" t="inlineStr">
        <is>
          <t>Sumatera Barat</t>
        </is>
      </c>
      <c r="Q57" t="inlineStr"/>
    </row>
    <row r="58">
      <c r="A58" t="inlineStr">
        <is>
          <t>JASA TEHNIK MANDIRI</t>
        </is>
      </c>
      <c r="B58" t="inlineStr">
        <is>
          <t>Kota Samarinda</t>
        </is>
      </c>
      <c r="C58" t="inlineStr">
        <is>
          <t>05417273786</t>
        </is>
      </c>
      <c r="D58" t="inlineStr">
        <is>
          <t>jastek_mandiri@yahoo.com</t>
        </is>
      </c>
      <c r="E58" t="inlineStr">
        <is>
          <t>https://lpjk.pu.go.id/search-badan-usaha-detail/Wkt2dm91Q2VwUjQ4WVhLcDVIb29xZz09</t>
        </is>
      </c>
      <c r="F58" t="n">
        <v>1</v>
      </c>
      <c r="G58" t="inlineStr">
        <is>
          <t>RK003</t>
        </is>
      </c>
      <c r="H58" t="inlineStr">
        <is>
          <t>23 Mei 2008</t>
        </is>
      </c>
      <c r="I58" s="2" t="n">
        <v>46339</v>
      </c>
      <c r="J58" t="inlineStr">
        <is>
          <t>Disetujui</t>
        </is>
      </c>
      <c r="K58" t="n">
        <v>60</v>
      </c>
      <c r="L58" t="inlineStr">
        <is>
          <t>13 November 2026</t>
        </is>
      </c>
      <c r="M58" t="inlineStr">
        <is>
          <t>Jasa Rekayasa Pekerjaan Teknik Sipil Transportasi</t>
        </is>
      </c>
      <c r="N58" t="inlineStr">
        <is>
          <t>M</t>
        </is>
      </c>
      <c r="O58" t="inlineStr">
        <is>
          <t>20231110</t>
        </is>
      </c>
      <c r="P58" t="inlineStr">
        <is>
          <t>Kalimantan Timur</t>
        </is>
      </c>
      <c r="Q58" t="inlineStr"/>
    </row>
    <row r="59">
      <c r="A59" t="inlineStr">
        <is>
          <t>JAYA INDO TAMA</t>
        </is>
      </c>
      <c r="B59" t="inlineStr">
        <is>
          <t>Kota Surabaya</t>
        </is>
      </c>
      <c r="C59" t="inlineStr">
        <is>
          <t>0318070536</t>
        </is>
      </c>
      <c r="D59" t="inlineStr">
        <is>
          <t>cvjayaindotama@gmail.com</t>
        </is>
      </c>
      <c r="E59" t="inlineStr">
        <is>
          <t>https://lpjk.pu.go.id/search-badan-usaha-detail/UFRZQnpmd0dQc3RRc3VzUnJoZDZFQT09</t>
        </is>
      </c>
      <c r="F59" t="n">
        <v>2</v>
      </c>
      <c r="G59" t="inlineStr">
        <is>
          <t>BG002, BG003</t>
        </is>
      </c>
      <c r="H59" t="inlineStr">
        <is>
          <t>5 Oktober 2016</t>
        </is>
      </c>
      <c r="I59" s="2" t="n">
        <v>46339</v>
      </c>
      <c r="J59" t="inlineStr">
        <is>
          <t>Disetujui</t>
        </is>
      </c>
      <c r="K59" t="n">
        <v>60</v>
      </c>
      <c r="L59" t="inlineStr">
        <is>
          <t>13 November 2026</t>
        </is>
      </c>
      <c r="M59" t="inlineStr">
        <is>
          <t>Konstruksi Gedung Industri, Konstruksi Gedung Perkantoran</t>
        </is>
      </c>
      <c r="N59" t="inlineStr">
        <is>
          <t>K</t>
        </is>
      </c>
      <c r="O59" t="inlineStr">
        <is>
          <t>20231109</t>
        </is>
      </c>
      <c r="P59" t="inlineStr">
        <is>
          <t>Jawa Timur</t>
        </is>
      </c>
      <c r="Q59" t="inlineStr"/>
    </row>
    <row r="60">
      <c r="A60" t="inlineStr">
        <is>
          <t>JAYA MANDIRI BERSAMA</t>
        </is>
      </c>
      <c r="B60" t="inlineStr">
        <is>
          <t>Kab. Penukal Abab Lematang</t>
        </is>
      </c>
      <c r="C60" t="inlineStr">
        <is>
          <t>082186114072</t>
        </is>
      </c>
      <c r="D60" t="inlineStr">
        <is>
          <t>cv.jayamandiribersama@gmail.com</t>
        </is>
      </c>
      <c r="E60" t="inlineStr">
        <is>
          <t>https://lpjk.pu.go.id/search-badan-usaha-detail/TEEraGJmSkpzUXpvRGFOVHRURXFSdz09</t>
        </is>
      </c>
      <c r="F60" t="n">
        <v>3</v>
      </c>
      <c r="G60" t="inlineStr">
        <is>
          <t>BG006, BS001, BS004</t>
        </is>
      </c>
      <c r="H60" t="inlineStr">
        <is>
          <t>26 April 2019</t>
        </is>
      </c>
      <c r="I60" s="2" t="n">
        <v>46339</v>
      </c>
      <c r="J60" t="inlineStr">
        <is>
          <t>Disetujui</t>
        </is>
      </c>
      <c r="K60" t="n">
        <v>60</v>
      </c>
      <c r="L60" t="inlineStr">
        <is>
          <t>13 November 2026</t>
        </is>
      </c>
      <c r="M60" t="inlineStr">
        <is>
          <t>Konstruksi Bangunan Sipil Jalan, Konstruksi Gedung Pendidikan, Konstruksi Jaringan Irigasi dan Drainase</t>
        </is>
      </c>
      <c r="N60" t="inlineStr">
        <is>
          <t>K</t>
        </is>
      </c>
      <c r="O60" t="inlineStr">
        <is>
          <t>20231110</t>
        </is>
      </c>
      <c r="P60" t="inlineStr">
        <is>
          <t>Sumatera Selatan</t>
        </is>
      </c>
      <c r="Q60" t="inlineStr"/>
    </row>
    <row r="61">
      <c r="A61" t="inlineStr">
        <is>
          <t>KARTA UTAMA KARYAMARGA</t>
        </is>
      </c>
      <c r="B61" t="inlineStr">
        <is>
          <t>Kota Palangkaraya</t>
        </is>
      </c>
      <c r="C61" t="inlineStr">
        <is>
          <t>081254080030</t>
        </is>
      </c>
      <c r="D61" t="inlineStr">
        <is>
          <t>sugiarto_21@yahoo.com</t>
        </is>
      </c>
      <c r="E61" t="inlineStr">
        <is>
          <t>https://lpjk.pu.go.id/search-badan-usaha-detail/d3gzMTVJMEhJWXYzMFpXd1VDaFRvZz09</t>
        </is>
      </c>
      <c r="F61" t="n">
        <v>1</v>
      </c>
      <c r="G61" t="inlineStr">
        <is>
          <t>BS001</t>
        </is>
      </c>
      <c r="H61" t="inlineStr">
        <is>
          <t>7 November 2006</t>
        </is>
      </c>
      <c r="I61" s="2" t="n">
        <v>46339</v>
      </c>
      <c r="J61" t="inlineStr">
        <is>
          <t>Pembekuan</t>
        </is>
      </c>
      <c r="K61" t="n">
        <v>60</v>
      </c>
      <c r="L61" t="inlineStr">
        <is>
          <t>13 November 2026</t>
        </is>
      </c>
      <c r="M61" t="inlineStr">
        <is>
          <t>Konstruksi Bangunan Sipil Jalan</t>
        </is>
      </c>
      <c r="N61" t="inlineStr">
        <is>
          <t>M</t>
        </is>
      </c>
      <c r="O61" t="inlineStr">
        <is>
          <t>20231020</t>
        </is>
      </c>
      <c r="P61" t="inlineStr">
        <is>
          <t>Kalimantan Tengah</t>
        </is>
      </c>
      <c r="Q61" t="inlineStr"/>
    </row>
    <row r="62">
      <c r="A62" t="inlineStr">
        <is>
          <t>KARYA DESY JAYA</t>
        </is>
      </c>
      <c r="B62" t="inlineStr">
        <is>
          <t>Kota Kendari</t>
        </is>
      </c>
      <c r="C62" t="inlineStr">
        <is>
          <t>085241922220</t>
        </is>
      </c>
      <c r="D62" t="inlineStr">
        <is>
          <t>karyadesyjaya@gmail.com</t>
        </is>
      </c>
      <c r="E62" t="inlineStr">
        <is>
          <t>https://lpjk.pu.go.id/search-badan-usaha-detail/Q0srY1NySXRxVWVzTXFKaWdmc3hIZz09</t>
        </is>
      </c>
      <c r="F62" t="n">
        <v>4</v>
      </c>
      <c r="G62" t="inlineStr">
        <is>
          <t>BG002, BG005, BG006, BG009</t>
        </is>
      </c>
      <c r="H62" t="inlineStr">
        <is>
          <t>1 Januari 2006</t>
        </is>
      </c>
      <c r="I62" s="2" t="n">
        <v>46339</v>
      </c>
      <c r="J62" t="inlineStr">
        <is>
          <t>Disetujui</t>
        </is>
      </c>
      <c r="K62" t="n">
        <v>60</v>
      </c>
      <c r="L62" t="inlineStr">
        <is>
          <t>13 November 2026</t>
        </is>
      </c>
      <c r="M62" t="inlineStr">
        <is>
          <t>Konstruksi Gedung Kesehatan, Konstruksi Gedung Lainnya, Konstruksi Gedung Pendidikan, Konstruksi Gedung Perkantoran</t>
        </is>
      </c>
      <c r="N62" t="inlineStr">
        <is>
          <t>K</t>
        </is>
      </c>
      <c r="O62" t="inlineStr">
        <is>
          <t>20231110</t>
        </is>
      </c>
      <c r="P62" t="inlineStr">
        <is>
          <t>Sulawesi Tenggara</t>
        </is>
      </c>
      <c r="Q62" t="inlineStr"/>
    </row>
    <row r="63">
      <c r="A63" t="inlineStr">
        <is>
          <t>KARYA GEOSIA CONSULTANT</t>
        </is>
      </c>
      <c r="B63" t="inlineStr">
        <is>
          <t>Kota Medan</t>
        </is>
      </c>
      <c r="C63" t="inlineStr">
        <is>
          <t>081260180512</t>
        </is>
      </c>
      <c r="D63" t="inlineStr">
        <is>
          <t>karyageosiaconsultantcv@gmail.com</t>
        </is>
      </c>
      <c r="E63" t="inlineStr">
        <is>
          <t>https://lpjk.pu.go.id/search-badan-usaha-detail/WjU5cUVlVHkyR1lUNlF4aS95WTJXQT09</t>
        </is>
      </c>
      <c r="F63" t="n">
        <v>1</v>
      </c>
      <c r="G63" t="inlineStr">
        <is>
          <t>RK001</t>
        </is>
      </c>
      <c r="H63" t="inlineStr">
        <is>
          <t>8 April 2019</t>
        </is>
      </c>
      <c r="I63" s="2" t="n">
        <v>46339</v>
      </c>
      <c r="J63" t="inlineStr">
        <is>
          <t>Disetujui</t>
        </is>
      </c>
      <c r="K63" t="n">
        <v>60</v>
      </c>
      <c r="L63" t="inlineStr">
        <is>
          <t>13 November 2026</t>
        </is>
      </c>
      <c r="M63" t="inlineStr">
        <is>
          <t>Jasa Rekayasa Konstruksi Bangunan Gedung Hunian dan Non Hunian</t>
        </is>
      </c>
      <c r="N63" t="inlineStr">
        <is>
          <t>K</t>
        </is>
      </c>
      <c r="O63" t="inlineStr">
        <is>
          <t>20230808</t>
        </is>
      </c>
      <c r="P63" t="inlineStr">
        <is>
          <t>Sumatera Utara</t>
        </is>
      </c>
      <c r="Q63" t="inlineStr"/>
    </row>
    <row r="64">
      <c r="A64" t="inlineStr">
        <is>
          <t>KARYA KAMEFADA WIJAYA INDONESIA</t>
        </is>
      </c>
      <c r="B64" t="inlineStr">
        <is>
          <t>Kota Bandar Lampung</t>
        </is>
      </c>
      <c r="C64" t="inlineStr">
        <is>
          <t>081367743843</t>
        </is>
      </c>
      <c r="D64" t="inlineStr">
        <is>
          <t>pt.karyakamefada2007@gmail.com</t>
        </is>
      </c>
      <c r="E64" t="inlineStr">
        <is>
          <t>https://lpjk.pu.go.id/search-badan-usaha-detail/YTJEVTJ1RHh5T2lPWVhHUjdGbDFtdz09</t>
        </is>
      </c>
      <c r="F64" t="n">
        <v>1</v>
      </c>
      <c r="G64" t="inlineStr">
        <is>
          <t>BG009</t>
        </is>
      </c>
      <c r="H64" t="inlineStr">
        <is>
          <t>22 Januari 2007</t>
        </is>
      </c>
      <c r="I64" s="2" t="n">
        <v>46339</v>
      </c>
      <c r="J64" t="inlineStr">
        <is>
          <t>Disetujui</t>
        </is>
      </c>
      <c r="K64" t="n">
        <v>60</v>
      </c>
      <c r="L64" t="inlineStr">
        <is>
          <t>13 November 2026</t>
        </is>
      </c>
      <c r="M64" t="inlineStr">
        <is>
          <t>Konstruksi Gedung Lainnya</t>
        </is>
      </c>
      <c r="N64" t="inlineStr">
        <is>
          <t>M</t>
        </is>
      </c>
      <c r="O64" t="inlineStr">
        <is>
          <t>20231109</t>
        </is>
      </c>
      <c r="P64" t="inlineStr">
        <is>
          <t>Lampung</t>
        </is>
      </c>
      <c r="Q64" t="inlineStr"/>
    </row>
    <row r="65">
      <c r="A65" t="inlineStr">
        <is>
          <t>KARYA SURYA PRADIPTA</t>
        </is>
      </c>
      <c r="B65" t="inlineStr">
        <is>
          <t>Kab. Banyuwangi</t>
        </is>
      </c>
      <c r="C65" t="inlineStr">
        <is>
          <t>081233106985</t>
        </is>
      </c>
      <c r="D65" t="inlineStr">
        <is>
          <t>kspbwi16@gmail.com</t>
        </is>
      </c>
      <c r="E65" t="inlineStr">
        <is>
          <t>https://lpjk.pu.go.id/search-badan-usaha-detail/YzZUN2JFcVhsU0ZLZ3YzeTVrS0lKdz09</t>
        </is>
      </c>
      <c r="F65" t="n">
        <v>1</v>
      </c>
      <c r="G65" t="inlineStr">
        <is>
          <t>BS004</t>
        </is>
      </c>
      <c r="H65" t="inlineStr">
        <is>
          <t>8 Agustus 2016</t>
        </is>
      </c>
      <c r="I65" s="2" t="n">
        <v>46339</v>
      </c>
      <c r="J65" t="inlineStr">
        <is>
          <t>Disetujui</t>
        </is>
      </c>
      <c r="K65" t="n">
        <v>60</v>
      </c>
      <c r="L65" t="inlineStr">
        <is>
          <t>13 November 2026</t>
        </is>
      </c>
      <c r="M65" t="inlineStr">
        <is>
          <t>Konstruksi Jaringan Irigasi dan Drainase</t>
        </is>
      </c>
      <c r="N65" t="inlineStr">
        <is>
          <t>K</t>
        </is>
      </c>
      <c r="O65" t="inlineStr">
        <is>
          <t>20231109</t>
        </is>
      </c>
      <c r="P65" t="inlineStr">
        <is>
          <t>Jawa Timur</t>
        </is>
      </c>
      <c r="Q65" t="inlineStr"/>
    </row>
    <row r="66">
      <c r="A66" t="inlineStr">
        <is>
          <t>KARYA TIRTA UTAMA</t>
        </is>
      </c>
      <c r="B66" t="inlineStr">
        <is>
          <t>Kota Bandung</t>
        </is>
      </c>
      <c r="C66" t="inlineStr">
        <is>
          <t>02220527066</t>
        </is>
      </c>
      <c r="D66" t="inlineStr">
        <is>
          <t>k.tirtautama@gmail.com</t>
        </is>
      </c>
      <c r="E66" t="inlineStr">
        <is>
          <t>https://lpjk.pu.go.id/search-badan-usaha-detail/V0lYb2JYQUg2YVNTRllDLzBvUzg3Zz09</t>
        </is>
      </c>
      <c r="F66" t="n">
        <v>1</v>
      </c>
      <c r="G66" t="inlineStr">
        <is>
          <t>PL005</t>
        </is>
      </c>
      <c r="H66" t="inlineStr">
        <is>
          <t>9 Januari 2017</t>
        </is>
      </c>
      <c r="I66" s="2" t="n">
        <v>46339</v>
      </c>
      <c r="J66" t="inlineStr">
        <is>
          <t>Pembekuan</t>
        </is>
      </c>
      <c r="K66" t="n">
        <v>60</v>
      </c>
      <c r="L66" t="inlineStr">
        <is>
          <t>13 November 2026</t>
        </is>
      </c>
      <c r="M66" t="inlineStr">
        <is>
          <t>Pembuatan/Pengeboran Sumur Air Tanah</t>
        </is>
      </c>
      <c r="N66" t="inlineStr">
        <is>
          <t>Spesialis</t>
        </is>
      </c>
      <c r="O66" t="inlineStr">
        <is>
          <t>20231030</t>
        </is>
      </c>
      <c r="P66" t="inlineStr">
        <is>
          <t>Jawa Barat</t>
        </is>
      </c>
      <c r="Q66" t="inlineStr"/>
    </row>
    <row r="67">
      <c r="A67" t="inlineStr">
        <is>
          <t>KAYANA WESA ABADI</t>
        </is>
      </c>
      <c r="B67" t="inlineStr">
        <is>
          <t>Kota Surabaya</t>
        </is>
      </c>
      <c r="C67" t="inlineStr">
        <is>
          <t>08113303607</t>
        </is>
      </c>
      <c r="D67" t="inlineStr">
        <is>
          <t>kayana.wesa@yahoo.co.id</t>
        </is>
      </c>
      <c r="E67" t="inlineStr">
        <is>
          <t>https://lpjk.pu.go.id/search-badan-usaha-detail/Nk5HNzhWYVN3SXJuQlNRZVZtajdXQT09</t>
        </is>
      </c>
      <c r="F67" t="n">
        <v>1</v>
      </c>
      <c r="G67" t="inlineStr">
        <is>
          <t>BG003</t>
        </is>
      </c>
      <c r="H67" t="inlineStr">
        <is>
          <t>21 Oktober 2023</t>
        </is>
      </c>
      <c r="I67" s="2" t="n">
        <v>46339</v>
      </c>
      <c r="J67" t="inlineStr">
        <is>
          <t>Disetujui</t>
        </is>
      </c>
      <c r="K67" t="n">
        <v>60</v>
      </c>
      <c r="L67" t="inlineStr">
        <is>
          <t>13 November 2026</t>
        </is>
      </c>
      <c r="M67" t="inlineStr">
        <is>
          <t>Konstruksi Gedung Industri</t>
        </is>
      </c>
      <c r="N67" t="inlineStr">
        <is>
          <t>K</t>
        </is>
      </c>
      <c r="O67" t="inlineStr">
        <is>
          <t>20231114</t>
        </is>
      </c>
      <c r="P67" t="inlineStr">
        <is>
          <t>Jawa Timur</t>
        </is>
      </c>
      <c r="Q67" t="inlineStr"/>
    </row>
    <row r="68">
      <c r="A68" t="inlineStr">
        <is>
          <t>KEMILAU</t>
        </is>
      </c>
      <c r="B68" t="inlineStr">
        <is>
          <t>Kota Pagar Alam</t>
        </is>
      </c>
      <c r="C68" t="inlineStr">
        <is>
          <t>082165044618</t>
        </is>
      </c>
      <c r="D68" t="inlineStr">
        <is>
          <t>cvkemilau4@gmail.com</t>
        </is>
      </c>
      <c r="E68" t="inlineStr">
        <is>
          <t>https://lpjk.pu.go.id/search-badan-usaha-detail/ekhEVVBDUHNnL25Hb0hlNWRzdDhzUT09</t>
        </is>
      </c>
      <c r="F68" t="n">
        <v>2</v>
      </c>
      <c r="G68" t="inlineStr">
        <is>
          <t>BG009, BS001</t>
        </is>
      </c>
      <c r="H68" t="inlineStr">
        <is>
          <t>19 Januari 2004</t>
        </is>
      </c>
      <c r="I68" s="2" t="n">
        <v>46339</v>
      </c>
      <c r="J68" t="inlineStr">
        <is>
          <t>Disetujui</t>
        </is>
      </c>
      <c r="K68" t="n">
        <v>60</v>
      </c>
      <c r="L68" t="inlineStr">
        <is>
          <t>13 November 2026</t>
        </is>
      </c>
      <c r="M68" t="inlineStr">
        <is>
          <t>Konstruksi Bangunan Sipil Jalan, Konstruksi Gedung Lainnya</t>
        </is>
      </c>
      <c r="N68" t="inlineStr">
        <is>
          <t>K</t>
        </is>
      </c>
      <c r="O68" t="inlineStr">
        <is>
          <t>20231110</t>
        </is>
      </c>
      <c r="P68" t="inlineStr">
        <is>
          <t>Sumatera Selatan</t>
        </is>
      </c>
      <c r="Q68" t="inlineStr"/>
    </row>
    <row r="69">
      <c r="A69" t="inlineStr">
        <is>
          <t>LANCAR ABADI KONSTRUKSI</t>
        </is>
      </c>
      <c r="B69" t="inlineStr">
        <is>
          <t>Kota Yogyakarta</t>
        </is>
      </c>
      <c r="C69" t="inlineStr">
        <is>
          <t>089614492060</t>
        </is>
      </c>
      <c r="D69" t="inlineStr">
        <is>
          <t>marketing.lakonstruksi@gmail.com</t>
        </is>
      </c>
      <c r="E69" t="inlineStr">
        <is>
          <t>https://lpjk.pu.go.id/search-badan-usaha-detail/Mkp0SCtkYVFDbCtvTFV4b0hSenB5QT09</t>
        </is>
      </c>
      <c r="F69" t="n">
        <v>5</v>
      </c>
      <c r="G69" t="inlineStr">
        <is>
          <t>BG001, BG002, BG004, BG006, BG007</t>
        </is>
      </c>
      <c r="H69" t="inlineStr">
        <is>
          <t>10 Oktober 2023</t>
        </is>
      </c>
      <c r="I69" s="2" t="n">
        <v>46339</v>
      </c>
      <c r="J69" t="inlineStr">
        <is>
          <t>Disetujui</t>
        </is>
      </c>
      <c r="K69" t="n">
        <v>60</v>
      </c>
      <c r="L69" t="inlineStr">
        <is>
          <t>13 November 2026</t>
        </is>
      </c>
      <c r="M69" t="inlineStr">
        <is>
          <t>Konstruksi Gedung Hunian, Konstruksi Gedung Pendidikan, Konstruksi Gedung Penginapan, Konstruksi Gedung Perbelanjaan, Konstruksi Gedung Perkantoran</t>
        </is>
      </c>
      <c r="N69" t="inlineStr">
        <is>
          <t>K</t>
        </is>
      </c>
      <c r="O69" t="inlineStr">
        <is>
          <t>20231110, 20231111</t>
        </is>
      </c>
      <c r="P69" t="inlineStr">
        <is>
          <t>DI Yogyakarta</t>
        </is>
      </c>
      <c r="Q69" t="inlineStr"/>
    </row>
    <row r="70">
      <c r="A70" t="inlineStr">
        <is>
          <t>MAHKOTA ALAM</t>
        </is>
      </c>
      <c r="B70" t="inlineStr">
        <is>
          <t>Kab. Sumedang</t>
        </is>
      </c>
      <c r="C70" t="inlineStr">
        <is>
          <t>082316661675</t>
        </is>
      </c>
      <c r="D70" t="inlineStr">
        <is>
          <t>cvmahkotaalam.smd@gmail.com</t>
        </is>
      </c>
      <c r="E70" t="inlineStr">
        <is>
          <t>https://lpjk.pu.go.id/search-badan-usaha-detail/bWQ4ejVNamdWRFBuZVFEcC9rc2ovQT09</t>
        </is>
      </c>
      <c r="F70" t="n">
        <v>2</v>
      </c>
      <c r="G70" t="inlineStr">
        <is>
          <t>BS001, BS004</t>
        </is>
      </c>
      <c r="H70" t="inlineStr">
        <is>
          <t>28 Februari 2011</t>
        </is>
      </c>
      <c r="I70" s="2" t="n">
        <v>46339</v>
      </c>
      <c r="J70" t="inlineStr">
        <is>
          <t>Disetujui</t>
        </is>
      </c>
      <c r="K70" t="n">
        <v>60</v>
      </c>
      <c r="L70" t="inlineStr">
        <is>
          <t>13 November 2026</t>
        </is>
      </c>
      <c r="M70" t="inlineStr">
        <is>
          <t>Konstruksi Bangunan Sipil Jalan, Konstruksi Jaringan Irigasi dan Drainase</t>
        </is>
      </c>
      <c r="N70" t="inlineStr">
        <is>
          <t>K</t>
        </is>
      </c>
      <c r="O70" t="inlineStr">
        <is>
          <t>20231019, 20231101</t>
        </is>
      </c>
      <c r="P70" t="inlineStr">
        <is>
          <t>Jawa Barat</t>
        </is>
      </c>
      <c r="Q70" t="inlineStr"/>
    </row>
    <row r="71">
      <c r="A71" t="inlineStr">
        <is>
          <t>MAKMUR JAYA BERKAT KONTRAKTOR</t>
        </is>
      </c>
      <c r="B71" t="inlineStr">
        <is>
          <t>Kota Adm. Jakarta Utara</t>
        </is>
      </c>
      <c r="C71" t="inlineStr">
        <is>
          <t>02129745083</t>
        </is>
      </c>
      <c r="D71" t="inlineStr">
        <is>
          <t>ptmjbk.comp@yahoo.co.id</t>
        </is>
      </c>
      <c r="E71" t="inlineStr">
        <is>
          <t>https://lpjk.pu.go.id/search-badan-usaha-detail/M0J5TXRCdk5XbW5ya2pDK2ZXU2lUZz09</t>
        </is>
      </c>
      <c r="F71" t="n">
        <v>1</v>
      </c>
      <c r="G71" t="inlineStr">
        <is>
          <t>BS001</t>
        </is>
      </c>
      <c r="H71" t="inlineStr">
        <is>
          <t>20 September 2023</t>
        </is>
      </c>
      <c r="I71" s="2" t="n">
        <v>46339</v>
      </c>
      <c r="J71" t="inlineStr">
        <is>
          <t>Pencabutan</t>
        </is>
      </c>
      <c r="K71" t="n">
        <v>60</v>
      </c>
      <c r="L71" t="inlineStr">
        <is>
          <t>13 November 2026</t>
        </is>
      </c>
      <c r="M71" t="inlineStr">
        <is>
          <t>Konstruksi Bangunan Sipil Jalan</t>
        </is>
      </c>
      <c r="N71" t="inlineStr">
        <is>
          <t>B</t>
        </is>
      </c>
      <c r="O71" t="inlineStr">
        <is>
          <t>20231031</t>
        </is>
      </c>
      <c r="P71" t="inlineStr">
        <is>
          <t>DKI Jakarta</t>
        </is>
      </c>
      <c r="Q71" t="inlineStr"/>
    </row>
    <row r="72">
      <c r="A72" t="inlineStr">
        <is>
          <t>MAKNA KARYA SEJAHTERA</t>
        </is>
      </c>
      <c r="B72" t="inlineStr">
        <is>
          <t>Kab. Deli Serdang</t>
        </is>
      </c>
      <c r="C72" t="inlineStr">
        <is>
          <t>081360263008</t>
        </is>
      </c>
      <c r="D72" t="inlineStr">
        <is>
          <t>pt.maknakaryasejahtera@gmail.com</t>
        </is>
      </c>
      <c r="E72" t="inlineStr">
        <is>
          <t>https://lpjk.pu.go.id/search-badan-usaha-detail/MG5qYXpBb2F3aW5xSzFlTVZaeXZnZz09</t>
        </is>
      </c>
      <c r="F72" t="n">
        <v>2</v>
      </c>
      <c r="G72" t="inlineStr">
        <is>
          <t>BG002, BS004</t>
        </is>
      </c>
      <c r="H72" t="inlineStr">
        <is>
          <t>23 Agustus 2023</t>
        </is>
      </c>
      <c r="I72" s="2" t="n">
        <v>46339</v>
      </c>
      <c r="J72" t="inlineStr">
        <is>
          <t>Disetujui</t>
        </is>
      </c>
      <c r="K72" t="n">
        <v>60</v>
      </c>
      <c r="L72" t="inlineStr">
        <is>
          <t>13 November 2026</t>
        </is>
      </c>
      <c r="M72" t="inlineStr">
        <is>
          <t>Konstruksi Gedung Perkantoran, Konstruksi Jaringan Irigasi dan Drainase</t>
        </is>
      </c>
      <c r="N72" t="inlineStr">
        <is>
          <t>K</t>
        </is>
      </c>
      <c r="O72" t="inlineStr">
        <is>
          <t>20231114, 20231115</t>
        </is>
      </c>
      <c r="P72" t="inlineStr">
        <is>
          <t>Sumatera Utara</t>
        </is>
      </c>
      <c r="Q72" t="inlineStr"/>
    </row>
    <row r="73">
      <c r="A73" t="inlineStr">
        <is>
          <t>MANDIRI PERSADA</t>
        </is>
      </c>
      <c r="B73" t="inlineStr">
        <is>
          <t>Kab. Kulon Progo</t>
        </is>
      </c>
      <c r="C73" t="inlineStr">
        <is>
          <t>0812280776691</t>
        </is>
      </c>
      <c r="D73" t="inlineStr">
        <is>
          <t>mandiri2110_cv@yahoo.com</t>
        </is>
      </c>
      <c r="E73" t="inlineStr">
        <is>
          <t>https://lpjk.pu.go.id/search-badan-usaha-detail/eGkyTTR6dGpzSjZIckc3MnMwS1Q2dz09</t>
        </is>
      </c>
      <c r="F73" t="n">
        <v>6</v>
      </c>
      <c r="G73" t="inlineStr">
        <is>
          <t>BG002, BG004, BG005, BG006, BG009, BS001</t>
        </is>
      </c>
      <c r="H73" t="inlineStr">
        <is>
          <t>16 April 2015</t>
        </is>
      </c>
      <c r="I73" s="2" t="n">
        <v>46339</v>
      </c>
      <c r="J73" t="inlineStr">
        <is>
          <t>Disetujui</t>
        </is>
      </c>
      <c r="K73" t="n">
        <v>60</v>
      </c>
      <c r="L73" t="inlineStr">
        <is>
          <t>13 November 2026</t>
        </is>
      </c>
      <c r="M73" t="inlineStr">
        <is>
          <t>Konstruksi Bangunan Sipil Jalan, Konstruksi Gedung Kesehatan, Konstruksi Gedung Lainnya, Konstruksi Gedung Pendidikan, Konstruksi Gedung Perbelanjaan, Konstruksi Gedung Perkantoran</t>
        </is>
      </c>
      <c r="N73" t="inlineStr">
        <is>
          <t>K</t>
        </is>
      </c>
      <c r="O73" t="inlineStr">
        <is>
          <t>20231109, 20231115</t>
        </is>
      </c>
      <c r="P73" t="inlineStr">
        <is>
          <t>DI Yogyakarta</t>
        </is>
      </c>
      <c r="Q73" t="inlineStr"/>
    </row>
    <row r="74">
      <c r="A74" t="inlineStr">
        <is>
          <t>MARINA CIPTA PRATAMA</t>
        </is>
      </c>
      <c r="B74" t="inlineStr">
        <is>
          <t>Kota Adm. Jakarta Selatan</t>
        </is>
      </c>
      <c r="C74" t="inlineStr">
        <is>
          <t>081291873332</t>
        </is>
      </c>
      <c r="D74" t="inlineStr">
        <is>
          <t>marinaciptapratama2019@gmail.com</t>
        </is>
      </c>
      <c r="E74" t="inlineStr">
        <is>
          <t>https://lpjk.pu.go.id/search-badan-usaha-detail/YXUxMEt1SExOdU5CRE5xeS9hRE40QT09</t>
        </is>
      </c>
      <c r="F74" t="n">
        <v>3</v>
      </c>
      <c r="G74" t="inlineStr">
        <is>
          <t>RK001, RK002, RK003</t>
        </is>
      </c>
      <c r="H74" t="inlineStr">
        <is>
          <t>21 Januari 2002</t>
        </is>
      </c>
      <c r="I74" s="2" t="n">
        <v>46339</v>
      </c>
      <c r="J74" t="inlineStr">
        <is>
          <t>Pencabutan</t>
        </is>
      </c>
      <c r="K74" t="n">
        <v>60</v>
      </c>
      <c r="L74" t="inlineStr">
        <is>
          <t>13 November 2026</t>
        </is>
      </c>
      <c r="M74" t="inlineStr">
        <is>
          <t>Jasa Rekayasa Konstruksi Bangunan Gedung Hunian dan Non Hunian, Jasa Rekayasa Pekerjaan Teknik Sipil Sumber Daya Air, Jasa Rekayasa Pekerjaan Teknik Sipil Transportasi</t>
        </is>
      </c>
      <c r="N74" t="inlineStr">
        <is>
          <t>K</t>
        </is>
      </c>
      <c r="O74" t="inlineStr">
        <is>
          <t>20231107</t>
        </is>
      </c>
      <c r="P74" t="inlineStr">
        <is>
          <t>DKI Jakarta</t>
        </is>
      </c>
      <c r="Q74" t="inlineStr"/>
    </row>
    <row r="75">
      <c r="A75" t="inlineStr">
        <is>
          <t>MEGAH TAMA PERKASA</t>
        </is>
      </c>
      <c r="B75" t="inlineStr">
        <is>
          <t>Kab. Badung</t>
        </is>
      </c>
      <c r="C75" t="inlineStr">
        <is>
          <t>0361466076</t>
        </is>
      </c>
      <c r="D75" t="inlineStr">
        <is>
          <t>pt.megahtamaperkasa@yahoo.com</t>
        </is>
      </c>
      <c r="E75" t="inlineStr">
        <is>
          <t>https://lpjk.pu.go.id/search-badan-usaha-detail/azQwaVN6NGh2cGxkVmtITW10eEhudz09</t>
        </is>
      </c>
      <c r="F75" t="n">
        <v>2</v>
      </c>
      <c r="G75" t="inlineStr">
        <is>
          <t>BS001</t>
        </is>
      </c>
      <c r="H75" t="inlineStr">
        <is>
          <t>4 November 2015</t>
        </is>
      </c>
      <c r="I75" s="2" t="n">
        <v>46339</v>
      </c>
      <c r="J75" t="inlineStr">
        <is>
          <t>Disetujui</t>
        </is>
      </c>
      <c r="K75" t="n">
        <v>60</v>
      </c>
      <c r="L75" t="inlineStr">
        <is>
          <t>13 November 2026</t>
        </is>
      </c>
      <c r="M75" t="inlineStr">
        <is>
          <t>Konstruksi Bangunan Sipil Jalan</t>
        </is>
      </c>
      <c r="N75" t="inlineStr">
        <is>
          <t>K</t>
        </is>
      </c>
      <c r="O75" t="inlineStr">
        <is>
          <t>20231111</t>
        </is>
      </c>
      <c r="P75" t="inlineStr">
        <is>
          <t>Bali</t>
        </is>
      </c>
      <c r="Q75" t="inlineStr"/>
    </row>
    <row r="76">
      <c r="A76" t="inlineStr">
        <is>
          <t>MERLYNA AGUNG</t>
        </is>
      </c>
      <c r="B76" t="inlineStr">
        <is>
          <t>Kota Bandung</t>
        </is>
      </c>
      <c r="C76" t="inlineStr">
        <is>
          <t>087821007364</t>
        </is>
      </c>
      <c r="D76" t="inlineStr">
        <is>
          <t>cvmerlynaagungizin@yahoo.com</t>
        </is>
      </c>
      <c r="E76" t="inlineStr">
        <is>
          <t>https://lpjk.pu.go.id/search-badan-usaha-detail/VEhiWjk4eWNhZGtlaUM1MExSZ1lKUT09</t>
        </is>
      </c>
      <c r="F76" t="n">
        <v>4</v>
      </c>
      <c r="G76" t="inlineStr">
        <is>
          <t>BG009, BS001, BS004, PL005</t>
        </is>
      </c>
      <c r="H76" t="inlineStr">
        <is>
          <t>22 September 1989</t>
        </is>
      </c>
      <c r="I76" s="2" t="n">
        <v>46339</v>
      </c>
      <c r="J76" t="inlineStr">
        <is>
          <t>Disetujui</t>
        </is>
      </c>
      <c r="K76" t="n">
        <v>60</v>
      </c>
      <c r="L76" t="inlineStr">
        <is>
          <t>13 November 2026</t>
        </is>
      </c>
      <c r="M76" t="inlineStr">
        <is>
          <t>Konstruksi Bangunan Sipil Jalan, Konstruksi Gedung Lainnya, Konstruksi Jaringan Irigasi dan Drainase, Pembuatan/Pengeboran Sumur Air Tanah</t>
        </is>
      </c>
      <c r="N76" t="inlineStr">
        <is>
          <t>K, Spesialis</t>
        </is>
      </c>
      <c r="O76" t="inlineStr">
        <is>
          <t>20231110</t>
        </is>
      </c>
      <c r="P76" t="inlineStr">
        <is>
          <t>Jawa Barat</t>
        </is>
      </c>
      <c r="Q76" t="inlineStr"/>
    </row>
    <row r="77">
      <c r="A77" t="inlineStr">
        <is>
          <t>MILIAN MUTIARA</t>
        </is>
      </c>
      <c r="B77" t="inlineStr">
        <is>
          <t>Kab. Garut</t>
        </is>
      </c>
      <c r="C77" t="inlineStr">
        <is>
          <t>081320961177</t>
        </is>
      </c>
      <c r="D77" t="inlineStr">
        <is>
          <t>sitianggiutari@gmail.com</t>
        </is>
      </c>
      <c r="E77" t="inlineStr">
        <is>
          <t>https://lpjk.pu.go.id/search-badan-usaha-detail/azIrVTlEcUlDUFlmMnRDUW11aEQrZz09</t>
        </is>
      </c>
      <c r="F77" t="n">
        <v>2</v>
      </c>
      <c r="G77" t="inlineStr">
        <is>
          <t>BS004</t>
        </is>
      </c>
      <c r="H77" t="inlineStr">
        <is>
          <t>11 Maret 2016</t>
        </is>
      </c>
      <c r="I77" s="2" t="n">
        <v>46339</v>
      </c>
      <c r="J77" t="inlineStr">
        <is>
          <t>Disetujui</t>
        </is>
      </c>
      <c r="K77" t="n">
        <v>60</v>
      </c>
      <c r="L77" t="inlineStr">
        <is>
          <t>13 November 2026</t>
        </is>
      </c>
      <c r="M77" t="inlineStr">
        <is>
          <t>Konstruksi Jaringan Irigasi dan Drainase</t>
        </is>
      </c>
      <c r="N77" t="inlineStr">
        <is>
          <t>K</t>
        </is>
      </c>
      <c r="O77" t="inlineStr">
        <is>
          <t>20231109</t>
        </is>
      </c>
      <c r="P77" t="inlineStr">
        <is>
          <t>Jawa Barat</t>
        </is>
      </c>
      <c r="Q77" t="inlineStr"/>
    </row>
    <row r="78">
      <c r="A78" t="inlineStr">
        <is>
          <t>MITA MITA MANDIRI</t>
        </is>
      </c>
      <c r="B78" t="inlineStr">
        <is>
          <t>Kab. Kulon Progo</t>
        </is>
      </c>
      <c r="C78" t="inlineStr">
        <is>
          <t>082136786858</t>
        </is>
      </c>
      <c r="D78" t="inlineStr">
        <is>
          <t>mita2.mandiri@gmail.com</t>
        </is>
      </c>
      <c r="E78" t="inlineStr">
        <is>
          <t>https://lpjk.pu.go.id/search-badan-usaha-detail/L0FKNkdMczJ2alNxL0xySGIxZWdiUT09</t>
        </is>
      </c>
      <c r="F78" t="n">
        <v>3</v>
      </c>
      <c r="G78" t="inlineStr">
        <is>
          <t>BG006, BG009, BS004</t>
        </is>
      </c>
      <c r="H78" t="inlineStr">
        <is>
          <t>24 Mei 2011</t>
        </is>
      </c>
      <c r="I78" s="2" t="n">
        <v>46339</v>
      </c>
      <c r="J78" t="inlineStr">
        <is>
          <t>Disetujui</t>
        </is>
      </c>
      <c r="K78" t="n">
        <v>60</v>
      </c>
      <c r="L78" t="inlineStr">
        <is>
          <t>13 November 2026</t>
        </is>
      </c>
      <c r="M78" t="inlineStr">
        <is>
          <t>Konstruksi Gedung Lainnya, Konstruksi Gedung Pendidikan, Konstruksi Jaringan Irigasi dan Drainase</t>
        </is>
      </c>
      <c r="N78" t="inlineStr">
        <is>
          <t>K</t>
        </is>
      </c>
      <c r="O78" t="inlineStr">
        <is>
          <t>20231114</t>
        </is>
      </c>
      <c r="P78" t="inlineStr">
        <is>
          <t>DI Yogyakarta</t>
        </is>
      </c>
      <c r="Q78" t="inlineStr"/>
    </row>
    <row r="79">
      <c r="A79" t="inlineStr">
        <is>
          <t>MITRA BONANZA</t>
        </is>
      </c>
      <c r="B79" t="inlineStr">
        <is>
          <t>Kota Banjarmasin</t>
        </is>
      </c>
      <c r="C79" t="inlineStr">
        <is>
          <t>081349667273</t>
        </is>
      </c>
      <c r="D79" t="inlineStr">
        <is>
          <t>mitrabonanza@gmail.com</t>
        </is>
      </c>
      <c r="E79" t="inlineStr">
        <is>
          <t>https://lpjk.pu.go.id/search-badan-usaha-detail/bERYY1pjZ0JmcjZhTnF0ZWhQY2VBdz09</t>
        </is>
      </c>
      <c r="F79" t="n">
        <v>2</v>
      </c>
      <c r="G79" t="inlineStr">
        <is>
          <t>BG009, BS001</t>
        </is>
      </c>
      <c r="H79" t="inlineStr">
        <is>
          <t>11 Mei 2001</t>
        </is>
      </c>
      <c r="I79" s="2" t="n">
        <v>46339</v>
      </c>
      <c r="J79" t="inlineStr">
        <is>
          <t>Pencabutan</t>
        </is>
      </c>
      <c r="K79" t="n">
        <v>60</v>
      </c>
      <c r="L79" t="inlineStr">
        <is>
          <t>13 November 2026</t>
        </is>
      </c>
      <c r="M79" t="inlineStr">
        <is>
          <t>Konstruksi Bangunan Sipil Jalan, Konstruksi Gedung Lainnya</t>
        </is>
      </c>
      <c r="N79" t="inlineStr">
        <is>
          <t>K</t>
        </is>
      </c>
      <c r="O79" t="inlineStr">
        <is>
          <t>20231111, 20231114</t>
        </is>
      </c>
      <c r="P79" t="inlineStr">
        <is>
          <t>Kalimantan Selatan</t>
        </is>
      </c>
      <c r="Q79" t="inlineStr"/>
    </row>
    <row r="80">
      <c r="A80" t="inlineStr">
        <is>
          <t>MITRA UTAMA</t>
        </is>
      </c>
      <c r="B80" t="inlineStr">
        <is>
          <t>Kota Banjarbaru</t>
        </is>
      </c>
      <c r="C80" t="inlineStr">
        <is>
          <t>08115128117</t>
        </is>
      </c>
      <c r="D80" t="inlineStr">
        <is>
          <t>cvmitrautamabudhi@gmail.com</t>
        </is>
      </c>
      <c r="E80" t="inlineStr">
        <is>
          <t>https://lpjk.pu.go.id/search-badan-usaha-detail/bWd6cnF1N284MHgvY0dPYmZXUVVSdz09</t>
        </is>
      </c>
      <c r="F80" t="n">
        <v>1</v>
      </c>
      <c r="G80" t="inlineStr">
        <is>
          <t>BG006</t>
        </is>
      </c>
      <c r="H80" t="inlineStr">
        <is>
          <t>3 Maret 1999</t>
        </is>
      </c>
      <c r="I80" s="2" t="n">
        <v>46339</v>
      </c>
      <c r="J80" t="inlineStr">
        <is>
          <t>Disetujui</t>
        </is>
      </c>
      <c r="K80" t="n">
        <v>60</v>
      </c>
      <c r="L80" t="inlineStr">
        <is>
          <t>13 November 2026</t>
        </is>
      </c>
      <c r="M80" t="inlineStr">
        <is>
          <t>Konstruksi Gedung Pendidikan</t>
        </is>
      </c>
      <c r="N80" t="inlineStr">
        <is>
          <t>K</t>
        </is>
      </c>
      <c r="O80" t="inlineStr">
        <is>
          <t>20231106</t>
        </is>
      </c>
      <c r="P80" t="inlineStr">
        <is>
          <t>Kalimantan Selatan</t>
        </is>
      </c>
      <c r="Q80" t="inlineStr"/>
    </row>
    <row r="81">
      <c r="A81" t="inlineStr">
        <is>
          <t>MUTIARA TERIMA BERKAT</t>
        </is>
      </c>
      <c r="B81" t="inlineStr">
        <is>
          <t>Kab. Asahan</t>
        </is>
      </c>
      <c r="C81" t="inlineStr">
        <is>
          <t>082161459861</t>
        </is>
      </c>
      <c r="D81" t="inlineStr">
        <is>
          <t>mutiaraterimaberkat@gmail.com</t>
        </is>
      </c>
      <c r="E81" t="inlineStr">
        <is>
          <t>https://lpjk.pu.go.id/search-badan-usaha-detail/cmxKR2EydVA0aHNaVmM5Z2hLKzRidz09</t>
        </is>
      </c>
      <c r="F81" t="n">
        <v>2</v>
      </c>
      <c r="G81" t="inlineStr">
        <is>
          <t>BS001</t>
        </is>
      </c>
      <c r="H81" t="inlineStr">
        <is>
          <t>21 Agustus 2023</t>
        </is>
      </c>
      <c r="I81" s="2" t="n">
        <v>46339</v>
      </c>
      <c r="J81" t="inlineStr">
        <is>
          <t>Disetujui</t>
        </is>
      </c>
      <c r="K81" t="n">
        <v>60</v>
      </c>
      <c r="L81" t="inlineStr">
        <is>
          <t>13 November 2026</t>
        </is>
      </c>
      <c r="M81" t="inlineStr">
        <is>
          <t>Konstruksi Bangunan Sipil Jalan</t>
        </is>
      </c>
      <c r="N81" t="inlineStr">
        <is>
          <t>K</t>
        </is>
      </c>
      <c r="O81" t="inlineStr">
        <is>
          <t>20231114</t>
        </is>
      </c>
      <c r="P81" t="inlineStr">
        <is>
          <t>Sumatera Utara</t>
        </is>
      </c>
      <c r="Q81" t="inlineStr"/>
    </row>
    <row r="82">
      <c r="A82" t="inlineStr">
        <is>
          <t>NATURAL</t>
        </is>
      </c>
      <c r="B82" t="inlineStr">
        <is>
          <t>Kota Banda Aceh</t>
        </is>
      </c>
      <c r="C82" t="inlineStr">
        <is>
          <t>082288216008</t>
        </is>
      </c>
      <c r="D82" t="inlineStr">
        <is>
          <t>cvnatural.cvn@gmail.com</t>
        </is>
      </c>
      <c r="E82" t="inlineStr">
        <is>
          <t>https://lpjk.pu.go.id/search-badan-usaha-detail/bWZhdVV2QkQzVTQxTU0vM1BUNTRlZz09</t>
        </is>
      </c>
      <c r="F82" t="n">
        <v>1</v>
      </c>
      <c r="G82" t="inlineStr">
        <is>
          <t>BS002</t>
        </is>
      </c>
      <c r="H82" t="inlineStr">
        <is>
          <t>10 Januari 2017</t>
        </is>
      </c>
      <c r="I82" s="2" t="n">
        <v>46339</v>
      </c>
      <c r="J82" t="inlineStr">
        <is>
          <t>Disetujui</t>
        </is>
      </c>
      <c r="K82" t="n">
        <v>60</v>
      </c>
      <c r="L82" t="inlineStr">
        <is>
          <t>13 November 2026</t>
        </is>
      </c>
      <c r="M82" t="inlineStr">
        <is>
          <t>Bangunan Sipil Jembatan, Jalan Layang, Fly Over, dan Underpass</t>
        </is>
      </c>
      <c r="N82" t="inlineStr">
        <is>
          <t>K</t>
        </is>
      </c>
      <c r="O82" t="inlineStr">
        <is>
          <t>20231107</t>
        </is>
      </c>
      <c r="P82" t="inlineStr">
        <is>
          <t>Aceh</t>
        </is>
      </c>
      <c r="Q82" t="inlineStr"/>
    </row>
    <row r="83">
      <c r="A83" t="inlineStr">
        <is>
          <t>PARADIGMA NUSANTARA</t>
        </is>
      </c>
      <c r="B83" t="inlineStr">
        <is>
          <t>Kota Pekanbaru</t>
        </is>
      </c>
      <c r="C83" t="inlineStr">
        <is>
          <t>0811764433</t>
        </is>
      </c>
      <c r="D83" t="inlineStr">
        <is>
          <t>cv.paradigma1993@gmail.com</t>
        </is>
      </c>
      <c r="E83" t="inlineStr">
        <is>
          <t>https://lpjk.pu.go.id/search-badan-usaha-detail/U0R1VFRyRnZRZjFYWDRlNnlWclArUT09</t>
        </is>
      </c>
      <c r="F83" t="n">
        <v>3</v>
      </c>
      <c r="G83" t="inlineStr">
        <is>
          <t>BG009, BS004, BS010</t>
        </is>
      </c>
      <c r="H83" t="inlineStr">
        <is>
          <t>22 Juni 2012</t>
        </is>
      </c>
      <c r="I83" s="2" t="n">
        <v>46339</v>
      </c>
      <c r="J83" t="inlineStr">
        <is>
          <t>Disetujui</t>
        </is>
      </c>
      <c r="K83" t="n">
        <v>60</v>
      </c>
      <c r="L83" t="inlineStr">
        <is>
          <t>13 November 2026</t>
        </is>
      </c>
      <c r="M83" t="inlineStr">
        <is>
          <t>Konstruksi Bangunan Prasarana Sumber Daya Air, Konstruksi Gedung Lainnya, Konstruksi Jaringan Irigasi dan Drainase</t>
        </is>
      </c>
      <c r="N83" t="inlineStr">
        <is>
          <t>K</t>
        </is>
      </c>
      <c r="O83" t="inlineStr">
        <is>
          <t>20231113, 20231115</t>
        </is>
      </c>
      <c r="P83" t="inlineStr">
        <is>
          <t>Riau</t>
        </is>
      </c>
      <c r="Q83" t="inlineStr"/>
    </row>
    <row r="84">
      <c r="A84" t="inlineStr">
        <is>
          <t>PRADANA EKA PERKASA</t>
        </is>
      </c>
      <c r="B84" t="inlineStr">
        <is>
          <t>Kab. Bojonegoro</t>
        </is>
      </c>
      <c r="C84" t="inlineStr">
        <is>
          <t>081239000458</t>
        </is>
      </c>
      <c r="D84" t="inlineStr">
        <is>
          <t>pradanaekaperkasa@gmail.com</t>
        </is>
      </c>
      <c r="E84" t="inlineStr">
        <is>
          <t>https://lpjk.pu.go.id/search-badan-usaha-detail/cGpSUW1YZmlSR2hmUjFpWi9ESUxkUT09</t>
        </is>
      </c>
      <c r="F84" t="n">
        <v>4</v>
      </c>
      <c r="G84" t="inlineStr">
        <is>
          <t>BG001, BG002, BG008, BS001</t>
        </is>
      </c>
      <c r="H84" t="inlineStr">
        <is>
          <t>9 September 2023</t>
        </is>
      </c>
      <c r="I84" s="2" t="n">
        <v>46339</v>
      </c>
      <c r="J84" t="inlineStr">
        <is>
          <t>Disetujui</t>
        </is>
      </c>
      <c r="K84" t="n">
        <v>60</v>
      </c>
      <c r="L84" t="inlineStr">
        <is>
          <t>13 November 2026</t>
        </is>
      </c>
      <c r="M84" t="inlineStr">
        <is>
          <t>Konstruksi Bangunan Sipil Jalan, Konstruksi Gedung Hunian, Konstruksi Gedung Perkantoran, Konstruksi Gedung Tempat Hiburan dan Olahraga</t>
        </is>
      </c>
      <c r="N84" t="inlineStr">
        <is>
          <t>K</t>
        </is>
      </c>
      <c r="O84" t="inlineStr">
        <is>
          <t>20231113, 20231115</t>
        </is>
      </c>
      <c r="P84" t="inlineStr">
        <is>
          <t>Jawa Timur</t>
        </is>
      </c>
      <c r="Q84" t="inlineStr"/>
    </row>
    <row r="85">
      <c r="A85" t="inlineStr">
        <is>
          <t>PRIMA INDO PERSADA</t>
        </is>
      </c>
      <c r="B85" t="inlineStr">
        <is>
          <t>Kota Metro</t>
        </is>
      </c>
      <c r="C85" t="inlineStr">
        <is>
          <t>082184163658</t>
        </is>
      </c>
      <c r="D85" t="inlineStr">
        <is>
          <t>primaindopcv@gmail.com</t>
        </is>
      </c>
      <c r="E85" t="inlineStr">
        <is>
          <t>https://lpjk.pu.go.id/search-badan-usaha-detail/NWJDb1ZqWk5rU1dBdGN6QVY3TDRQdz09</t>
        </is>
      </c>
      <c r="F85" t="n">
        <v>1</v>
      </c>
      <c r="G85" t="inlineStr">
        <is>
          <t>BG006</t>
        </is>
      </c>
      <c r="H85" t="inlineStr">
        <is>
          <t>11 Juli 2017</t>
        </is>
      </c>
      <c r="I85" s="2" t="n">
        <v>46339</v>
      </c>
      <c r="J85" t="inlineStr">
        <is>
          <t>Disetujui</t>
        </is>
      </c>
      <c r="K85" t="n">
        <v>60</v>
      </c>
      <c r="L85" t="inlineStr">
        <is>
          <t>13 November 2026</t>
        </is>
      </c>
      <c r="M85" t="inlineStr">
        <is>
          <t>Konstruksi Gedung Pendidikan</t>
        </is>
      </c>
      <c r="N85" t="inlineStr">
        <is>
          <t>K</t>
        </is>
      </c>
      <c r="O85" t="inlineStr">
        <is>
          <t>20231114</t>
        </is>
      </c>
      <c r="P85" t="inlineStr">
        <is>
          <t>Lampung</t>
        </is>
      </c>
      <c r="Q85" t="inlineStr"/>
    </row>
    <row r="86">
      <c r="A86" t="inlineStr">
        <is>
          <t>PRISMA KUSUMA JAYA</t>
        </is>
      </c>
      <c r="B86" t="inlineStr">
        <is>
          <t>Kota Adm. Jakarta Selatan</t>
        </is>
      </c>
      <c r="C86" t="inlineStr">
        <is>
          <t>0217174096</t>
        </is>
      </c>
      <c r="D86" t="inlineStr">
        <is>
          <t>pt.prisma.kusuma.jaya@gmail.com</t>
        </is>
      </c>
      <c r="E86" t="inlineStr">
        <is>
          <t>https://lpjk.pu.go.id/search-badan-usaha-detail/VHlPaTl3NVcrcGw0REJmOFJCZFZqdz09</t>
        </is>
      </c>
      <c r="F86" t="n">
        <v>2</v>
      </c>
      <c r="G86" t="inlineStr">
        <is>
          <t>BG003, BG009</t>
        </is>
      </c>
      <c r="H86" t="inlineStr">
        <is>
          <t>6 Juni 1996</t>
        </is>
      </c>
      <c r="I86" s="2" t="n">
        <v>46339</v>
      </c>
      <c r="J86" t="inlineStr">
        <is>
          <t>Disetujui, Pencabutan</t>
        </is>
      </c>
      <c r="K86" t="n">
        <v>60</v>
      </c>
      <c r="L86" t="inlineStr">
        <is>
          <t>13 November 2026</t>
        </is>
      </c>
      <c r="M86" t="inlineStr">
        <is>
          <t>Konstruksi Gedung Industri, Konstruksi Gedung Lainnya</t>
        </is>
      </c>
      <c r="N86" t="inlineStr">
        <is>
          <t>K</t>
        </is>
      </c>
      <c r="O86" t="inlineStr">
        <is>
          <t>20231106</t>
        </is>
      </c>
      <c r="P86" t="inlineStr">
        <is>
          <t>DKI Jakarta</t>
        </is>
      </c>
      <c r="Q86" t="inlineStr"/>
    </row>
    <row r="87">
      <c r="A87" t="inlineStr">
        <is>
          <t>PROFESIONAL INDONESIA LANTERA RAGA</t>
        </is>
      </c>
      <c r="B87" t="inlineStr">
        <is>
          <t>Kab. Serang</t>
        </is>
      </c>
      <c r="C87" t="inlineStr">
        <is>
          <t>082280441238</t>
        </is>
      </c>
      <c r="D87" t="inlineStr">
        <is>
          <t>pilarcontractor.banten@gmail.com</t>
        </is>
      </c>
      <c r="E87" t="inlineStr">
        <is>
          <t>https://lpjk.pu.go.id/search-badan-usaha-detail/dllDQVRyUXkzVDVLZTV1dGEwcGRCQT09</t>
        </is>
      </c>
      <c r="F87" t="n">
        <v>5</v>
      </c>
      <c r="G87" t="inlineStr">
        <is>
          <t>BG001, BG002, BG003, BS001, PB004</t>
        </is>
      </c>
      <c r="H87" t="inlineStr">
        <is>
          <t>18 Januari 2002</t>
        </is>
      </c>
      <c r="I87" s="2" t="n">
        <v>46339</v>
      </c>
      <c r="J87" t="inlineStr">
        <is>
          <t>Disetujui</t>
        </is>
      </c>
      <c r="K87" t="n">
        <v>60</v>
      </c>
      <c r="L87" t="inlineStr">
        <is>
          <t>13 November 2026</t>
        </is>
      </c>
      <c r="M87" t="inlineStr">
        <is>
          <t>Dekorasi Interior, Konstruksi Bangunan Sipil Jalan, Konstruksi Gedung Hunian, Konstruksi Gedung Industri, Konstruksi Gedung Perkantoran</t>
        </is>
      </c>
      <c r="N87" t="inlineStr">
        <is>
          <t>K, Spesialis</t>
        </is>
      </c>
      <c r="O87" t="inlineStr">
        <is>
          <t>20231111</t>
        </is>
      </c>
      <c r="P87" t="inlineStr">
        <is>
          <t>Banten</t>
        </is>
      </c>
      <c r="Q87" t="inlineStr"/>
    </row>
    <row r="88">
      <c r="A88" t="inlineStr">
        <is>
          <t>PUTRA NATABA</t>
        </is>
      </c>
      <c r="B88" t="inlineStr">
        <is>
          <t>Kab. Garut</t>
        </is>
      </c>
      <c r="C88" t="inlineStr">
        <is>
          <t>085222224699</t>
        </is>
      </c>
      <c r="D88" t="inlineStr">
        <is>
          <t>cv.putranataba@gmail.com</t>
        </is>
      </c>
      <c r="E88" t="inlineStr">
        <is>
          <t>https://lpjk.pu.go.id/search-badan-usaha-detail/REtBTWhmbk5SUEVCUVNZdGorRFlCZz09</t>
        </is>
      </c>
      <c r="F88" t="n">
        <v>4</v>
      </c>
      <c r="G88" t="inlineStr">
        <is>
          <t>BG001, BG002, BG005, BG009</t>
        </is>
      </c>
      <c r="H88" t="inlineStr">
        <is>
          <t>20 Januari 2006</t>
        </is>
      </c>
      <c r="I88" s="2" t="n">
        <v>46339</v>
      </c>
      <c r="J88" t="inlineStr">
        <is>
          <t>Disetujui, Pencabutan</t>
        </is>
      </c>
      <c r="K88" t="n">
        <v>60</v>
      </c>
      <c r="L88" t="inlineStr">
        <is>
          <t>13 November 2026</t>
        </is>
      </c>
      <c r="M88" t="inlineStr">
        <is>
          <t>Konstruksi Gedung Hunian, Konstruksi Gedung Kesehatan, Konstruksi Gedung Lainnya, Konstruksi Gedung Perkantoran</t>
        </is>
      </c>
      <c r="N88" t="inlineStr">
        <is>
          <t>K</t>
        </is>
      </c>
      <c r="O88" t="inlineStr">
        <is>
          <t>20231113, 20231114</t>
        </is>
      </c>
      <c r="P88" t="inlineStr">
        <is>
          <t>Jawa Barat</t>
        </is>
      </c>
      <c r="Q88" t="inlineStr"/>
    </row>
    <row r="89">
      <c r="A89" t="inlineStr">
        <is>
          <t>PUTRACON PRIMA MANUNGGAL</t>
        </is>
      </c>
      <c r="B89" t="inlineStr">
        <is>
          <t>Kota Adm. Jakarta Barat</t>
        </is>
      </c>
      <c r="C89" t="inlineStr">
        <is>
          <t>02154365637</t>
        </is>
      </c>
      <c r="D89" t="inlineStr">
        <is>
          <t>putraconprima@gmail.com</t>
        </is>
      </c>
      <c r="E89" t="inlineStr">
        <is>
          <t>https://lpjk.pu.go.id/search-badan-usaha-detail/NWhvWTFxUy8vMWlRcGg1eFNRM3kvZz09</t>
        </is>
      </c>
      <c r="F89" t="n">
        <v>8</v>
      </c>
      <c r="G89" t="inlineStr">
        <is>
          <t>BG001, BG002, BG003, BG005, BG006, BG007, BG008, BG009</t>
        </is>
      </c>
      <c r="H89" t="inlineStr">
        <is>
          <t>26 Desember 2020</t>
        </is>
      </c>
      <c r="I89" s="2" t="n">
        <v>46339</v>
      </c>
      <c r="J89" t="inlineStr">
        <is>
          <t>Disetujui</t>
        </is>
      </c>
      <c r="K89" t="n">
        <v>60</v>
      </c>
      <c r="L89" t="inlineStr">
        <is>
          <t>13 November 2026</t>
        </is>
      </c>
      <c r="M89" t="inlineStr">
        <is>
          <t>Konstruksi Gedung Hunian, Konstruksi Gedung Industri, Konstruksi Gedung Kesehatan, Konstruksi Gedung Lainnya, Konstruksi Gedung Pendidikan, Konstruksi Gedung Penginapan, Konstruksi Gedung Perkantoran, Konstruksi Gedung Tempat Hiburan dan Olahraga</t>
        </is>
      </c>
      <c r="N89" t="inlineStr">
        <is>
          <t>K</t>
        </is>
      </c>
      <c r="O89" t="inlineStr">
        <is>
          <t>20231109, 20231110</t>
        </is>
      </c>
      <c r="P89" t="inlineStr">
        <is>
          <t>DKI Jakarta</t>
        </is>
      </c>
      <c r="Q89" t="inlineStr"/>
    </row>
    <row r="90">
      <c r="A90" t="inlineStr">
        <is>
          <t>SABDA ALAM</t>
        </is>
      </c>
      <c r="B90" t="inlineStr">
        <is>
          <t>Kab. Sumedang</t>
        </is>
      </c>
      <c r="C90" t="inlineStr">
        <is>
          <t>081223105088</t>
        </is>
      </c>
      <c r="D90" t="inlineStr">
        <is>
          <t>sabdaalam.company@gmail.com</t>
        </is>
      </c>
      <c r="E90" t="inlineStr">
        <is>
          <t>https://lpjk.pu.go.id/search-badan-usaha-detail/S1IvdzFNMm5tek9DRFdWL1FrZnBrdz09</t>
        </is>
      </c>
      <c r="F90" t="n">
        <v>4</v>
      </c>
      <c r="G90" t="inlineStr">
        <is>
          <t>BG006, BG009, BS004, BS005</t>
        </is>
      </c>
      <c r="H90" t="inlineStr">
        <is>
          <t>14 Oktober 2009</t>
        </is>
      </c>
      <c r="I90" s="2" t="n">
        <v>46339</v>
      </c>
      <c r="J90" t="inlineStr">
        <is>
          <t>Disetujui</t>
        </is>
      </c>
      <c r="K90" t="n">
        <v>60</v>
      </c>
      <c r="L90" t="inlineStr">
        <is>
          <t>13 November 2026</t>
        </is>
      </c>
      <c r="M90" t="inlineStr">
        <is>
          <t>Konstruksi Bangunan Sipil Pengolahan Air Bersih, Konstruksi Gedung Lainnya, Konstruksi Gedung Pendidikan, Konstruksi Jaringan Irigasi dan Drainase</t>
        </is>
      </c>
      <c r="N90" t="inlineStr">
        <is>
          <t>K</t>
        </is>
      </c>
      <c r="O90" t="inlineStr">
        <is>
          <t>20230922</t>
        </is>
      </c>
      <c r="P90" t="inlineStr">
        <is>
          <t>Jawa Barat</t>
        </is>
      </c>
      <c r="Q90" t="inlineStr"/>
    </row>
    <row r="91">
      <c r="A91" t="inlineStr">
        <is>
          <t>SAHABAT SARANA KONSTRUKSI</t>
        </is>
      </c>
      <c r="B91" t="inlineStr">
        <is>
          <t>Kab. Muara Enim</t>
        </is>
      </c>
      <c r="C91" t="inlineStr">
        <is>
          <t>082181718227</t>
        </is>
      </c>
      <c r="D91" t="inlineStr">
        <is>
          <t>sahabatsaranakonstruksi@gmail.com</t>
        </is>
      </c>
      <c r="E91" t="inlineStr">
        <is>
          <t>https://lpjk.pu.go.id/search-badan-usaha-detail/akVOdFcwaUQzVXF5c2NZUFdadnZQQT09</t>
        </is>
      </c>
      <c r="F91" t="n">
        <v>2</v>
      </c>
      <c r="G91" t="inlineStr">
        <is>
          <t>BG009, BS004</t>
        </is>
      </c>
      <c r="H91" t="inlineStr">
        <is>
          <t>24 Maret 2020</t>
        </is>
      </c>
      <c r="I91" s="2" t="n">
        <v>46339</v>
      </c>
      <c r="J91" t="inlineStr">
        <is>
          <t>Disetujui</t>
        </is>
      </c>
      <c r="K91" t="n">
        <v>60</v>
      </c>
      <c r="L91" t="inlineStr">
        <is>
          <t>13 November 2026</t>
        </is>
      </c>
      <c r="M91" t="inlineStr">
        <is>
          <t>Konstruksi Gedung Lainnya, Konstruksi Jaringan Irigasi dan Drainase</t>
        </is>
      </c>
      <c r="N91" t="inlineStr">
        <is>
          <t>K</t>
        </is>
      </c>
      <c r="O91" t="inlineStr">
        <is>
          <t>20231106, 20231110</t>
        </is>
      </c>
      <c r="P91" t="inlineStr">
        <is>
          <t>Sumatera Selatan</t>
        </is>
      </c>
      <c r="Q91" t="inlineStr"/>
    </row>
    <row r="92">
      <c r="A92" t="inlineStr">
        <is>
          <t>SAKA DEXTRA STRUKTURA</t>
        </is>
      </c>
      <c r="B92" t="inlineStr">
        <is>
          <t>Kota Adm. Jakarta Selatan</t>
        </is>
      </c>
      <c r="C92" t="inlineStr">
        <is>
          <t>081288281699</t>
        </is>
      </c>
      <c r="D92" t="inlineStr">
        <is>
          <t>sakadextrastruktura@gmail.com</t>
        </is>
      </c>
      <c r="E92" t="inlineStr">
        <is>
          <t>https://lpjk.pu.go.id/search-badan-usaha-detail/OG4vVUFxR0s0SjV1MUx2ejhoMHRzQT09</t>
        </is>
      </c>
      <c r="F92" t="n">
        <v>5</v>
      </c>
      <c r="G92" t="inlineStr">
        <is>
          <t>BG001, BG002, BG003, BG006, BG007</t>
        </is>
      </c>
      <c r="H92" t="inlineStr">
        <is>
          <t>1 Januari 2018</t>
        </is>
      </c>
      <c r="I92" s="2" t="n">
        <v>46339</v>
      </c>
      <c r="J92" t="inlineStr">
        <is>
          <t>Disetujui</t>
        </is>
      </c>
      <c r="K92" t="n">
        <v>60</v>
      </c>
      <c r="L92" t="inlineStr">
        <is>
          <t>13 November 2026</t>
        </is>
      </c>
      <c r="M92" t="inlineStr">
        <is>
          <t>Konstruksi Gedung Hunian, Konstruksi Gedung Industri, Konstruksi Gedung Pendidikan, Konstruksi Gedung Penginapan, Konstruksi Gedung Perkantoran</t>
        </is>
      </c>
      <c r="N92" t="inlineStr">
        <is>
          <t>K</t>
        </is>
      </c>
      <c r="O92" t="inlineStr">
        <is>
          <t>20230921</t>
        </is>
      </c>
      <c r="P92" t="inlineStr">
        <is>
          <t>DKI Jakarta</t>
        </is>
      </c>
      <c r="Q92" t="inlineStr"/>
    </row>
    <row r="93">
      <c r="A93" t="inlineStr">
        <is>
          <t>SATU DUA SATU SR</t>
        </is>
      </c>
      <c r="B93" t="inlineStr">
        <is>
          <t>Kota Kendari</t>
        </is>
      </c>
      <c r="C93" t="inlineStr">
        <is>
          <t>08114033351</t>
        </is>
      </c>
      <c r="D93" t="inlineStr">
        <is>
          <t>cv.satuduasatu.sr@gmail.com</t>
        </is>
      </c>
      <c r="E93" t="inlineStr">
        <is>
          <t>https://lpjk.pu.go.id/search-badan-usaha-detail/RksycEdlZDU3M3VVMCt0aUFHTFh1dz09</t>
        </is>
      </c>
      <c r="F93" t="n">
        <v>1</v>
      </c>
      <c r="G93" t="inlineStr">
        <is>
          <t>BS001</t>
        </is>
      </c>
      <c r="H93" t="inlineStr">
        <is>
          <t>4 Juni 2020</t>
        </is>
      </c>
      <c r="I93" s="2" t="n">
        <v>46339</v>
      </c>
      <c r="J93" t="inlineStr">
        <is>
          <t>Disetujui</t>
        </is>
      </c>
      <c r="K93" t="n">
        <v>60</v>
      </c>
      <c r="L93" t="inlineStr">
        <is>
          <t>13 November 2026</t>
        </is>
      </c>
      <c r="M93" t="inlineStr">
        <is>
          <t>Konstruksi Bangunan Sipil Jalan</t>
        </is>
      </c>
      <c r="N93" t="inlineStr">
        <is>
          <t>K</t>
        </is>
      </c>
      <c r="O93" t="inlineStr">
        <is>
          <t>20231109</t>
        </is>
      </c>
      <c r="P93" t="inlineStr">
        <is>
          <t>Sulawesi Tenggara</t>
        </is>
      </c>
      <c r="Q93" t="inlineStr"/>
    </row>
    <row r="94">
      <c r="A94" t="inlineStr">
        <is>
          <t>SENTANINDO HARAPAN PAPUA</t>
        </is>
      </c>
      <c r="B94" t="inlineStr">
        <is>
          <t>Kab. Jayapura</t>
        </is>
      </c>
      <c r="C94" t="inlineStr">
        <is>
          <t>0812191946326</t>
        </is>
      </c>
      <c r="D94" t="inlineStr">
        <is>
          <t>sentanindoharapanpapua@gmail.com</t>
        </is>
      </c>
      <c r="E94" t="inlineStr">
        <is>
          <t>https://lpjk.pu.go.id/search-badan-usaha-detail/NTZmUm9iMDdJVVBNQXFqK3RFSTNadz09</t>
        </is>
      </c>
      <c r="F94" t="n">
        <v>2</v>
      </c>
      <c r="G94" t="inlineStr">
        <is>
          <t>BS001, BS002</t>
        </is>
      </c>
      <c r="H94" t="inlineStr">
        <is>
          <t>12 Januari 2022</t>
        </is>
      </c>
      <c r="I94" s="2" t="n">
        <v>46339</v>
      </c>
      <c r="J94" t="inlineStr">
        <is>
          <t>Disetujui</t>
        </is>
      </c>
      <c r="K94" t="n">
        <v>60</v>
      </c>
      <c r="L94" t="inlineStr">
        <is>
          <t>13 November 2026</t>
        </is>
      </c>
      <c r="M94" t="inlineStr">
        <is>
          <t>Bangunan Sipil Jembatan, Jalan Layang, Fly Over, dan Underpass, Konstruksi Bangunan Sipil Jalan</t>
        </is>
      </c>
      <c r="N94" t="inlineStr">
        <is>
          <t>K</t>
        </is>
      </c>
      <c r="O94" t="inlineStr">
        <is>
          <t>20231113, 20231117</t>
        </is>
      </c>
      <c r="P94" t="inlineStr">
        <is>
          <t>Papua</t>
        </is>
      </c>
      <c r="Q94" t="inlineStr"/>
    </row>
    <row r="95">
      <c r="A95" t="inlineStr">
        <is>
          <t>SHANUM PRADISTA KONSTRUKSI</t>
        </is>
      </c>
      <c r="B95" t="inlineStr">
        <is>
          <t>Kab. Kerinci</t>
        </is>
      </c>
      <c r="C95" t="inlineStr">
        <is>
          <t>081380856868</t>
        </is>
      </c>
      <c r="D95" t="inlineStr">
        <is>
          <t>cv.shanumpk23@gmail.com</t>
        </is>
      </c>
      <c r="E95" t="inlineStr">
        <is>
          <t>https://lpjk.pu.go.id/search-badan-usaha-detail/aTFiMWFPdURNaGhHOEVjb2ViMlUvQT09</t>
        </is>
      </c>
      <c r="F95" t="n">
        <v>8</v>
      </c>
      <c r="G95" t="inlineStr">
        <is>
          <t>BG005, BG006, BS001, BS004</t>
        </is>
      </c>
      <c r="H95" t="inlineStr">
        <is>
          <t>13 September 2023</t>
        </is>
      </c>
      <c r="I95" s="2" t="n">
        <v>46339</v>
      </c>
      <c r="J95" t="inlineStr">
        <is>
          <t>Disetujui</t>
        </is>
      </c>
      <c r="K95" t="n">
        <v>60</v>
      </c>
      <c r="L95" t="inlineStr">
        <is>
          <t>13 November 2026</t>
        </is>
      </c>
      <c r="M95" t="inlineStr">
        <is>
          <t>Konstruksi Bangunan Sipil Jalan, Konstruksi Gedung Kesehatan, Konstruksi Gedung Pendidikan, Konstruksi Jaringan Irigasi dan Drainase</t>
        </is>
      </c>
      <c r="N95" t="inlineStr">
        <is>
          <t>K</t>
        </is>
      </c>
      <c r="O95" t="inlineStr">
        <is>
          <t>20231111, 20231113, 20231114, 20231115</t>
        </is>
      </c>
      <c r="P95" t="inlineStr">
        <is>
          <t>Jambi</t>
        </is>
      </c>
      <c r="Q95" t="inlineStr"/>
    </row>
    <row r="96">
      <c r="A96" t="inlineStr">
        <is>
          <t>SINAR ALAM BAHALAP</t>
        </is>
      </c>
      <c r="B96" t="inlineStr">
        <is>
          <t>Kab. Barito Kuala</t>
        </is>
      </c>
      <c r="C96" t="inlineStr">
        <is>
          <t>085251155599</t>
        </is>
      </c>
      <c r="D96" t="inlineStr">
        <is>
          <t>pt.sinaralambahalap69@gmail.com</t>
        </is>
      </c>
      <c r="E96" t="inlineStr">
        <is>
          <t>https://lpjk.pu.go.id/search-badan-usaha-detail/OFdHTUFSWnFCWjk1QzJGai85TFNUUT09</t>
        </is>
      </c>
      <c r="F96" t="n">
        <v>1</v>
      </c>
      <c r="G96" t="inlineStr">
        <is>
          <t>BG002</t>
        </is>
      </c>
      <c r="H96" t="inlineStr">
        <is>
          <t>30 Mei 1980</t>
        </is>
      </c>
      <c r="I96" s="2" t="n">
        <v>46339</v>
      </c>
      <c r="J96" t="inlineStr">
        <is>
          <t>Disetujui</t>
        </is>
      </c>
      <c r="K96" t="n">
        <v>60</v>
      </c>
      <c r="L96" t="inlineStr">
        <is>
          <t>13 November 2026</t>
        </is>
      </c>
      <c r="M96" t="inlineStr">
        <is>
          <t>Konstruksi Gedung Perkantoran</t>
        </is>
      </c>
      <c r="N96" t="inlineStr">
        <is>
          <t>K</t>
        </is>
      </c>
      <c r="O96" t="inlineStr">
        <is>
          <t>20231025</t>
        </is>
      </c>
      <c r="P96" t="inlineStr">
        <is>
          <t>Kalimantan Selatan</t>
        </is>
      </c>
      <c r="Q96" t="inlineStr"/>
    </row>
    <row r="97">
      <c r="A97" t="inlineStr">
        <is>
          <t>SINAR QALBY PRATAMA</t>
        </is>
      </c>
      <c r="B97" t="inlineStr">
        <is>
          <t>Kota Ternate</t>
        </is>
      </c>
      <c r="C97" t="inlineStr">
        <is>
          <t>081340501033</t>
        </is>
      </c>
      <c r="D97" t="inlineStr">
        <is>
          <t>sinarqalbypratamacv@gmail.com</t>
        </is>
      </c>
      <c r="E97" t="inlineStr">
        <is>
          <t>https://lpjk.pu.go.id/search-badan-usaha-detail/R2hUQ0RSenJpUFdxRG91Vkw1SzFVUT09</t>
        </is>
      </c>
      <c r="F97" t="n">
        <v>2</v>
      </c>
      <c r="G97" t="inlineStr">
        <is>
          <t>BG005, BG006</t>
        </is>
      </c>
      <c r="H97" t="inlineStr">
        <is>
          <t>25 Agustus 2023</t>
        </is>
      </c>
      <c r="I97" s="2" t="n">
        <v>46339</v>
      </c>
      <c r="J97" t="inlineStr">
        <is>
          <t>Disetujui</t>
        </is>
      </c>
      <c r="K97" t="n">
        <v>60</v>
      </c>
      <c r="L97" t="inlineStr">
        <is>
          <t>13 November 2026</t>
        </is>
      </c>
      <c r="M97" t="inlineStr">
        <is>
          <t>Konstruksi Gedung Kesehatan, Konstruksi Gedung Pendidikan</t>
        </is>
      </c>
      <c r="N97" t="inlineStr">
        <is>
          <t>K</t>
        </is>
      </c>
      <c r="O97" t="inlineStr">
        <is>
          <t>20231113</t>
        </is>
      </c>
      <c r="P97" t="inlineStr">
        <is>
          <t>Maluku Utara</t>
        </is>
      </c>
      <c r="Q97" t="inlineStr"/>
    </row>
    <row r="98">
      <c r="A98" t="inlineStr">
        <is>
          <t>SUMBER REZEKI</t>
        </is>
      </c>
      <c r="B98" t="inlineStr">
        <is>
          <t>Kab. Lombok Timur</t>
        </is>
      </c>
      <c r="C98" t="inlineStr">
        <is>
          <t>081918316002</t>
        </is>
      </c>
      <c r="D98" t="inlineStr">
        <is>
          <t>sumberrezekilsbu@gmail.com</t>
        </is>
      </c>
      <c r="E98" t="inlineStr">
        <is>
          <t>https://lpjk.pu.go.id/search-badan-usaha-detail/ZW5zUTdNbzVlRFM5T1VwUUtRSHVLZz09</t>
        </is>
      </c>
      <c r="F98" t="n">
        <v>3</v>
      </c>
      <c r="G98" t="inlineStr">
        <is>
          <t>BS001, BS004, BS010</t>
        </is>
      </c>
      <c r="H98" t="inlineStr">
        <is>
          <t>1 Juni 2015</t>
        </is>
      </c>
      <c r="I98" s="2" t="n">
        <v>46339</v>
      </c>
      <c r="J98" t="inlineStr">
        <is>
          <t>Disetujui</t>
        </is>
      </c>
      <c r="K98" t="n">
        <v>60</v>
      </c>
      <c r="L98" t="inlineStr">
        <is>
          <t>13 November 2026</t>
        </is>
      </c>
      <c r="M98" t="inlineStr">
        <is>
          <t>Konstruksi Bangunan Prasarana Sumber Daya Air, Konstruksi Bangunan Sipil Jalan, Konstruksi Jaringan Irigasi dan Drainase</t>
        </is>
      </c>
      <c r="N98" t="inlineStr">
        <is>
          <t>K</t>
        </is>
      </c>
      <c r="O98" t="inlineStr">
        <is>
          <t>20231109, 20231114, 20231115</t>
        </is>
      </c>
      <c r="P98" t="inlineStr">
        <is>
          <t>Nusa Tenggara Barat</t>
        </is>
      </c>
      <c r="Q98" t="inlineStr"/>
    </row>
    <row r="99">
      <c r="A99" t="inlineStr">
        <is>
          <t>TATA BANGUN PRIMA</t>
        </is>
      </c>
      <c r="B99" t="inlineStr">
        <is>
          <t>Kab. Jombang</t>
        </is>
      </c>
      <c r="C99" t="inlineStr">
        <is>
          <t>085748625649</t>
        </is>
      </c>
      <c r="D99" t="inlineStr">
        <is>
          <t>cv_tatabangun.prima@yahoo.com</t>
        </is>
      </c>
      <c r="E99" t="inlineStr">
        <is>
          <t>https://lpjk.pu.go.id/search-badan-usaha-detail/elZtcitkR0M2VmdNUXB6eXVtVXpzdz09</t>
        </is>
      </c>
      <c r="F99" t="n">
        <v>3</v>
      </c>
      <c r="G99" t="inlineStr">
        <is>
          <t>RK001, RK002, RK003</t>
        </is>
      </c>
      <c r="H99" t="inlineStr">
        <is>
          <t>6 Januari 2021</t>
        </is>
      </c>
      <c r="I99" s="2" t="n">
        <v>46339</v>
      </c>
      <c r="J99" t="inlineStr">
        <is>
          <t>Disetujui</t>
        </is>
      </c>
      <c r="K99" t="n">
        <v>60</v>
      </c>
      <c r="L99" t="inlineStr">
        <is>
          <t>13 November 2026</t>
        </is>
      </c>
      <c r="M99" t="inlineStr">
        <is>
          <t>Jasa Rekayasa Konstruksi Bangunan Gedung Hunian dan Non Hunian, Jasa Rekayasa Pekerjaan Teknik Sipil Sumber Daya Air, Jasa Rekayasa Pekerjaan Teknik Sipil Transportasi</t>
        </is>
      </c>
      <c r="N99" t="inlineStr">
        <is>
          <t>K</t>
        </is>
      </c>
      <c r="O99" t="inlineStr">
        <is>
          <t>20231103</t>
        </is>
      </c>
      <c r="P99" t="inlineStr">
        <is>
          <t>Jawa Timur</t>
        </is>
      </c>
      <c r="Q99" t="inlineStr"/>
    </row>
    <row r="100">
      <c r="A100" t="inlineStr">
        <is>
          <t>TERANG MEGAH</t>
        </is>
      </c>
      <c r="B100" t="inlineStr">
        <is>
          <t>Kab. Sukabumi</t>
        </is>
      </c>
      <c r="C100" t="inlineStr">
        <is>
          <t>085720840001</t>
        </is>
      </c>
      <c r="D100" t="inlineStr">
        <is>
          <t>cv.terangmegahtrm@yahoo.com</t>
        </is>
      </c>
      <c r="E100" t="inlineStr">
        <is>
          <t>https://lpjk.pu.go.id/search-badan-usaha-detail/eit4Um5DeDI3V0g2eCtOcDZHY0RRQT09</t>
        </is>
      </c>
      <c r="F100" t="n">
        <v>4</v>
      </c>
      <c r="G100" t="inlineStr">
        <is>
          <t>BG006, BS005</t>
        </is>
      </c>
      <c r="H100" t="inlineStr">
        <is>
          <t>30 Januari 2017</t>
        </is>
      </c>
      <c r="I100" s="2" t="n">
        <v>46339</v>
      </c>
      <c r="J100" t="inlineStr">
        <is>
          <t>Disetujui</t>
        </is>
      </c>
      <c r="K100" t="n">
        <v>60</v>
      </c>
      <c r="L100" t="inlineStr">
        <is>
          <t>13 November 2026</t>
        </is>
      </c>
      <c r="M100" t="inlineStr">
        <is>
          <t>Konstruksi Bangunan Sipil Pengolahan Air Bersih, Konstruksi Gedung Pendidikan</t>
        </is>
      </c>
      <c r="N100" t="inlineStr">
        <is>
          <t>K</t>
        </is>
      </c>
      <c r="O100" t="inlineStr">
        <is>
          <t>20231106, 20231113</t>
        </is>
      </c>
      <c r="P100" t="inlineStr">
        <is>
          <t>Jawa Barat</t>
        </is>
      </c>
      <c r="Q100" t="inlineStr"/>
    </row>
    <row r="101">
      <c r="A101" t="inlineStr">
        <is>
          <t>THREE PUTRA</t>
        </is>
      </c>
      <c r="B101" t="inlineStr">
        <is>
          <t>Kab. Kutai Timur</t>
        </is>
      </c>
      <c r="C101" t="inlineStr">
        <is>
          <t>081346478871</t>
        </is>
      </c>
      <c r="D101" t="inlineStr">
        <is>
          <t>cvthreeputra0305@gmail.com</t>
        </is>
      </c>
      <c r="E101" t="inlineStr">
        <is>
          <t>https://lpjk.pu.go.id/search-badan-usaha-detail/amRYaitBVmozVFNmRE5pQTFJNFlHdz09</t>
        </is>
      </c>
      <c r="F101" t="n">
        <v>1</v>
      </c>
      <c r="G101" t="inlineStr">
        <is>
          <t>BS001</t>
        </is>
      </c>
      <c r="H101" t="inlineStr">
        <is>
          <t>7 Maret 2012</t>
        </is>
      </c>
      <c r="I101" s="2" t="n">
        <v>46339</v>
      </c>
      <c r="J101" t="inlineStr">
        <is>
          <t>Disetujui</t>
        </is>
      </c>
      <c r="K101" t="n">
        <v>60</v>
      </c>
      <c r="L101" t="inlineStr">
        <is>
          <t>13 November 2026</t>
        </is>
      </c>
      <c r="M101" t="inlineStr">
        <is>
          <t>Konstruksi Bangunan Sipil Jalan</t>
        </is>
      </c>
      <c r="N101" t="inlineStr">
        <is>
          <t>K</t>
        </is>
      </c>
      <c r="O101" t="inlineStr">
        <is>
          <t>20231109</t>
        </is>
      </c>
      <c r="P101" t="inlineStr">
        <is>
          <t>Kalimantan Timur</t>
        </is>
      </c>
      <c r="Q101" t="inlineStr"/>
    </row>
    <row r="102">
      <c r="A102" t="inlineStr">
        <is>
          <t>TIDAR CITRA GEMILANG</t>
        </is>
      </c>
      <c r="B102" t="inlineStr">
        <is>
          <t>Kota Tasikmalaya</t>
        </is>
      </c>
      <c r="C102" t="inlineStr">
        <is>
          <t>08122372560</t>
        </is>
      </c>
      <c r="D102" t="inlineStr">
        <is>
          <t>tcg_tsm@yahoo.co.id</t>
        </is>
      </c>
      <c r="E102" t="inlineStr">
        <is>
          <t>https://lpjk.pu.go.id/search-badan-usaha-detail/WE1pSHJHUG9wVHVNMUFJWm9IN2EwZz09</t>
        </is>
      </c>
      <c r="F102" t="n">
        <v>1</v>
      </c>
      <c r="G102" t="inlineStr">
        <is>
          <t>BS001</t>
        </is>
      </c>
      <c r="H102" t="inlineStr">
        <is>
          <t>23 September 1992</t>
        </is>
      </c>
      <c r="I102" s="2" t="n">
        <v>46339</v>
      </c>
      <c r="J102" t="inlineStr">
        <is>
          <t>Disetujui</t>
        </is>
      </c>
      <c r="K102" t="n">
        <v>60</v>
      </c>
      <c r="L102" t="inlineStr">
        <is>
          <t>13 November 2026</t>
        </is>
      </c>
      <c r="M102" t="inlineStr">
        <is>
          <t>Konstruksi Bangunan Sipil Jalan</t>
        </is>
      </c>
      <c r="N102" t="inlineStr">
        <is>
          <t>K</t>
        </is>
      </c>
      <c r="O102" t="inlineStr">
        <is>
          <t>20231109</t>
        </is>
      </c>
      <c r="P102" t="inlineStr">
        <is>
          <t>Jawa Barat</t>
        </is>
      </c>
      <c r="Q102" t="inlineStr"/>
    </row>
    <row r="103">
      <c r="A103" t="inlineStr">
        <is>
          <t>TIMUR CEPAT</t>
        </is>
      </c>
      <c r="B103" t="inlineStr">
        <is>
          <t>Kab. Minahasa Selatan</t>
        </is>
      </c>
      <c r="C103" t="inlineStr">
        <is>
          <t>08114317171</t>
        </is>
      </c>
      <c r="D103" t="inlineStr">
        <is>
          <t>timurcepat254@gmail.com</t>
        </is>
      </c>
      <c r="E103" t="inlineStr">
        <is>
          <t>https://lpjk.pu.go.id/search-badan-usaha-detail/OHNxQXVLNXZrZjVWK1MwOXcvWXN2Zz09</t>
        </is>
      </c>
      <c r="F103" t="n">
        <v>1</v>
      </c>
      <c r="G103" t="inlineStr">
        <is>
          <t>BG009</t>
        </is>
      </c>
      <c r="H103" t="inlineStr">
        <is>
          <t>4 Februari 2019</t>
        </is>
      </c>
      <c r="I103" s="2" t="n">
        <v>46339</v>
      </c>
      <c r="J103" t="inlineStr">
        <is>
          <t>Disetujui</t>
        </is>
      </c>
      <c r="K103" t="n">
        <v>60</v>
      </c>
      <c r="L103" t="inlineStr">
        <is>
          <t>13 November 2026</t>
        </is>
      </c>
      <c r="M103" t="inlineStr">
        <is>
          <t>Konstruksi Gedung Lainnya</t>
        </is>
      </c>
      <c r="N103" t="inlineStr">
        <is>
          <t>K</t>
        </is>
      </c>
      <c r="O103" t="inlineStr">
        <is>
          <t>20231113</t>
        </is>
      </c>
      <c r="P103" t="inlineStr">
        <is>
          <t>Sulawesi Utara</t>
        </is>
      </c>
      <c r="Q103" t="inlineStr"/>
    </row>
    <row r="104">
      <c r="A104" t="inlineStr">
        <is>
          <t>TRI RESKY UTAMA MANDIRI</t>
        </is>
      </c>
      <c r="B104" t="inlineStr">
        <is>
          <t>Kab. Maros</t>
        </is>
      </c>
      <c r="C104" t="inlineStr">
        <is>
          <t>085333222077</t>
        </is>
      </c>
      <c r="D104" t="inlineStr">
        <is>
          <t>cvreskyutamamandiri@gmail.com</t>
        </is>
      </c>
      <c r="E104" t="inlineStr">
        <is>
          <t>https://lpjk.pu.go.id/search-badan-usaha-detail/K2hXeDg5cHRqaUdyUXMwZTdxMnhpUT09</t>
        </is>
      </c>
      <c r="F104" t="n">
        <v>1</v>
      </c>
      <c r="G104" t="inlineStr">
        <is>
          <t>BG002</t>
        </is>
      </c>
      <c r="H104" t="inlineStr">
        <is>
          <t>27 November 2020</t>
        </is>
      </c>
      <c r="I104" s="2" t="n">
        <v>46339</v>
      </c>
      <c r="J104" t="inlineStr">
        <is>
          <t>Disetujui</t>
        </is>
      </c>
      <c r="K104" t="n">
        <v>60</v>
      </c>
      <c r="L104" t="inlineStr">
        <is>
          <t>13 November 2026</t>
        </is>
      </c>
      <c r="M104" t="inlineStr">
        <is>
          <t>Konstruksi Gedung Perkantoran</t>
        </is>
      </c>
      <c r="N104" t="inlineStr">
        <is>
          <t>K</t>
        </is>
      </c>
      <c r="O104" t="inlineStr">
        <is>
          <t>20231110</t>
        </is>
      </c>
      <c r="P104" t="inlineStr">
        <is>
          <t>Sulawesi Selatan</t>
        </is>
      </c>
      <c r="Q104" t="inlineStr"/>
    </row>
    <row r="105">
      <c r="A105" t="inlineStr">
        <is>
          <t>TRIARTHA NUSA ENGINEERING</t>
        </is>
      </c>
      <c r="B105" t="inlineStr">
        <is>
          <t>Kota Padang</t>
        </is>
      </c>
      <c r="C105" t="inlineStr">
        <is>
          <t>0751443932</t>
        </is>
      </c>
      <c r="D105" t="inlineStr">
        <is>
          <t>TRIARTHANUSA_PT@YMAIL.COM</t>
        </is>
      </c>
      <c r="E105" t="inlineStr">
        <is>
          <t>https://lpjk.pu.go.id/search-badan-usaha-detail/YmtoZklha3ZZdkhnbUgvSGlCaG1rZz09</t>
        </is>
      </c>
      <c r="F105" t="n">
        <v>2</v>
      </c>
      <c r="G105" t="inlineStr">
        <is>
          <t>RK001, RK002</t>
        </is>
      </c>
      <c r="H105" t="inlineStr">
        <is>
          <t>24 Januari 2007</t>
        </is>
      </c>
      <c r="I105" s="2" t="n">
        <v>46339</v>
      </c>
      <c r="J105" t="inlineStr">
        <is>
          <t>Disetujui</t>
        </is>
      </c>
      <c r="K105" t="n">
        <v>60</v>
      </c>
      <c r="L105" t="inlineStr">
        <is>
          <t>13 November 2026</t>
        </is>
      </c>
      <c r="M105" t="inlineStr">
        <is>
          <t>Jasa Rekayasa Konstruksi Bangunan Gedung Hunian dan Non Hunian, Jasa Rekayasa Pekerjaan Teknik Sipil Sumber Daya Air</t>
        </is>
      </c>
      <c r="N105" t="inlineStr">
        <is>
          <t>K</t>
        </is>
      </c>
      <c r="O105" t="inlineStr">
        <is>
          <t>20231106, 20231107</t>
        </is>
      </c>
      <c r="P105" t="inlineStr">
        <is>
          <t>Sumatera Barat</t>
        </is>
      </c>
      <c r="Q105" t="inlineStr"/>
    </row>
    <row r="106">
      <c r="A106" t="inlineStr">
        <is>
          <t>TRISULA RESTU IBU</t>
        </is>
      </c>
      <c r="B106" t="inlineStr">
        <is>
          <t>Kab. Cianjur</t>
        </is>
      </c>
      <c r="C106" t="inlineStr">
        <is>
          <t>089666661401</t>
        </is>
      </c>
      <c r="D106" t="inlineStr">
        <is>
          <t>pttrisularestuibu@outlook.com</t>
        </is>
      </c>
      <c r="E106" t="inlineStr">
        <is>
          <t>https://lpjk.pu.go.id/search-badan-usaha-detail/c0QvaXZYTWlzMXZWUDFaL1FRRms0Zz09</t>
        </is>
      </c>
      <c r="F106" t="n">
        <v>1</v>
      </c>
      <c r="G106" t="inlineStr">
        <is>
          <t>BG002</t>
        </is>
      </c>
      <c r="H106" t="inlineStr">
        <is>
          <t>22 Februari 2018</t>
        </is>
      </c>
      <c r="I106" s="2" t="n">
        <v>46339</v>
      </c>
      <c r="J106" t="inlineStr">
        <is>
          <t>Pencabutan</t>
        </is>
      </c>
      <c r="K106" t="n">
        <v>60</v>
      </c>
      <c r="L106" t="inlineStr">
        <is>
          <t>13 November 2026</t>
        </is>
      </c>
      <c r="M106" t="inlineStr">
        <is>
          <t>Konstruksi Gedung Perkantoran</t>
        </is>
      </c>
      <c r="N106" t="inlineStr">
        <is>
          <t>M</t>
        </is>
      </c>
      <c r="O106" t="inlineStr">
        <is>
          <t>20231113</t>
        </is>
      </c>
      <c r="P106" t="inlineStr">
        <is>
          <t>Jawa Barat</t>
        </is>
      </c>
      <c r="Q106" t="inlineStr"/>
    </row>
    <row r="107">
      <c r="A107" t="inlineStr">
        <is>
          <t>TSABIT JAYA TAMA</t>
        </is>
      </c>
      <c r="B107" t="inlineStr">
        <is>
          <t>Kota Samarinda</t>
        </is>
      </c>
      <c r="C107" t="inlineStr">
        <is>
          <t>081250383828</t>
        </is>
      </c>
      <c r="D107" t="inlineStr">
        <is>
          <t>tsabitjayatama@gmail.com</t>
        </is>
      </c>
      <c r="E107" t="inlineStr">
        <is>
          <t>https://lpjk.pu.go.id/search-badan-usaha-detail/bmZYelpkNUFsNVUvaVB6WUFsV1g0QT09</t>
        </is>
      </c>
      <c r="F107" t="n">
        <v>2</v>
      </c>
      <c r="G107" t="inlineStr">
        <is>
          <t>BG005, BS005</t>
        </is>
      </c>
      <c r="H107" t="inlineStr">
        <is>
          <t>20 September 2013</t>
        </is>
      </c>
      <c r="I107" s="2" t="n">
        <v>46339</v>
      </c>
      <c r="J107" t="inlineStr">
        <is>
          <t>Permohonan Perubahan Non Asesmen</t>
        </is>
      </c>
      <c r="K107" t="n">
        <v>60</v>
      </c>
      <c r="L107" t="inlineStr">
        <is>
          <t>13 November 2026</t>
        </is>
      </c>
      <c r="M107" t="inlineStr">
        <is>
          <t>Konstruksi Bangunan Sipil Pengolahan Air Bersih, Konstruksi Gedung Kesehatan</t>
        </is>
      </c>
      <c r="N107" t="inlineStr">
        <is>
          <t>M</t>
        </is>
      </c>
      <c r="O107" t="inlineStr">
        <is>
          <t>20231102, 20231114</t>
        </is>
      </c>
      <c r="P107" t="inlineStr">
        <is>
          <t>Kalimantan Timur</t>
        </is>
      </c>
      <c r="Q107" t="inlineStr"/>
    </row>
    <row r="108">
      <c r="A108" t="inlineStr">
        <is>
          <t>TUNAS TEHNIK SEJATI</t>
        </is>
      </c>
      <c r="B108" t="inlineStr">
        <is>
          <t>Kota Makassar</t>
        </is>
      </c>
      <c r="C108" t="inlineStr">
        <is>
          <t>085255997064</t>
        </is>
      </c>
      <c r="D108" t="inlineStr">
        <is>
          <t>tunastehniksejati01@gmail.com</t>
        </is>
      </c>
      <c r="E108" t="inlineStr">
        <is>
          <t>https://lpjk.pu.go.id/search-badan-usaha-detail/U2VxMytucFd2YjhiNHFpaUo3a1lHdz09</t>
        </is>
      </c>
      <c r="F108" t="n">
        <v>1</v>
      </c>
      <c r="G108" t="inlineStr">
        <is>
          <t>BS010</t>
        </is>
      </c>
      <c r="H108" t="inlineStr">
        <is>
          <t>22 Agustus 2006</t>
        </is>
      </c>
      <c r="I108" s="2" t="n">
        <v>46339</v>
      </c>
      <c r="J108" t="inlineStr">
        <is>
          <t>Pembekuan</t>
        </is>
      </c>
      <c r="K108" t="n">
        <v>60</v>
      </c>
      <c r="L108" t="inlineStr">
        <is>
          <t>13 November 2026</t>
        </is>
      </c>
      <c r="M108" t="inlineStr">
        <is>
          <t>Konstruksi Bangunan Prasarana Sumber Daya Air</t>
        </is>
      </c>
      <c r="N108" t="inlineStr">
        <is>
          <t>M</t>
        </is>
      </c>
      <c r="O108" t="inlineStr">
        <is>
          <t>20231106</t>
        </is>
      </c>
      <c r="P108" t="inlineStr">
        <is>
          <t>Sulawesi Selatan</t>
        </is>
      </c>
      <c r="Q108" t="inlineStr"/>
    </row>
    <row r="109">
      <c r="A109" t="inlineStr">
        <is>
          <t>UTARI PUTRI</t>
        </is>
      </c>
      <c r="B109" t="inlineStr">
        <is>
          <t>Kota Makassar</t>
        </is>
      </c>
      <c r="C109" t="inlineStr">
        <is>
          <t>082189648655</t>
        </is>
      </c>
      <c r="D109" t="inlineStr">
        <is>
          <t>cvutariputri@gmail.com</t>
        </is>
      </c>
      <c r="E109" t="inlineStr">
        <is>
          <t>https://lpjk.pu.go.id/search-badan-usaha-detail/eDhUTHY5M0FFbXo4YUdvcUt6Z0pjdz09</t>
        </is>
      </c>
      <c r="F109" t="n">
        <v>5</v>
      </c>
      <c r="G109" t="inlineStr">
        <is>
          <t>BG001, BG002, BG005, BG006, BG009</t>
        </is>
      </c>
      <c r="H109" t="inlineStr">
        <is>
          <t>28 Juli 2022</t>
        </is>
      </c>
      <c r="I109" s="2" t="n">
        <v>46339</v>
      </c>
      <c r="J109" t="inlineStr">
        <is>
          <t>Disetujui</t>
        </is>
      </c>
      <c r="K109" t="n">
        <v>60</v>
      </c>
      <c r="L109" t="inlineStr">
        <is>
          <t>13 November 2026</t>
        </is>
      </c>
      <c r="M109" t="inlineStr">
        <is>
          <t>Konstruksi Gedung Hunian, Konstruksi Gedung Kesehatan, Konstruksi Gedung Lainnya, Konstruksi Gedung Pendidikan, Konstruksi Gedung Perkantoran</t>
        </is>
      </c>
      <c r="N109" t="inlineStr">
        <is>
          <t>K</t>
        </is>
      </c>
      <c r="O109" t="inlineStr">
        <is>
          <t>20231113</t>
        </is>
      </c>
      <c r="P109" t="inlineStr">
        <is>
          <t>Sulawesi Selatan</t>
        </is>
      </c>
      <c r="Q109" t="inlineStr"/>
    </row>
    <row r="110">
      <c r="A110" t="inlineStr">
        <is>
          <t>WAHANA TIGA KONSTRUKSI</t>
        </is>
      </c>
      <c r="B110" t="inlineStr">
        <is>
          <t>Kota Kendari</t>
        </is>
      </c>
      <c r="C110" t="inlineStr">
        <is>
          <t>085397569789</t>
        </is>
      </c>
      <c r="D110" t="inlineStr">
        <is>
          <t>wahanatigakonstruksi@gmail.com</t>
        </is>
      </c>
      <c r="E110" t="inlineStr">
        <is>
          <t>https://lpjk.pu.go.id/search-badan-usaha-detail/N2NOVStwU1JjenE1SE4zNlVwVi9uQT09</t>
        </is>
      </c>
      <c r="F110" t="n">
        <v>1</v>
      </c>
      <c r="G110" t="inlineStr">
        <is>
          <t>BS005</t>
        </is>
      </c>
      <c r="H110" t="inlineStr">
        <is>
          <t>7 Februari 2023</t>
        </is>
      </c>
      <c r="I110" s="2" t="n">
        <v>46339</v>
      </c>
      <c r="J110" t="inlineStr">
        <is>
          <t>Pencabutan</t>
        </is>
      </c>
      <c r="K110" t="n">
        <v>60</v>
      </c>
      <c r="L110" t="inlineStr">
        <is>
          <t>13 November 2026</t>
        </is>
      </c>
      <c r="M110" t="inlineStr">
        <is>
          <t>Konstruksi Bangunan Sipil Pengolahan Air Bersih</t>
        </is>
      </c>
      <c r="N110" t="inlineStr">
        <is>
          <t>K</t>
        </is>
      </c>
      <c r="O110" t="inlineStr">
        <is>
          <t>20231112</t>
        </is>
      </c>
      <c r="P110" t="inlineStr">
        <is>
          <t>Sulawesi Tenggara</t>
        </is>
      </c>
      <c r="Q1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cols>
    <col width="25" customWidth="1" min="1" max="1"/>
    <col width="24" customWidth="1" min="2" max="2"/>
    <col width="14" customWidth="1" min="3" max="3"/>
    <col width="39" customWidth="1" min="4" max="4"/>
    <col width="50" customWidth="1" min="5" max="5"/>
    <col width="18" customWidth="1" min="6" max="6"/>
    <col width="28"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30" customWidth="1" min="15" max="15"/>
    <col width="18"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ANUGRAH CAHAYA ABADI</t>
        </is>
      </c>
      <c r="B2" t="inlineStr">
        <is>
          <t>Kab. Bojonegoro</t>
        </is>
      </c>
      <c r="C2" t="inlineStr">
        <is>
          <t>085231818162</t>
        </is>
      </c>
      <c r="D2" t="inlineStr">
        <is>
          <t>cvanugrahaca@gmail.com</t>
        </is>
      </c>
      <c r="E2" t="inlineStr">
        <is>
          <t>https://lpjk.pu.go.id/search-badan-usaha-detail/OTZ6RnpUSEdtcmdrTk9uUnFGSEd3Zz09</t>
        </is>
      </c>
      <c r="F2" t="n">
        <v>2</v>
      </c>
      <c r="G2" t="inlineStr">
        <is>
          <t>BG001</t>
        </is>
      </c>
      <c r="H2" t="inlineStr">
        <is>
          <t>9 November 2015</t>
        </is>
      </c>
      <c r="I2" s="2" t="n">
        <v>46309</v>
      </c>
      <c r="J2" t="inlineStr">
        <is>
          <t>Disetujui</t>
        </is>
      </c>
      <c r="K2" t="n">
        <v>30</v>
      </c>
      <c r="L2" t="inlineStr">
        <is>
          <t>14 Oktober 2026</t>
        </is>
      </c>
      <c r="M2" t="inlineStr">
        <is>
          <t>Konstruksi Gedung Hunian</t>
        </is>
      </c>
      <c r="N2" t="inlineStr">
        <is>
          <t>K</t>
        </is>
      </c>
      <c r="O2" t="inlineStr">
        <is>
          <t>20231014</t>
        </is>
      </c>
      <c r="P2" t="inlineStr">
        <is>
          <t>Jawa Timur</t>
        </is>
      </c>
      <c r="Q2" t="inlineStr"/>
    </row>
    <row r="3">
      <c r="A3" t="inlineStr">
        <is>
          <t>BALONG INSANI MAKMUR</t>
        </is>
      </c>
      <c r="B3" t="inlineStr">
        <is>
          <t>Kab. Bojonegoro</t>
        </is>
      </c>
      <c r="C3" t="inlineStr">
        <is>
          <t>085234618144</t>
        </is>
      </c>
      <c r="D3" t="inlineStr">
        <is>
          <t>cvbalonginsani@gmail.com</t>
        </is>
      </c>
      <c r="E3" t="inlineStr">
        <is>
          <t>https://lpjk.pu.go.id/search-badan-usaha-detail/cFI1dHp5RHdGNGp4VXF1YjRsdGNXdz09</t>
        </is>
      </c>
      <c r="F3" t="n">
        <v>4</v>
      </c>
      <c r="G3" t="inlineStr">
        <is>
          <t>BG001, BG005, BG006, BG009</t>
        </is>
      </c>
      <c r="H3" t="inlineStr">
        <is>
          <t>27 April 2023</t>
        </is>
      </c>
      <c r="I3" s="2" t="n">
        <v>46309</v>
      </c>
      <c r="J3" t="inlineStr">
        <is>
          <t>Disetujui</t>
        </is>
      </c>
      <c r="K3" t="n">
        <v>30</v>
      </c>
      <c r="L3" t="inlineStr">
        <is>
          <t>14 Oktober 2026</t>
        </is>
      </c>
      <c r="M3" t="inlineStr">
        <is>
          <t>Konstruksi Gedung Hunian, Konstruksi Gedung Kesehatan, Konstruksi Gedung Lainnya, Konstruksi Gedung Pendidikan</t>
        </is>
      </c>
      <c r="N3" t="inlineStr">
        <is>
          <t>K</t>
        </is>
      </c>
      <c r="O3" t="inlineStr">
        <is>
          <t>20231011, 20231014</t>
        </is>
      </c>
      <c r="P3" t="inlineStr">
        <is>
          <t>Jawa Timur</t>
        </is>
      </c>
      <c r="Q3" t="inlineStr"/>
    </row>
    <row r="4">
      <c r="A4" t="inlineStr">
        <is>
          <t>DELI KENCANA PRIMA</t>
        </is>
      </c>
      <c r="B4" t="inlineStr">
        <is>
          <t>Kota Medan</t>
        </is>
      </c>
      <c r="C4" t="inlineStr">
        <is>
          <t>081269719955</t>
        </is>
      </c>
      <c r="D4" t="inlineStr">
        <is>
          <t>delikencanap@gmail.com</t>
        </is>
      </c>
      <c r="E4" t="inlineStr">
        <is>
          <t>https://lpjk.pu.go.id/search-badan-usaha-detail/eTZHMHFtdW4rbW9sZG9VTmNwT2twQT09</t>
        </is>
      </c>
      <c r="F4" t="n">
        <v>4</v>
      </c>
      <c r="G4" t="inlineStr">
        <is>
          <t>BG006, BG009, BS005, BS006</t>
        </is>
      </c>
      <c r="H4" t="inlineStr">
        <is>
          <t>16 April 2020</t>
        </is>
      </c>
      <c r="I4" s="2" t="n">
        <v>46309</v>
      </c>
      <c r="J4" t="inlineStr">
        <is>
          <t>Disetujui</t>
        </is>
      </c>
      <c r="K4" t="n">
        <v>30</v>
      </c>
      <c r="L4" t="inlineStr">
        <is>
          <t>14 Oktober 2026</t>
        </is>
      </c>
      <c r="M4" t="inlineStr">
        <is>
          <t>Konstruksi Bangunan Sipil Pengolahan Air Bersih, Konstruksi Bangunan Sipil Prasarana dan Sarana Sistem Pengolahan Limbah Padat, Cair, dan Gas, Konstruksi Gedung Lainnya, Konstruksi Gedung Pendidikan</t>
        </is>
      </c>
      <c r="N4" t="inlineStr">
        <is>
          <t>K</t>
        </is>
      </c>
      <c r="O4" t="inlineStr">
        <is>
          <t>20231011, 20231016, 20231017</t>
        </is>
      </c>
      <c r="P4" t="inlineStr">
        <is>
          <t>Sumatera Utara</t>
        </is>
      </c>
      <c r="Q4" t="inlineStr"/>
    </row>
    <row r="5">
      <c r="A5" t="inlineStr">
        <is>
          <t>DYTA UTAMA KONSTRUKSI</t>
        </is>
      </c>
      <c r="B5" t="inlineStr">
        <is>
          <t>Kota Palu</t>
        </is>
      </c>
      <c r="C5" t="inlineStr">
        <is>
          <t>082298316221</t>
        </is>
      </c>
      <c r="D5" t="inlineStr">
        <is>
          <t>dytautamakonstruksi@gmail.com</t>
        </is>
      </c>
      <c r="E5" t="inlineStr">
        <is>
          <t>https://lpjk.pu.go.id/search-badan-usaha-detail/Y0FlN3l5a3d1UHhiTlc4NVh3MTZvUT09</t>
        </is>
      </c>
      <c r="F5" t="n">
        <v>1</v>
      </c>
      <c r="G5" t="inlineStr">
        <is>
          <t>BG009</t>
        </is>
      </c>
      <c r="H5" t="inlineStr">
        <is>
          <t>13 Mei 2023</t>
        </is>
      </c>
      <c r="I5" s="2" t="n">
        <v>46309</v>
      </c>
      <c r="J5" t="inlineStr">
        <is>
          <t>Pencabutan</t>
        </is>
      </c>
      <c r="K5" t="n">
        <v>30</v>
      </c>
      <c r="L5" t="inlineStr">
        <is>
          <t>14 Oktober 2026</t>
        </is>
      </c>
      <c r="M5" t="inlineStr">
        <is>
          <t>Konstruksi Gedung Lainnya</t>
        </is>
      </c>
      <c r="N5" t="inlineStr">
        <is>
          <t>K</t>
        </is>
      </c>
      <c r="O5" t="inlineStr">
        <is>
          <t>20231014</t>
        </is>
      </c>
      <c r="P5" t="inlineStr">
        <is>
          <t>Sulawesi Tengah</t>
        </is>
      </c>
      <c r="Q5" t="inlineStr"/>
    </row>
    <row r="6">
      <c r="A6" t="inlineStr">
        <is>
          <t>GARDA NUSANTARA MANDIRI</t>
        </is>
      </c>
      <c r="B6" t="inlineStr">
        <is>
          <t>Kota Medan</t>
        </is>
      </c>
      <c r="C6" t="inlineStr">
        <is>
          <t>081361200790</t>
        </is>
      </c>
      <c r="D6" t="inlineStr">
        <is>
          <t>ptgardanusantaramandiri2015@gmail.com</t>
        </is>
      </c>
      <c r="E6" t="inlineStr">
        <is>
          <t>https://lpjk.pu.go.id/search-badan-usaha-detail/a0JtK0VNTFFEMVhXTWhlcDBBVE41dz09</t>
        </is>
      </c>
      <c r="F6" t="n">
        <v>3</v>
      </c>
      <c r="G6" t="inlineStr">
        <is>
          <t>BS001, BS002, BS004</t>
        </is>
      </c>
      <c r="H6" t="inlineStr">
        <is>
          <t>23 Desember 2015</t>
        </is>
      </c>
      <c r="I6" s="2" t="n">
        <v>46309</v>
      </c>
      <c r="J6" t="inlineStr">
        <is>
          <t>Disetujui</t>
        </is>
      </c>
      <c r="K6" t="n">
        <v>30</v>
      </c>
      <c r="L6" t="inlineStr">
        <is>
          <t>14 Oktober 2026</t>
        </is>
      </c>
      <c r="M6" t="inlineStr">
        <is>
          <t>Bangunan Sipil Jembatan, Jalan Layang, Fly Over, dan Underpass, Konstruksi Bangunan Sipil Jalan, Konstruksi Jaringan Irigasi dan Drainase</t>
        </is>
      </c>
      <c r="N6" t="inlineStr">
        <is>
          <t>K</t>
        </is>
      </c>
      <c r="O6" t="inlineStr">
        <is>
          <t>20231013, 20231014, 20231017</t>
        </is>
      </c>
      <c r="P6" t="inlineStr">
        <is>
          <t>Sumatera Utara</t>
        </is>
      </c>
      <c r="Q6" t="inlineStr"/>
    </row>
    <row r="7">
      <c r="A7" t="inlineStr">
        <is>
          <t>GUSTI AYU BROTHER</t>
        </is>
      </c>
      <c r="B7" t="inlineStr">
        <is>
          <t>Kota Lubuk Linggau</t>
        </is>
      </c>
      <c r="C7" t="inlineStr">
        <is>
          <t>082282186073</t>
        </is>
      </c>
      <c r="D7" t="inlineStr">
        <is>
          <t>cvgustiayubrother@gmail.com</t>
        </is>
      </c>
      <c r="E7" t="inlineStr">
        <is>
          <t>https://lpjk.pu.go.id/search-badan-usaha-detail/bm9lbGJKMmhoVzJMeWtUL1lXMGJmZz09</t>
        </is>
      </c>
      <c r="F7" t="n">
        <v>3</v>
      </c>
      <c r="G7" t="inlineStr">
        <is>
          <t>BS001, BS002, BS004</t>
        </is>
      </c>
      <c r="H7" t="inlineStr">
        <is>
          <t>14 Agustus 2023</t>
        </is>
      </c>
      <c r="I7" s="2" t="n">
        <v>46309</v>
      </c>
      <c r="J7" t="inlineStr">
        <is>
          <t>Disetujui</t>
        </is>
      </c>
      <c r="K7" t="n">
        <v>30</v>
      </c>
      <c r="L7" t="inlineStr">
        <is>
          <t>14 Oktober 2026</t>
        </is>
      </c>
      <c r="M7" t="inlineStr">
        <is>
          <t>Bangunan Sipil Jembatan, Jalan Layang, Fly Over, dan Underpass, Konstruksi Bangunan Sipil Jalan, Konstruksi Jaringan Irigasi dan Drainase</t>
        </is>
      </c>
      <c r="N7" t="inlineStr">
        <is>
          <t>K</t>
        </is>
      </c>
      <c r="O7" t="inlineStr">
        <is>
          <t>20231013</t>
        </is>
      </c>
      <c r="P7" t="inlineStr">
        <is>
          <t>Sumatera Selatan</t>
        </is>
      </c>
      <c r="Q7" t="inlineStr"/>
    </row>
    <row r="8">
      <c r="A8" t="inlineStr">
        <is>
          <t>GUSTI MAJU MANDIRI</t>
        </is>
      </c>
      <c r="B8" t="inlineStr">
        <is>
          <t>Kota Lubuk Linggau</t>
        </is>
      </c>
      <c r="C8" t="inlineStr">
        <is>
          <t>082231891341</t>
        </is>
      </c>
      <c r="D8" t="inlineStr">
        <is>
          <t>cvgustimajumandiri@gmail.com</t>
        </is>
      </c>
      <c r="E8" t="inlineStr">
        <is>
          <t>https://lpjk.pu.go.id/search-badan-usaha-detail/dE5BVWI0NDVoS1R6ZHFlYVBsS3hqUT09</t>
        </is>
      </c>
      <c r="F8" t="n">
        <v>2</v>
      </c>
      <c r="G8" t="inlineStr">
        <is>
          <t>BS001, BS004</t>
        </is>
      </c>
      <c r="H8" t="inlineStr">
        <is>
          <t>15 September 2023</t>
        </is>
      </c>
      <c r="I8" s="2" t="n">
        <v>46309</v>
      </c>
      <c r="J8" t="inlineStr">
        <is>
          <t>Disetujui</t>
        </is>
      </c>
      <c r="K8" t="n">
        <v>30</v>
      </c>
      <c r="L8" t="inlineStr">
        <is>
          <t>14 Oktober 2026</t>
        </is>
      </c>
      <c r="M8" t="inlineStr">
        <is>
          <t>Konstruksi Bangunan Sipil Jalan, Konstruksi Jaringan Irigasi dan Drainase</t>
        </is>
      </c>
      <c r="N8" t="inlineStr">
        <is>
          <t>K</t>
        </is>
      </c>
      <c r="O8" t="inlineStr">
        <is>
          <t>20231012</t>
        </is>
      </c>
      <c r="P8" t="inlineStr">
        <is>
          <t>Sumatera Selatan</t>
        </is>
      </c>
      <c r="Q8" t="inlineStr"/>
    </row>
    <row r="9">
      <c r="A9" t="inlineStr">
        <is>
          <t>LINTAS NUSANTARA PERMAI</t>
        </is>
      </c>
      <c r="B9" t="inlineStr">
        <is>
          <t>Kab. Merauke</t>
        </is>
      </c>
      <c r="C9" t="inlineStr">
        <is>
          <t>085354547047</t>
        </is>
      </c>
      <c r="D9" t="inlineStr">
        <is>
          <t>lintasnusantarapermai@yahoo.com</t>
        </is>
      </c>
      <c r="E9" t="inlineStr">
        <is>
          <t>https://lpjk.pu.go.id/search-badan-usaha-detail/V3pyYWtVQkQ2Yno1T2M3Z09OcGZrQT09</t>
        </is>
      </c>
      <c r="F9" t="n">
        <v>1</v>
      </c>
      <c r="G9" t="inlineStr">
        <is>
          <t>BS010</t>
        </is>
      </c>
      <c r="H9" t="inlineStr">
        <is>
          <t>1 Oktober 2005</t>
        </is>
      </c>
      <c r="I9" s="2" t="n">
        <v>46309</v>
      </c>
      <c r="J9" t="inlineStr">
        <is>
          <t>Pembekuan</t>
        </is>
      </c>
      <c r="K9" t="n">
        <v>30</v>
      </c>
      <c r="L9" t="inlineStr">
        <is>
          <t>14 Oktober 2026</t>
        </is>
      </c>
      <c r="M9" t="inlineStr">
        <is>
          <t>Konstruksi Bangunan Prasarana Sumber Daya Air</t>
        </is>
      </c>
      <c r="N9" t="inlineStr">
        <is>
          <t>M</t>
        </is>
      </c>
      <c r="O9" t="inlineStr">
        <is>
          <t>20231013</t>
        </is>
      </c>
      <c r="P9" t="inlineStr">
        <is>
          <t>Papua Selatan</t>
        </is>
      </c>
      <c r="Q9" t="inlineStr"/>
    </row>
    <row r="10">
      <c r="A10" t="inlineStr">
        <is>
          <t>MANDIRI TORIDA</t>
        </is>
      </c>
      <c r="B10" t="inlineStr">
        <is>
          <t>Kab. Tapanuli Tengah</t>
        </is>
      </c>
      <c r="C10" t="inlineStr">
        <is>
          <t>081375933660</t>
        </is>
      </c>
      <c r="D10" t="inlineStr">
        <is>
          <t>marlinatobing17@gmail.com</t>
        </is>
      </c>
      <c r="E10" t="inlineStr">
        <is>
          <t>https://lpjk.pu.go.id/search-badan-usaha-detail/ZW5RNEd6M3lCVEJUSXBKOXpWNUNtZz09</t>
        </is>
      </c>
      <c r="F10" t="n">
        <v>2</v>
      </c>
      <c r="G10" t="inlineStr">
        <is>
          <t>BG004, BS002</t>
        </is>
      </c>
      <c r="H10" t="inlineStr">
        <is>
          <t>23 Februari 2009</t>
        </is>
      </c>
      <c r="I10" s="2" t="n">
        <v>46309</v>
      </c>
      <c r="J10" t="inlineStr">
        <is>
          <t>Disetujui</t>
        </is>
      </c>
      <c r="K10" t="n">
        <v>30</v>
      </c>
      <c r="L10" t="inlineStr">
        <is>
          <t>14 Oktober 2026</t>
        </is>
      </c>
      <c r="M10" t="inlineStr">
        <is>
          <t>Bangunan Sipil Jembatan, Jalan Layang, Fly Over, dan Underpass, Konstruksi Gedung Perbelanjaan</t>
        </is>
      </c>
      <c r="N10" t="inlineStr">
        <is>
          <t>K</t>
        </is>
      </c>
      <c r="O10" t="inlineStr">
        <is>
          <t>20231014</t>
        </is>
      </c>
      <c r="P10" t="inlineStr">
        <is>
          <t>Sumatera Utara</t>
        </is>
      </c>
      <c r="Q10" t="inlineStr"/>
    </row>
    <row r="11">
      <c r="A11" t="inlineStr">
        <is>
          <t>MEGATRON MULTI KARYA</t>
        </is>
      </c>
      <c r="B11" t="inlineStr">
        <is>
          <t>Kab. Melawi</t>
        </is>
      </c>
      <c r="C11" t="inlineStr">
        <is>
          <t>082158467717</t>
        </is>
      </c>
      <c r="D11" t="inlineStr">
        <is>
          <t>megatronmultikarya.cv@gmail.com</t>
        </is>
      </c>
      <c r="E11" t="inlineStr">
        <is>
          <t>https://lpjk.pu.go.id/search-badan-usaha-detail/amxMT1lhbFlySFZseHlhcVA4cDJHdz09</t>
        </is>
      </c>
      <c r="F11" t="n">
        <v>1</v>
      </c>
      <c r="G11" t="inlineStr">
        <is>
          <t>BS001</t>
        </is>
      </c>
      <c r="H11" t="inlineStr">
        <is>
          <t>1 April 2020</t>
        </is>
      </c>
      <c r="I11" s="2" t="n">
        <v>46309</v>
      </c>
      <c r="J11" t="inlineStr">
        <is>
          <t>Disetujui</t>
        </is>
      </c>
      <c r="K11" t="n">
        <v>30</v>
      </c>
      <c r="L11" t="inlineStr">
        <is>
          <t>14 Oktober 2026</t>
        </is>
      </c>
      <c r="M11" t="inlineStr">
        <is>
          <t>Konstruksi Bangunan Sipil Jalan</t>
        </is>
      </c>
      <c r="N11" t="inlineStr">
        <is>
          <t>K</t>
        </is>
      </c>
      <c r="O11" t="inlineStr">
        <is>
          <t>20231014</t>
        </is>
      </c>
      <c r="P11" t="inlineStr">
        <is>
          <t>Kalimantan Barat</t>
        </is>
      </c>
      <c r="Q11" t="inlineStr"/>
    </row>
    <row r="12">
      <c r="A12" t="inlineStr">
        <is>
          <t>MUHAMMAD ARIL JAYA</t>
        </is>
      </c>
      <c r="B12" t="inlineStr">
        <is>
          <t>Kab. Kutai Kartanegara</t>
        </is>
      </c>
      <c r="C12" t="inlineStr">
        <is>
          <t>08125345584</t>
        </is>
      </c>
      <c r="D12" t="inlineStr">
        <is>
          <t>mariljaya.cv@gmail.com</t>
        </is>
      </c>
      <c r="E12" t="inlineStr">
        <is>
          <t>https://lpjk.pu.go.id/search-badan-usaha-detail/NThqVjBnc0cwWVpoL2VCUXBXNU84UT09</t>
        </is>
      </c>
      <c r="F12" t="n">
        <v>2</v>
      </c>
      <c r="G12" t="inlineStr">
        <is>
          <t>BS001, BS004</t>
        </is>
      </c>
      <c r="H12" t="inlineStr">
        <is>
          <t>2 Juli 2020</t>
        </is>
      </c>
      <c r="I12" s="2" t="n">
        <v>46309</v>
      </c>
      <c r="J12" t="inlineStr">
        <is>
          <t>Disetujui</t>
        </is>
      </c>
      <c r="K12" t="n">
        <v>30</v>
      </c>
      <c r="L12" t="inlineStr">
        <is>
          <t>14 Oktober 2026</t>
        </is>
      </c>
      <c r="M12" t="inlineStr">
        <is>
          <t>Konstruksi Bangunan Sipil Jalan, Konstruksi Jaringan Irigasi dan Drainase</t>
        </is>
      </c>
      <c r="N12" t="inlineStr">
        <is>
          <t>K</t>
        </is>
      </c>
      <c r="O12" t="inlineStr">
        <is>
          <t>20231013</t>
        </is>
      </c>
      <c r="P12" t="inlineStr">
        <is>
          <t>Kalimantan Timur</t>
        </is>
      </c>
      <c r="Q12" t="inlineStr"/>
    </row>
    <row r="13">
      <c r="A13" t="inlineStr">
        <is>
          <t>NATAMA KARYA JAYA</t>
        </is>
      </c>
      <c r="B13" t="inlineStr">
        <is>
          <t>Kota Medan</t>
        </is>
      </c>
      <c r="C13" t="inlineStr">
        <is>
          <t>0617861651</t>
        </is>
      </c>
      <c r="D13" t="inlineStr">
        <is>
          <t>natamakaryajaya@gmail.com</t>
        </is>
      </c>
      <c r="E13" t="inlineStr">
        <is>
          <t>https://lpjk.pu.go.id/search-badan-usaha-detail/V2d0N2RnZGp4U3AvR1kxMFBFSFZYUT09</t>
        </is>
      </c>
      <c r="F13" t="n">
        <v>1</v>
      </c>
      <c r="G13" t="inlineStr">
        <is>
          <t>BS004</t>
        </is>
      </c>
      <c r="H13" t="inlineStr">
        <is>
          <t>13 April 2007</t>
        </is>
      </c>
      <c r="I13" s="2" t="n">
        <v>46309</v>
      </c>
      <c r="J13" t="inlineStr">
        <is>
          <t>Pembekuan</t>
        </is>
      </c>
      <c r="K13" t="n">
        <v>30</v>
      </c>
      <c r="L13" t="inlineStr">
        <is>
          <t>14 Oktober 2026</t>
        </is>
      </c>
      <c r="M13" t="inlineStr">
        <is>
          <t>Konstruksi Jaringan Irigasi dan Drainase</t>
        </is>
      </c>
      <c r="N13" t="inlineStr">
        <is>
          <t>M</t>
        </is>
      </c>
      <c r="O13" t="inlineStr">
        <is>
          <t>20231013</t>
        </is>
      </c>
      <c r="P13" t="inlineStr">
        <is>
          <t>Sumatera Utara</t>
        </is>
      </c>
      <c r="Q13" t="inlineStr"/>
    </row>
    <row r="14">
      <c r="A14" t="inlineStr">
        <is>
          <t>PUTRA PHOENNA</t>
        </is>
      </c>
      <c r="B14" t="inlineStr">
        <is>
          <t>Kab. Aceh Timur</t>
        </is>
      </c>
      <c r="C14" t="inlineStr">
        <is>
          <t>085277608843</t>
        </is>
      </c>
      <c r="D14" t="inlineStr">
        <is>
          <t>cvputraphoenna@yahoo.com</t>
        </is>
      </c>
      <c r="E14" t="inlineStr">
        <is>
          <t>https://lpjk.pu.go.id/search-badan-usaha-detail/L2haSTlISGI0RjNuZ09ISk90RzhPZz09</t>
        </is>
      </c>
      <c r="F14" t="n">
        <v>1</v>
      </c>
      <c r="G14" t="inlineStr">
        <is>
          <t>BG006</t>
        </is>
      </c>
      <c r="H14" t="inlineStr">
        <is>
          <t>28 Juli 2020</t>
        </is>
      </c>
      <c r="I14" s="2" t="n">
        <v>46309</v>
      </c>
      <c r="J14" t="inlineStr">
        <is>
          <t>Disetujui</t>
        </is>
      </c>
      <c r="K14" t="n">
        <v>30</v>
      </c>
      <c r="L14" t="inlineStr">
        <is>
          <t>14 Oktober 2026</t>
        </is>
      </c>
      <c r="M14" t="inlineStr">
        <is>
          <t>Konstruksi Gedung Pendidikan</t>
        </is>
      </c>
      <c r="N14" t="inlineStr">
        <is>
          <t>K</t>
        </is>
      </c>
      <c r="O14" t="inlineStr">
        <is>
          <t>20231008</t>
        </is>
      </c>
      <c r="P14" t="inlineStr">
        <is>
          <t>Aceh</t>
        </is>
      </c>
      <c r="Q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2026-09-14T02:56:24Z</dcterms:created>
  <dcterms:modified xsi:type="dcterms:W3CDTF">2026-09-14T02:56:24Z</dcterms:modified>
</cp:coreProperties>
</file>