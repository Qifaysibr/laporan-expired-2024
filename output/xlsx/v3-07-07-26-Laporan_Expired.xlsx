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
  <sheetViews>
    <sheetView workbookViewId="0">
      <selection activeCell="A1" sqref="A1"/>
    </sheetView>
  </sheetViews>
  <sheetFormatPr baseColWidth="8" defaultRowHeight="15"/>
  <cols>
    <col width="32"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 MAKAYASA RAYA</t>
        </is>
      </c>
      <c r="B2" t="inlineStr">
        <is>
          <t>Kota Bekasi</t>
        </is>
      </c>
      <c r="C2" t="inlineStr">
        <is>
          <t>02122818071</t>
        </is>
      </c>
      <c r="D2" t="inlineStr">
        <is>
          <t>pt.adhimakayasaraya@gmail.com</t>
        </is>
      </c>
      <c r="E2" t="inlineStr">
        <is>
          <t>https://lpjk.pu.go.id/search-badan-usaha-detail/d21EUFFIdlI5L3BuK3EwWmdEK1NMdz09</t>
        </is>
      </c>
      <c r="F2" t="n">
        <v>3</v>
      </c>
      <c r="G2" t="inlineStr">
        <is>
          <t>BG002, BG006, BG009</t>
        </is>
      </c>
      <c r="H2" t="inlineStr">
        <is>
          <t>19 Juli 2017</t>
        </is>
      </c>
      <c r="I2" s="2" t="n">
        <v>46300</v>
      </c>
      <c r="J2" t="inlineStr">
        <is>
          <t>Disetujui</t>
        </is>
      </c>
      <c r="K2" t="n">
        <v>90</v>
      </c>
      <c r="L2" t="inlineStr">
        <is>
          <t>5 Oktober 2026</t>
        </is>
      </c>
      <c r="M2" t="inlineStr">
        <is>
          <t>Konstruksi Gedung Lainnya, Konstruksi Gedung Pendidikan, Konstruksi Gedung Perkantoran</t>
        </is>
      </c>
      <c r="N2" t="inlineStr">
        <is>
          <t>K</t>
        </is>
      </c>
      <c r="O2" t="inlineStr">
        <is>
          <t>20231006</t>
        </is>
      </c>
      <c r="P2" t="inlineStr">
        <is>
          <t>Jawa Barat</t>
        </is>
      </c>
      <c r="Q2" t="inlineStr"/>
    </row>
    <row r="3">
      <c r="A3" t="inlineStr">
        <is>
          <t>CAHAYA BUANA KONSTRUKSI</t>
        </is>
      </c>
      <c r="B3" t="inlineStr">
        <is>
          <t>Kab. Bekasi</t>
        </is>
      </c>
      <c r="C3" t="inlineStr">
        <is>
          <t>081228730999</t>
        </is>
      </c>
      <c r="D3" t="inlineStr">
        <is>
          <t>cv.cahayabuanakonstruksi@gmail.com</t>
        </is>
      </c>
      <c r="E3" t="inlineStr">
        <is>
          <t>https://lpjk.pu.go.id/search-badan-usaha-detail/Qm1CSE5INm5Vb0JCRDVlTktyU29tUT09</t>
        </is>
      </c>
      <c r="F3" t="n">
        <v>2</v>
      </c>
      <c r="G3" t="inlineStr">
        <is>
          <t>BS001, BS002</t>
        </is>
      </c>
      <c r="H3" t="inlineStr">
        <is>
          <t>25 Februari 2022</t>
        </is>
      </c>
      <c r="I3" s="2" t="n">
        <v>46300</v>
      </c>
      <c r="J3" t="inlineStr">
        <is>
          <t>Disetujui</t>
        </is>
      </c>
      <c r="K3" t="n">
        <v>90</v>
      </c>
      <c r="L3" t="inlineStr">
        <is>
          <t>5 Oktober 2026</t>
        </is>
      </c>
      <c r="M3" t="inlineStr">
        <is>
          <t>Bangunan Sipil Jembatan, Jalan Layang, Fly Over, dan Underpass, Konstruksi Bangunan Sipil Jalan</t>
        </is>
      </c>
      <c r="N3" t="inlineStr">
        <is>
          <t>K</t>
        </is>
      </c>
      <c r="O3" t="inlineStr">
        <is>
          <t>20231005</t>
        </is>
      </c>
      <c r="P3" t="inlineStr">
        <is>
          <t>Jawa Barat</t>
        </is>
      </c>
      <c r="Q3" s="3">
        <f>HYPERLINK("https://wa.me/6281228730999?text=Selamat siang Bapak/Ibu pimpinan CAHAYA BUANA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GALIH RAHAYU SENTOSA</t>
        </is>
      </c>
      <c r="B4" t="inlineStr">
        <is>
          <t>Kota Adm. Jakarta Timur</t>
        </is>
      </c>
      <c r="C4" t="inlineStr">
        <is>
          <t>08128123358</t>
        </is>
      </c>
      <c r="D4" t="inlineStr">
        <is>
          <t>grs_pt@yahoo.com</t>
        </is>
      </c>
      <c r="E4" t="inlineStr">
        <is>
          <t>https://lpjk.pu.go.id/search-badan-usaha-detail/bFNjVE5zZEFnUyswSGtkUFVzblM3Zz09</t>
        </is>
      </c>
      <c r="F4" t="n">
        <v>2</v>
      </c>
      <c r="G4" t="inlineStr">
        <is>
          <t>BG001</t>
        </is>
      </c>
      <c r="H4" t="inlineStr">
        <is>
          <t>22 Agustus 2009</t>
        </is>
      </c>
      <c r="I4" s="2" t="n">
        <v>46300</v>
      </c>
      <c r="J4" t="inlineStr">
        <is>
          <t>Pembekuan</t>
        </is>
      </c>
      <c r="K4" t="n">
        <v>90</v>
      </c>
      <c r="L4" t="inlineStr">
        <is>
          <t>5 Oktober 2026</t>
        </is>
      </c>
      <c r="M4" t="inlineStr">
        <is>
          <t>Konstruksi Gedung Hunian</t>
        </is>
      </c>
      <c r="N4" t="inlineStr">
        <is>
          <t>M</t>
        </is>
      </c>
      <c r="O4" t="inlineStr">
        <is>
          <t>20231004</t>
        </is>
      </c>
      <c r="P4" t="inlineStr">
        <is>
          <t>DKI Jakarta</t>
        </is>
      </c>
      <c r="Q4" s="3">
        <f>HYPERLINK("https://wa.me/628128123358?text=Selamat siang Bapak/Ibu pimpinan GALIH RAHAYU SENTOSA,%0A%0ASemoga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GODAM SOLUSI INDONESIA</t>
        </is>
      </c>
      <c r="B5" t="inlineStr">
        <is>
          <t>Kota Adm. Jakarta Timur</t>
        </is>
      </c>
      <c r="C5" t="inlineStr">
        <is>
          <t>0811907272</t>
        </is>
      </c>
      <c r="D5" t="inlineStr">
        <is>
          <t>halo@godamsolusi.co.id</t>
        </is>
      </c>
      <c r="E5" t="inlineStr">
        <is>
          <t>https://lpjk.pu.go.id/search-badan-usaha-detail/aTBCRjhyMmpKN3dGYlJ3SVVTU1ZPdz09</t>
        </is>
      </c>
      <c r="F5" t="n">
        <v>1</v>
      </c>
      <c r="G5" t="inlineStr">
        <is>
          <t>BS001</t>
        </is>
      </c>
      <c r="H5" t="inlineStr">
        <is>
          <t>21 Maret 2023</t>
        </is>
      </c>
      <c r="I5" s="2" t="n">
        <v>46300</v>
      </c>
      <c r="J5" t="inlineStr">
        <is>
          <t>Disetujui</t>
        </is>
      </c>
      <c r="K5" t="n">
        <v>90</v>
      </c>
      <c r="L5" t="inlineStr">
        <is>
          <t>5 Oktober 2026</t>
        </is>
      </c>
      <c r="M5" t="inlineStr">
        <is>
          <t>Konstruksi Bangunan Sipil Jalan</t>
        </is>
      </c>
      <c r="N5" t="inlineStr">
        <is>
          <t>B</t>
        </is>
      </c>
      <c r="O5" t="inlineStr">
        <is>
          <t>20231003</t>
        </is>
      </c>
      <c r="P5" t="inlineStr">
        <is>
          <t>DKI Jakarta</t>
        </is>
      </c>
      <c r="Q5" s="3">
        <f>HYPERLINK("https://wa.me/62811907272?text=Selamat siang Bapak/Ibu pimpinan GODAM SOLUSI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HUTAMA CITRA ESTETIKA</t>
        </is>
      </c>
      <c r="B6" t="inlineStr">
        <is>
          <t>Kab. Bogor</t>
        </is>
      </c>
      <c r="C6" t="inlineStr">
        <is>
          <t>082299451856</t>
        </is>
      </c>
      <c r="D6" t="inlineStr">
        <is>
          <t>pt.hutamacitra@gmail.com</t>
        </is>
      </c>
      <c r="E6" t="inlineStr">
        <is>
          <t>https://lpjk.pu.go.id/search-badan-usaha-detail/blYyRDFHSkVhYTkrQTMxNHk3TkZTQT09</t>
        </is>
      </c>
      <c r="F6" t="n">
        <v>2</v>
      </c>
      <c r="G6" t="inlineStr">
        <is>
          <t>BG006</t>
        </is>
      </c>
      <c r="H6" t="inlineStr">
        <is>
          <t>30 Januari 2023</t>
        </is>
      </c>
      <c r="I6" s="2" t="n">
        <v>46300</v>
      </c>
      <c r="J6" t="inlineStr">
        <is>
          <t>Disetujui</t>
        </is>
      </c>
      <c r="K6" t="n">
        <v>90</v>
      </c>
      <c r="L6" t="inlineStr">
        <is>
          <t>5 Oktober 2026</t>
        </is>
      </c>
      <c r="M6" t="inlineStr">
        <is>
          <t>Konstruksi Gedung Pendidikan</t>
        </is>
      </c>
      <c r="N6" t="inlineStr">
        <is>
          <t>K</t>
        </is>
      </c>
      <c r="O6" t="inlineStr">
        <is>
          <t>20230901</t>
        </is>
      </c>
      <c r="P6" t="inlineStr">
        <is>
          <t>Jawa Barat</t>
        </is>
      </c>
      <c r="Q6" s="3">
        <f>HYPERLINK("https://wa.me/6282299451856?text=Selamat siang Bapak/Ibu pimpinan HUTAMA CITRA ESTETIKA,%0A%0ASemoga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KARTIKA TEKNIK ABADI</t>
        </is>
      </c>
      <c r="B7" t="inlineStr">
        <is>
          <t>Kota Depok</t>
        </is>
      </c>
      <c r="C7" t="inlineStr">
        <is>
          <t>021</t>
        </is>
      </c>
      <c r="D7" t="inlineStr">
        <is>
          <t>teknikkartika166@gmail.com</t>
        </is>
      </c>
      <c r="E7" t="inlineStr">
        <is>
          <t>https://lpjk.pu.go.id/search-badan-usaha-detail/dkRINVVGMmdGZTNSaVpGdElqYXdwUT09</t>
        </is>
      </c>
      <c r="F7" t="n">
        <v>1</v>
      </c>
      <c r="G7" t="inlineStr">
        <is>
          <t>BG009</t>
        </is>
      </c>
      <c r="H7" t="inlineStr">
        <is>
          <t>22 Juni 2012</t>
        </is>
      </c>
      <c r="I7" s="2" t="n">
        <v>46300</v>
      </c>
      <c r="J7" t="inlineStr">
        <is>
          <t>Pencabutan</t>
        </is>
      </c>
      <c r="K7" t="n">
        <v>90</v>
      </c>
      <c r="L7" t="inlineStr">
        <is>
          <t>5 Oktober 2026</t>
        </is>
      </c>
      <c r="M7" t="inlineStr">
        <is>
          <t>Konstruksi Gedung Lainnya</t>
        </is>
      </c>
      <c r="N7" t="inlineStr">
        <is>
          <t>K</t>
        </is>
      </c>
      <c r="O7" t="inlineStr">
        <is>
          <t>20230919</t>
        </is>
      </c>
      <c r="P7" t="inlineStr">
        <is>
          <t>Jawa Barat</t>
        </is>
      </c>
      <c r="Q7" t="inlineStr"/>
    </row>
    <row r="8">
      <c r="A8" t="inlineStr">
        <is>
          <t>KARUNIA MEGAH WISESA</t>
        </is>
      </c>
      <c r="B8" t="inlineStr">
        <is>
          <t>Kab. Bogor</t>
        </is>
      </c>
      <c r="C8" t="inlineStr">
        <is>
          <t>0</t>
        </is>
      </c>
      <c r="D8" t="inlineStr">
        <is>
          <t>kmw.beton@gmail.com</t>
        </is>
      </c>
      <c r="E8" t="inlineStr">
        <is>
          <t>https://lpjk.pu.go.id/search-badan-usaha-detail/eHRib2NjWmFUVlRpVXJkL0ZQOXFadz09</t>
        </is>
      </c>
      <c r="F8" t="n">
        <v>1</v>
      </c>
      <c r="G8" t="inlineStr">
        <is>
          <t>BG001</t>
        </is>
      </c>
      <c r="H8" t="inlineStr">
        <is>
          <t>16 Maret 2023</t>
        </is>
      </c>
      <c r="I8" s="2" t="n">
        <v>46300</v>
      </c>
      <c r="J8" t="inlineStr">
        <is>
          <t>Disetujui</t>
        </is>
      </c>
      <c r="K8" t="n">
        <v>90</v>
      </c>
      <c r="L8" t="inlineStr">
        <is>
          <t>5 Oktober 2026</t>
        </is>
      </c>
      <c r="M8" t="inlineStr">
        <is>
          <t>Konstruksi Gedung Hunian</t>
        </is>
      </c>
      <c r="N8" t="inlineStr">
        <is>
          <t>K</t>
        </is>
      </c>
      <c r="O8" t="inlineStr">
        <is>
          <t>20230918</t>
        </is>
      </c>
      <c r="P8" t="inlineStr">
        <is>
          <t>Jawa Barat</t>
        </is>
      </c>
      <c r="Q8" s="3">
        <f>HYPERLINK("https://wa.me/62?text=Selamat siang Bapak/Ibu pimpinan KARUNIA MEGAH WISESA,%0A%0ASemoga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LENTERA AMARTA BHUMI</t>
        </is>
      </c>
      <c r="B9" t="inlineStr">
        <is>
          <t>Kota Bekasi</t>
        </is>
      </c>
      <c r="C9" t="inlineStr">
        <is>
          <t>081319450920</t>
        </is>
      </c>
      <c r="D9" t="inlineStr">
        <is>
          <t>lenteraamartabhumi.pt@gmail.com</t>
        </is>
      </c>
      <c r="E9" t="inlineStr">
        <is>
          <t>https://lpjk.pu.go.id/search-badan-usaha-detail/SzNJQllqazdHK1VTL2pRVWJ1REYyZz09</t>
        </is>
      </c>
      <c r="F9" t="n">
        <v>4</v>
      </c>
      <c r="G9" t="inlineStr">
        <is>
          <t>BG002, BG003, BG006, BG009</t>
        </is>
      </c>
      <c r="H9" t="inlineStr">
        <is>
          <t>11 Februari 2020</t>
        </is>
      </c>
      <c r="I9" s="2" t="n">
        <v>46300</v>
      </c>
      <c r="J9" t="inlineStr">
        <is>
          <t>Disetujui</t>
        </is>
      </c>
      <c r="K9" t="n">
        <v>90</v>
      </c>
      <c r="L9" t="inlineStr">
        <is>
          <t>5 Oktober 2026</t>
        </is>
      </c>
      <c r="M9" t="inlineStr">
        <is>
          <t>Konstruksi Gedung Industri, Konstruksi Gedung Lainnya, Konstruksi Gedung Pendidikan, Konstruksi Gedung Perkantoran</t>
        </is>
      </c>
      <c r="N9" t="inlineStr">
        <is>
          <t>K</t>
        </is>
      </c>
      <c r="O9" t="inlineStr">
        <is>
          <t>20231005</t>
        </is>
      </c>
      <c r="P9" t="inlineStr">
        <is>
          <t>Jawa Barat</t>
        </is>
      </c>
      <c r="Q9" s="3">
        <f>HYPERLINK("https://wa.me/6281319450920?text=Selamat siang Bapak/Ibu pimpinan LENTERA AMARTA BHUMI,%0A%0ASemoga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MADUMASAKTI LESTARI</t>
        </is>
      </c>
      <c r="B10" t="inlineStr">
        <is>
          <t>Kota Adm. Jakarta Timur</t>
        </is>
      </c>
      <c r="C10" t="inlineStr">
        <is>
          <t>08129093729</t>
        </is>
      </c>
      <c r="D10" t="inlineStr">
        <is>
          <t>ptmadumasaktilestari@yahoo.co.id</t>
        </is>
      </c>
      <c r="E10" t="inlineStr">
        <is>
          <t>https://lpjk.pu.go.id/search-badan-usaha-detail/MEpvVDlrbEY4SzZQNVFESjU2cXg2Zz09</t>
        </is>
      </c>
      <c r="F10" t="n">
        <v>2</v>
      </c>
      <c r="G10" t="inlineStr">
        <is>
          <t>BS004</t>
        </is>
      </c>
      <c r="H10" t="inlineStr">
        <is>
          <t>4 Maret 1989</t>
        </is>
      </c>
      <c r="I10" s="2" t="n">
        <v>46300</v>
      </c>
      <c r="J10" t="inlineStr">
        <is>
          <t>Disetujui</t>
        </is>
      </c>
      <c r="K10" t="n">
        <v>90</v>
      </c>
      <c r="L10" t="inlineStr">
        <is>
          <t>5 Oktober 2026</t>
        </is>
      </c>
      <c r="M10" t="inlineStr">
        <is>
          <t>Konstruksi Jaringan Irigasi dan Drainase</t>
        </is>
      </c>
      <c r="N10" t="inlineStr">
        <is>
          <t>K</t>
        </is>
      </c>
      <c r="O10" t="inlineStr">
        <is>
          <t>20231002</t>
        </is>
      </c>
      <c r="P10" t="inlineStr">
        <is>
          <t>DKI Jakarta</t>
        </is>
      </c>
      <c r="Q10" s="3">
        <f>HYPERLINK("https://wa.me/628129093729?text=Selamat siang Bapak/Ibu pimpinan MADUMASAKTI LESTARI,%0A%0ASemoga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MANDALA RAYA</t>
        </is>
      </c>
      <c r="B11" t="inlineStr">
        <is>
          <t>Kota Bogor</t>
        </is>
      </c>
      <c r="C11" t="inlineStr">
        <is>
          <t>081288222245</t>
        </is>
      </c>
      <c r="D11" t="inlineStr">
        <is>
          <t>cvmandalaraya@gmail.com</t>
        </is>
      </c>
      <c r="E11" t="inlineStr">
        <is>
          <t>https://lpjk.pu.go.id/search-badan-usaha-detail/SXB6bGtMcExnNDRNUmU2QmxLbzJ5UT09</t>
        </is>
      </c>
      <c r="F11" t="n">
        <v>2</v>
      </c>
      <c r="G11" t="inlineStr">
        <is>
          <t>BG009</t>
        </is>
      </c>
      <c r="H11" t="inlineStr">
        <is>
          <t>6 Oktober 2010</t>
        </is>
      </c>
      <c r="I11" s="2" t="n">
        <v>46300</v>
      </c>
      <c r="J11" t="inlineStr">
        <is>
          <t>Disetujui</t>
        </is>
      </c>
      <c r="K11" t="n">
        <v>90</v>
      </c>
      <c r="L11" t="inlineStr">
        <is>
          <t>5 Oktober 2026</t>
        </is>
      </c>
      <c r="M11" t="inlineStr">
        <is>
          <t>Konstruksi Gedung Lainnya</t>
        </is>
      </c>
      <c r="N11" t="inlineStr">
        <is>
          <t>K</t>
        </is>
      </c>
      <c r="O11" t="inlineStr">
        <is>
          <t>20231004</t>
        </is>
      </c>
      <c r="P11" t="inlineStr">
        <is>
          <t>Jawa Barat</t>
        </is>
      </c>
      <c r="Q11" s="3">
        <f>HYPERLINK("https://wa.me/6281288222245?text=Selamat siang Bapak/Ibu pimpinan MANDALA RAYA,%0A%0ASemoga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MARGA JAYA</t>
        </is>
      </c>
      <c r="B12" t="inlineStr">
        <is>
          <t>Kota Bogor</t>
        </is>
      </c>
      <c r="C12" t="inlineStr">
        <is>
          <t>02518320867</t>
        </is>
      </c>
      <c r="D12" t="inlineStr">
        <is>
          <t>cvmarga_jaya@yahoo.com</t>
        </is>
      </c>
      <c r="E12" t="inlineStr">
        <is>
          <t>https://lpjk.pu.go.id/search-badan-usaha-detail/Ym1TRStVMkdZMFhVKzF4R0lmdXBnQT09</t>
        </is>
      </c>
      <c r="F12" t="n">
        <v>2</v>
      </c>
      <c r="G12" t="inlineStr">
        <is>
          <t>RK001, RK002</t>
        </is>
      </c>
      <c r="H12" t="inlineStr">
        <is>
          <t>25 Maret 2002</t>
        </is>
      </c>
      <c r="I12" s="2" t="n">
        <v>46300</v>
      </c>
      <c r="J12" t="inlineStr">
        <is>
          <t>Disetujui</t>
        </is>
      </c>
      <c r="K12" t="n">
        <v>90</v>
      </c>
      <c r="L12" t="inlineStr">
        <is>
          <t>5 Oktober 2026</t>
        </is>
      </c>
      <c r="M12" t="inlineStr">
        <is>
          <t>Jasa Rekayasa Konstruksi Bangunan Gedung Hunian dan Non Hunian, Jasa Rekayasa Pekerjaan Teknik Sipil Sumber Daya Air</t>
        </is>
      </c>
      <c r="N12" t="inlineStr">
        <is>
          <t>K</t>
        </is>
      </c>
      <c r="O12" t="inlineStr">
        <is>
          <t>20230928</t>
        </is>
      </c>
      <c r="P12" t="inlineStr">
        <is>
          <t>Jawa Barat</t>
        </is>
      </c>
      <c r="Q12" s="3">
        <f>HYPERLINK("https://wa.me/622518320867?text=Selamat siang Bapak/Ibu pimpinan MARGA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MITRA GIRI AGUNG</t>
        </is>
      </c>
      <c r="B13" t="inlineStr">
        <is>
          <t>Kota Adm. Jakarta Timur</t>
        </is>
      </c>
      <c r="C13" t="inlineStr">
        <is>
          <t>08129306370</t>
        </is>
      </c>
      <c r="D13" t="inlineStr">
        <is>
          <t>mitragiriagung@yahoo.co.id</t>
        </is>
      </c>
      <c r="E13" t="inlineStr">
        <is>
          <t>https://lpjk.pu.go.id/search-badan-usaha-detail/NVA1Qmw0YmRsTUh6V0U4UGNrTnd6Zz09</t>
        </is>
      </c>
      <c r="F13" t="n">
        <v>1</v>
      </c>
      <c r="G13" t="inlineStr">
        <is>
          <t>BG001</t>
        </is>
      </c>
      <c r="H13" t="inlineStr">
        <is>
          <t>30 November 2011</t>
        </is>
      </c>
      <c r="I13" s="2" t="n">
        <v>46300</v>
      </c>
      <c r="J13" t="inlineStr">
        <is>
          <t>Disetujui</t>
        </is>
      </c>
      <c r="K13" t="n">
        <v>90</v>
      </c>
      <c r="L13" t="inlineStr">
        <is>
          <t>5 Oktober 2026</t>
        </is>
      </c>
      <c r="M13" t="inlineStr">
        <is>
          <t>Konstruksi Gedung Hunian</t>
        </is>
      </c>
      <c r="N13" t="inlineStr">
        <is>
          <t>K</t>
        </is>
      </c>
      <c r="O13" t="inlineStr">
        <is>
          <t>20230818</t>
        </is>
      </c>
      <c r="P13" t="inlineStr">
        <is>
          <t>DKI Jakarta</t>
        </is>
      </c>
      <c r="Q13" s="3">
        <f>HYPERLINK("https://wa.me/628129306370?text=Selamat siang Bapak/Ibu pimpinan MITRA GIRI AGUNG,%0A%0ASemoga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PARDETEX</t>
        </is>
      </c>
      <c r="B14" t="inlineStr">
        <is>
          <t>Kota Depok</t>
        </is>
      </c>
      <c r="C14" t="inlineStr">
        <is>
          <t>085283638505</t>
        </is>
      </c>
      <c r="D14" t="inlineStr">
        <is>
          <t>cv.pardetex@ymail.com</t>
        </is>
      </c>
      <c r="E14" t="inlineStr">
        <is>
          <t>https://lpjk.pu.go.id/search-badan-usaha-detail/RGtpNlN0MzgyTE1qK0ZOeVdGVjFwUT09</t>
        </is>
      </c>
      <c r="F14" t="n">
        <v>2</v>
      </c>
      <c r="G14" t="inlineStr">
        <is>
          <t>BS001, BS004</t>
        </is>
      </c>
      <c r="H14" t="inlineStr">
        <is>
          <t>23 Oktober 2012</t>
        </is>
      </c>
      <c r="I14" s="2" t="n">
        <v>46300</v>
      </c>
      <c r="J14" t="inlineStr">
        <is>
          <t>Disetujui</t>
        </is>
      </c>
      <c r="K14" t="n">
        <v>90</v>
      </c>
      <c r="L14" t="inlineStr">
        <is>
          <t>5 Oktober 2026</t>
        </is>
      </c>
      <c r="M14" t="inlineStr">
        <is>
          <t>Konstruksi Bangunan Sipil Jalan, Konstruksi Jaringan Irigasi dan Drainase</t>
        </is>
      </c>
      <c r="N14" t="inlineStr">
        <is>
          <t>K</t>
        </is>
      </c>
      <c r="O14" t="inlineStr">
        <is>
          <t>20230929</t>
        </is>
      </c>
      <c r="P14" t="inlineStr">
        <is>
          <t>Jawa Barat</t>
        </is>
      </c>
      <c r="Q14" s="3">
        <f>HYPERLINK("https://wa.me/6285283638505?text=Selamat siang Bapak/Ibu pimpinan PARDETEX,%0A%0ASemoga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PRIMA BERLIAN BERSAMA</t>
        </is>
      </c>
      <c r="B15" t="inlineStr">
        <is>
          <t>Kota Adm. Jakarta Timur</t>
        </is>
      </c>
      <c r="C15" t="inlineStr">
        <is>
          <t>082114041677</t>
        </is>
      </c>
      <c r="D15" t="inlineStr">
        <is>
          <t>primaberlianbersama@gmail.com</t>
        </is>
      </c>
      <c r="E15" t="inlineStr">
        <is>
          <t>https://lpjk.pu.go.id/search-badan-usaha-detail/am14dTkxWUxOS3dQa0RLZnI5dnhMQT09</t>
        </is>
      </c>
      <c r="F15" t="n">
        <v>1</v>
      </c>
      <c r="G15" t="inlineStr">
        <is>
          <t>BS004</t>
        </is>
      </c>
      <c r="H15" t="inlineStr">
        <is>
          <t>15 Desember 2022</t>
        </is>
      </c>
      <c r="I15" s="2" t="n">
        <v>46300</v>
      </c>
      <c r="J15" t="inlineStr">
        <is>
          <t>Disetujui</t>
        </is>
      </c>
      <c r="K15" t="n">
        <v>90</v>
      </c>
      <c r="L15" t="inlineStr">
        <is>
          <t>5 Oktober 2026</t>
        </is>
      </c>
      <c r="M15" t="inlineStr">
        <is>
          <t>Konstruksi Jaringan Irigasi dan Drainase</t>
        </is>
      </c>
      <c r="N15" t="inlineStr">
        <is>
          <t>K</t>
        </is>
      </c>
      <c r="O15" t="inlineStr">
        <is>
          <t>20231003</t>
        </is>
      </c>
      <c r="P15" t="inlineStr">
        <is>
          <t>DKI Jakarta</t>
        </is>
      </c>
      <c r="Q15" s="3">
        <f>HYPERLINK("https://wa.me/6282114041677?text=Selamat siang Bapak/Ibu pimpinan PRIMA BERLIAN BERSAMA,%0A%0ASemoga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TITIK INDAH PERMAI</t>
        </is>
      </c>
      <c r="B16" t="inlineStr">
        <is>
          <t>Kota Depok</t>
        </is>
      </c>
      <c r="C16" t="inlineStr">
        <is>
          <t>0217544082</t>
        </is>
      </c>
      <c r="D16" t="inlineStr">
        <is>
          <t>titik_indahpermai@yahoo.com</t>
        </is>
      </c>
      <c r="E16" t="inlineStr">
        <is>
          <t>https://lpjk.pu.go.id/search-badan-usaha-detail/LzBlYWgyei9LK2dUcWRGM0JVYTZXR3JUdVVxTEtDeHN1emJuNUlBUE1xcz0</t>
        </is>
      </c>
      <c r="F16" t="n">
        <v>1</v>
      </c>
      <c r="G16" t="inlineStr">
        <is>
          <t>BS004</t>
        </is>
      </c>
      <c r="H16" t="inlineStr">
        <is>
          <t>27 Februari 2020</t>
        </is>
      </c>
      <c r="I16" s="2" t="n">
        <v>46300</v>
      </c>
      <c r="J16" t="inlineStr">
        <is>
          <t>Disetujui</t>
        </is>
      </c>
      <c r="K16" t="n">
        <v>90</v>
      </c>
      <c r="L16" t="inlineStr">
        <is>
          <t>5 Oktober 2026</t>
        </is>
      </c>
      <c r="M16" t="inlineStr">
        <is>
          <t>Konstruksi Jaringan Irigasi dan Drainase</t>
        </is>
      </c>
      <c r="N16" t="inlineStr">
        <is>
          <t>K</t>
        </is>
      </c>
      <c r="O16" t="inlineStr">
        <is>
          <t>20230914</t>
        </is>
      </c>
      <c r="P16" t="inlineStr">
        <is>
          <t>Jawa Barat</t>
        </is>
      </c>
      <c r="Q16" t="inlineStr"/>
    </row>
    <row r="17">
      <c r="A17" t="inlineStr">
        <is>
          <t>TRI MANUNGGAL KARYA</t>
        </is>
      </c>
      <c r="B17" t="inlineStr">
        <is>
          <t>Kab. Bogor</t>
        </is>
      </c>
      <c r="C17" t="inlineStr">
        <is>
          <t>02187929246</t>
        </is>
      </c>
      <c r="D17" t="inlineStr">
        <is>
          <t>tmk_cibinong@yahoo.co.id</t>
        </is>
      </c>
      <c r="E17" t="inlineStr">
        <is>
          <t>https://lpjk.pu.go.id/search-badan-usaha-detail/ZWptOWJ0elNsZ3lEVG83alZJUEZYQT09</t>
        </is>
      </c>
      <c r="F17" t="n">
        <v>7</v>
      </c>
      <c r="G17" t="inlineStr">
        <is>
          <t>BG002, BG004, BG005, BG006, BG009, BS002, BS010</t>
        </is>
      </c>
      <c r="H17" t="inlineStr">
        <is>
          <t>7 Juli 1982</t>
        </is>
      </c>
      <c r="I17" s="2" t="n">
        <v>46300</v>
      </c>
      <c r="J17" t="inlineStr">
        <is>
          <t>Disetujui</t>
        </is>
      </c>
      <c r="K17" t="n">
        <v>90</v>
      </c>
      <c r="L17" t="inlineStr">
        <is>
          <t>5 Oktober 2026</t>
        </is>
      </c>
      <c r="M17" t="inlineStr">
        <is>
          <t>Bangunan Sipil Jembatan, Jalan Layang, Fly Over, dan Underpass, Konstruksi Bangunan Prasarana Sumber Daya Air, Konstruksi Gedung Kesehatan, Konstruksi Gedung Lainnya, Konstruksi Gedung Pendidikan, Konstruksi Gedung Perbelanjaan, Konstruksi Gedung Perkantoran</t>
        </is>
      </c>
      <c r="N17" t="inlineStr">
        <is>
          <t>K, M</t>
        </is>
      </c>
      <c r="O17" t="inlineStr">
        <is>
          <t>20230927</t>
        </is>
      </c>
      <c r="P17" t="inlineStr">
        <is>
          <t>Jawa Barat</t>
        </is>
      </c>
      <c r="Q17" t="inlineStr"/>
    </row>
    <row r="18">
      <c r="A18" t="inlineStr">
        <is>
          <t>ADIDAYA GLOBAL ABADI</t>
        </is>
      </c>
      <c r="B18" t="inlineStr">
        <is>
          <t>Kab. Majalengka</t>
        </is>
      </c>
      <c r="C18" t="inlineStr">
        <is>
          <t>085523553526</t>
        </is>
      </c>
      <c r="D18" t="inlineStr">
        <is>
          <t>adidayaglobalabadi@gmail.com</t>
        </is>
      </c>
      <c r="E18" t="inlineStr">
        <is>
          <t>https://lpjk.pu.go.id/search-badan-usaha-detail/d0RWOGVNVDFGY2lERzZ4VnhKcVpDQT09</t>
        </is>
      </c>
      <c r="F18" t="n">
        <v>1</v>
      </c>
      <c r="G18" t="inlineStr">
        <is>
          <t>BG006</t>
        </is>
      </c>
      <c r="H18" t="inlineStr">
        <is>
          <t>3 Oktober 2019</t>
        </is>
      </c>
      <c r="I18" s="2" t="n">
        <v>46300</v>
      </c>
      <c r="J18" t="inlineStr">
        <is>
          <t>Disetujui</t>
        </is>
      </c>
      <c r="K18" t="n">
        <v>90</v>
      </c>
      <c r="L18" t="inlineStr">
        <is>
          <t>5 Oktober 2026</t>
        </is>
      </c>
      <c r="M18" t="inlineStr">
        <is>
          <t>Konstruksi Gedung Pendidikan</t>
        </is>
      </c>
      <c r="N18" t="inlineStr">
        <is>
          <t>K</t>
        </is>
      </c>
      <c r="O18" t="inlineStr">
        <is>
          <t>20231005</t>
        </is>
      </c>
      <c r="P18" t="inlineStr">
        <is>
          <t>Jawa Barat</t>
        </is>
      </c>
      <c r="Q18" t="inlineStr"/>
    </row>
    <row r="19">
      <c r="A19" t="inlineStr">
        <is>
          <t>AGAPE MULIA</t>
        </is>
      </c>
      <c r="B19" t="inlineStr">
        <is>
          <t>Kota Manado</t>
        </is>
      </c>
      <c r="C19" t="inlineStr">
        <is>
          <t>085298221818</t>
        </is>
      </c>
      <c r="D19" t="inlineStr">
        <is>
          <t>cv_agapemulia@yahoo.com</t>
        </is>
      </c>
      <c r="E19" t="inlineStr">
        <is>
          <t>https://lpjk.pu.go.id/search-badan-usaha-detail/V0pHb3QyZGlZSzRUUHNrTlRjOE1QUT09</t>
        </is>
      </c>
      <c r="F19" t="n">
        <v>1</v>
      </c>
      <c r="G19" t="inlineStr">
        <is>
          <t>BG006</t>
        </is>
      </c>
      <c r="H19" t="inlineStr">
        <is>
          <t>26 September 1987</t>
        </is>
      </c>
      <c r="I19" s="2" t="n">
        <v>46300</v>
      </c>
      <c r="J19" t="inlineStr">
        <is>
          <t>Disetujui</t>
        </is>
      </c>
      <c r="K19" t="n">
        <v>90</v>
      </c>
      <c r="L19" t="inlineStr">
        <is>
          <t>5 Oktober 2026</t>
        </is>
      </c>
      <c r="M19" t="inlineStr">
        <is>
          <t>Konstruksi Gedung Pendidikan</t>
        </is>
      </c>
      <c r="N19" t="inlineStr">
        <is>
          <t>K</t>
        </is>
      </c>
      <c r="O19" t="inlineStr">
        <is>
          <t>20231004</t>
        </is>
      </c>
      <c r="P19" t="inlineStr">
        <is>
          <t>Sulawesi Utara</t>
        </is>
      </c>
      <c r="Q19" t="inlineStr"/>
    </row>
    <row r="20">
      <c r="A20" t="inlineStr">
        <is>
          <t>AGRAPANA SADAJIWA</t>
        </is>
      </c>
      <c r="B20" t="inlineStr">
        <is>
          <t>Kota Surabaya</t>
        </is>
      </c>
      <c r="C20" t="inlineStr">
        <is>
          <t>0317664388</t>
        </is>
      </c>
      <c r="D20" t="inlineStr">
        <is>
          <t>agrapanasadajiwa@gmail.com</t>
        </is>
      </c>
      <c r="E20" t="inlineStr">
        <is>
          <t>https://lpjk.pu.go.id/search-badan-usaha-detail/bFRPeWZNR1gwaW1KVk1GUFM3S0ZaZz09</t>
        </is>
      </c>
      <c r="F20" t="n">
        <v>2</v>
      </c>
      <c r="G20" t="inlineStr">
        <is>
          <t>BG006</t>
        </is>
      </c>
      <c r="H20" t="inlineStr">
        <is>
          <t>22 September 2023</t>
        </is>
      </c>
      <c r="I20" s="2" t="n">
        <v>46300</v>
      </c>
      <c r="J20" t="inlineStr">
        <is>
          <t>Pencabutan</t>
        </is>
      </c>
      <c r="K20" t="n">
        <v>90</v>
      </c>
      <c r="L20" t="inlineStr">
        <is>
          <t>5 Oktober 2026</t>
        </is>
      </c>
      <c r="M20" t="inlineStr">
        <is>
          <t>Konstruksi Gedung Pendidikan</t>
        </is>
      </c>
      <c r="N20" t="inlineStr">
        <is>
          <t>K</t>
        </is>
      </c>
      <c r="O20" t="inlineStr">
        <is>
          <t>20231005</t>
        </is>
      </c>
      <c r="P20" t="inlineStr">
        <is>
          <t>Jawa Timur</t>
        </is>
      </c>
      <c r="Q20" t="inlineStr"/>
    </row>
    <row r="21">
      <c r="A21" t="inlineStr">
        <is>
          <t>AKUSARA CENDERAWASIH PUTRA</t>
        </is>
      </c>
      <c r="B21" t="inlineStr">
        <is>
          <t>Kota Jayapura</t>
        </is>
      </c>
      <c r="C21" t="inlineStr">
        <is>
          <t>085244063547</t>
        </is>
      </c>
      <c r="D21" t="inlineStr">
        <is>
          <t>akusaracp@gmail.com</t>
        </is>
      </c>
      <c r="E21" t="inlineStr">
        <is>
          <t>https://lpjk.pu.go.id/search-badan-usaha-detail/ZytMZjFWbkIweTdjY3NaRjZ5ai81Zz09</t>
        </is>
      </c>
      <c r="F21" t="n">
        <v>5</v>
      </c>
      <c r="G21" t="inlineStr">
        <is>
          <t>BG001, BG004, BG005, BG006, BG009</t>
        </is>
      </c>
      <c r="H21" t="inlineStr">
        <is>
          <t>10 Maret 2016</t>
        </is>
      </c>
      <c r="I21" s="2" t="n">
        <v>46300</v>
      </c>
      <c r="J21" t="inlineStr">
        <is>
          <t>Disetujui</t>
        </is>
      </c>
      <c r="K21" t="n">
        <v>90</v>
      </c>
      <c r="L21" t="inlineStr">
        <is>
          <t>5 Oktober 2026</t>
        </is>
      </c>
      <c r="M21" t="inlineStr">
        <is>
          <t>Konstruksi Gedung Hunian, Konstruksi Gedung Kesehatan, Konstruksi Gedung Lainnya, Konstruksi Gedung Pendidikan, Konstruksi Gedung Perbelanjaan</t>
        </is>
      </c>
      <c r="N21" t="inlineStr">
        <is>
          <t>K</t>
        </is>
      </c>
      <c r="O21" t="inlineStr">
        <is>
          <t>20230926</t>
        </is>
      </c>
      <c r="P21" t="inlineStr">
        <is>
          <t>Papua</t>
        </is>
      </c>
      <c r="Q21" t="inlineStr"/>
    </row>
    <row r="22">
      <c r="A22" t="inlineStr">
        <is>
          <t>ALFARIZZI</t>
        </is>
      </c>
      <c r="B22" t="inlineStr">
        <is>
          <t>Kota Banda Aceh</t>
        </is>
      </c>
      <c r="C22" t="inlineStr">
        <is>
          <t>081269188223</t>
        </is>
      </c>
      <c r="D22" t="inlineStr">
        <is>
          <t>cv.alfarizzi@gmail.com</t>
        </is>
      </c>
      <c r="E22" t="inlineStr">
        <is>
          <t>https://lpjk.pu.go.id/search-badan-usaha-detail/bWpFVzRYbXBxUTBhd3U1TS9XclVPQT09</t>
        </is>
      </c>
      <c r="F22" t="n">
        <v>2</v>
      </c>
      <c r="G22" t="inlineStr">
        <is>
          <t>BS005</t>
        </is>
      </c>
      <c r="H22" t="inlineStr">
        <is>
          <t>22 Juni 2012</t>
        </is>
      </c>
      <c r="I22" s="2" t="n">
        <v>46300</v>
      </c>
      <c r="J22" t="inlineStr">
        <is>
          <t>Disetujui</t>
        </is>
      </c>
      <c r="K22" t="n">
        <v>90</v>
      </c>
      <c r="L22" t="inlineStr">
        <is>
          <t>5 Oktober 2026</t>
        </is>
      </c>
      <c r="M22" t="inlineStr">
        <is>
          <t>Konstruksi Bangunan Sipil Pengolahan Air Bersih</t>
        </is>
      </c>
      <c r="N22" t="inlineStr">
        <is>
          <t>K</t>
        </is>
      </c>
      <c r="O22" t="inlineStr">
        <is>
          <t>20231005</t>
        </is>
      </c>
      <c r="P22" t="inlineStr">
        <is>
          <t>Aceh</t>
        </is>
      </c>
      <c r="Q22" t="inlineStr"/>
    </row>
    <row r="23">
      <c r="A23" t="inlineStr">
        <is>
          <t>ANDI WHINATA</t>
        </is>
      </c>
      <c r="B23" t="inlineStr">
        <is>
          <t>Kab. Jember</t>
        </is>
      </c>
      <c r="C23" t="inlineStr">
        <is>
          <t>082330201171</t>
        </is>
      </c>
      <c r="D23" t="inlineStr">
        <is>
          <t>cvandiwhinata@yahoo.co.id</t>
        </is>
      </c>
      <c r="E23" t="inlineStr">
        <is>
          <t>https://lpjk.pu.go.id/search-badan-usaha-detail/R1B0Wk41enFDN01IVkgxRGFyMStCZz09</t>
        </is>
      </c>
      <c r="F23" t="n">
        <v>1</v>
      </c>
      <c r="G23" t="inlineStr">
        <is>
          <t>BS001</t>
        </is>
      </c>
      <c r="H23" t="inlineStr">
        <is>
          <t>29 Juli 1996</t>
        </is>
      </c>
      <c r="I23" s="2" t="n">
        <v>46300</v>
      </c>
      <c r="J23" t="inlineStr">
        <is>
          <t>Disetujui</t>
        </is>
      </c>
      <c r="K23" t="n">
        <v>90</v>
      </c>
      <c r="L23" t="inlineStr">
        <is>
          <t>5 Oktober 2026</t>
        </is>
      </c>
      <c r="M23" t="inlineStr">
        <is>
          <t>Konstruksi Bangunan Sipil Jalan</t>
        </is>
      </c>
      <c r="N23" t="inlineStr">
        <is>
          <t>K</t>
        </is>
      </c>
      <c r="O23" t="inlineStr">
        <is>
          <t>20231003</t>
        </is>
      </c>
      <c r="P23" t="inlineStr">
        <is>
          <t>Jawa Timur</t>
        </is>
      </c>
      <c r="Q23" t="inlineStr"/>
    </row>
    <row r="24">
      <c r="A24" t="inlineStr">
        <is>
          <t>ANGGA PUTRA</t>
        </is>
      </c>
      <c r="B24" t="inlineStr">
        <is>
          <t>Kota Surabaya</t>
        </is>
      </c>
      <c r="C24" t="inlineStr">
        <is>
          <t>0315939193</t>
        </is>
      </c>
      <c r="D24" t="inlineStr">
        <is>
          <t>ptanggaputra2020@gmail.com</t>
        </is>
      </c>
      <c r="E24" t="inlineStr">
        <is>
          <t>https://lpjk.pu.go.id/search-badan-usaha-detail/eEZoQUYyQ3VZOC8rTFFJU1FFekg5UT09</t>
        </is>
      </c>
      <c r="F24" t="n">
        <v>1</v>
      </c>
      <c r="G24" t="inlineStr">
        <is>
          <t>BG009</t>
        </is>
      </c>
      <c r="H24" t="inlineStr">
        <is>
          <t>12 Maret 2004</t>
        </is>
      </c>
      <c r="I24" s="2" t="n">
        <v>46300</v>
      </c>
      <c r="J24" t="inlineStr">
        <is>
          <t>Pencabutan</t>
        </is>
      </c>
      <c r="K24" t="n">
        <v>90</v>
      </c>
      <c r="L24" t="inlineStr">
        <is>
          <t>5 Oktober 2026</t>
        </is>
      </c>
      <c r="M24" t="inlineStr">
        <is>
          <t>Konstruksi Gedung Lainnya</t>
        </is>
      </c>
      <c r="N24" t="inlineStr">
        <is>
          <t>K</t>
        </is>
      </c>
      <c r="O24" t="inlineStr">
        <is>
          <t>20231006</t>
        </is>
      </c>
      <c r="P24" t="inlineStr">
        <is>
          <t>Jawa Timur</t>
        </is>
      </c>
      <c r="Q24" t="inlineStr"/>
    </row>
    <row r="25">
      <c r="A25" t="inlineStr">
        <is>
          <t>ANUGERAH JAYA PERSADA</t>
        </is>
      </c>
      <c r="B25" t="inlineStr">
        <is>
          <t>Kab. Kediri</t>
        </is>
      </c>
      <c r="C25" t="inlineStr">
        <is>
          <t>082330820108</t>
        </is>
      </c>
      <c r="D25" t="inlineStr">
        <is>
          <t>cvdmc71@gmail.com</t>
        </is>
      </c>
      <c r="E25" t="inlineStr">
        <is>
          <t>https://lpjk.pu.go.id/search-badan-usaha-detail/ZUgyQmRLdUVhM3dTSXV5a1dvbzBOZz09</t>
        </is>
      </c>
      <c r="F25" t="n">
        <v>1</v>
      </c>
      <c r="G25" t="inlineStr">
        <is>
          <t>BG009</t>
        </is>
      </c>
      <c r="H25" t="inlineStr">
        <is>
          <t>19 Desember 2018</t>
        </is>
      </c>
      <c r="I25" s="2" t="n">
        <v>46300</v>
      </c>
      <c r="J25" t="inlineStr">
        <is>
          <t>Disetujui</t>
        </is>
      </c>
      <c r="K25" t="n">
        <v>90</v>
      </c>
      <c r="L25" t="inlineStr">
        <is>
          <t>5 Oktober 2026</t>
        </is>
      </c>
      <c r="M25" t="inlineStr">
        <is>
          <t>Konstruksi Gedung Lainnya</t>
        </is>
      </c>
      <c r="N25" t="inlineStr">
        <is>
          <t>K</t>
        </is>
      </c>
      <c r="O25" t="inlineStr">
        <is>
          <t>20231005</t>
        </is>
      </c>
      <c r="P25" t="inlineStr">
        <is>
          <t>Jawa Timur</t>
        </is>
      </c>
      <c r="Q25" t="inlineStr"/>
    </row>
    <row r="26">
      <c r="A26" t="inlineStr">
        <is>
          <t>ANUGERAH KARYA BESTARI</t>
        </is>
      </c>
      <c r="B26" t="inlineStr">
        <is>
          <t>Kab. Cilacap</t>
        </is>
      </c>
      <c r="C26" t="inlineStr">
        <is>
          <t>081332145012</t>
        </is>
      </c>
      <c r="D26" t="inlineStr">
        <is>
          <t>pt.anugerahkaryabestari@gmail.com</t>
        </is>
      </c>
      <c r="E26" t="inlineStr">
        <is>
          <t>https://lpjk.pu.go.id/search-badan-usaha-detail/QzhWWFBJenNyaDNkK1FrUGphNTQ3dz09</t>
        </is>
      </c>
      <c r="F26" t="n">
        <v>1</v>
      </c>
      <c r="G26" t="inlineStr">
        <is>
          <t>IN004</t>
        </is>
      </c>
      <c r="H26" t="inlineStr">
        <is>
          <t>27 Oktober 2021</t>
        </is>
      </c>
      <c r="I26" s="2" t="n">
        <v>46300</v>
      </c>
      <c r="J26" t="inlineStr">
        <is>
          <t>Disetujui</t>
        </is>
      </c>
      <c r="K26" t="n">
        <v>90</v>
      </c>
      <c r="L26" t="inlineStr">
        <is>
          <t>5 Oktober 2026</t>
        </is>
      </c>
      <c r="M26" t="inlineStr">
        <is>
          <t>Instalasi Minyak dan Gas</t>
        </is>
      </c>
      <c r="N26" t="inlineStr">
        <is>
          <t>Spesialis</t>
        </is>
      </c>
      <c r="O26" t="inlineStr">
        <is>
          <t>20231002</t>
        </is>
      </c>
      <c r="P26" t="inlineStr">
        <is>
          <t>Jawa Tengah</t>
        </is>
      </c>
      <c r="Q26" t="inlineStr"/>
    </row>
    <row r="27">
      <c r="A27" t="inlineStr">
        <is>
          <t>ANUGRAHA SEJATI</t>
        </is>
      </c>
      <c r="B27" t="inlineStr">
        <is>
          <t>Kab. Musi Rawas Utara</t>
        </is>
      </c>
      <c r="C27" t="inlineStr">
        <is>
          <t>082186006817</t>
        </is>
      </c>
      <c r="D27" t="inlineStr">
        <is>
          <t>herikaanugraha360@gmail.com</t>
        </is>
      </c>
      <c r="E27" t="inlineStr">
        <is>
          <t>https://lpjk.pu.go.id/search-badan-usaha-detail/eVZ6anRkeFhqU1U3RnNhdVp0VFJvdz09</t>
        </is>
      </c>
      <c r="F27" t="n">
        <v>2</v>
      </c>
      <c r="G27" t="inlineStr">
        <is>
          <t>BG009</t>
        </is>
      </c>
      <c r="H27" t="inlineStr">
        <is>
          <t>30 September 2016</t>
        </is>
      </c>
      <c r="I27" s="2" t="n">
        <v>46300</v>
      </c>
      <c r="J27" t="inlineStr">
        <is>
          <t>Disetujui</t>
        </is>
      </c>
      <c r="K27" t="n">
        <v>90</v>
      </c>
      <c r="L27" t="inlineStr">
        <is>
          <t>5 Oktober 2026</t>
        </is>
      </c>
      <c r="M27" t="inlineStr">
        <is>
          <t>Konstruksi Gedung Lainnya</t>
        </is>
      </c>
      <c r="N27" t="inlineStr">
        <is>
          <t>K</t>
        </is>
      </c>
      <c r="O27" t="inlineStr">
        <is>
          <t>20231003</t>
        </is>
      </c>
      <c r="P27" t="inlineStr">
        <is>
          <t>Sumatera Selatan</t>
        </is>
      </c>
      <c r="Q27" t="inlineStr"/>
    </row>
    <row r="28">
      <c r="A28" t="inlineStr">
        <is>
          <t>ARDHANA CAHAYA TOP</t>
        </is>
      </c>
      <c r="B28" t="inlineStr">
        <is>
          <t>Kota Bandung</t>
        </is>
      </c>
      <c r="C28" t="inlineStr">
        <is>
          <t>082232238886</t>
        </is>
      </c>
      <c r="D28" t="inlineStr">
        <is>
          <t>cvardhanabila@gmail.com</t>
        </is>
      </c>
      <c r="E28" t="inlineStr">
        <is>
          <t>https://lpjk.pu.go.id/search-badan-usaha-detail/Y1V1ano0MEw2eThGSFdyb3lnaGY3UT09</t>
        </is>
      </c>
      <c r="F28" t="n">
        <v>5</v>
      </c>
      <c r="G28" t="inlineStr">
        <is>
          <t>BG001, BG002, BG005, BG006, BG009</t>
        </is>
      </c>
      <c r="H28" t="inlineStr">
        <is>
          <t>13 Agustus 2021</t>
        </is>
      </c>
      <c r="I28" s="2" t="n">
        <v>46300</v>
      </c>
      <c r="J28" t="inlineStr">
        <is>
          <t>Pencabutan</t>
        </is>
      </c>
      <c r="K28" t="n">
        <v>90</v>
      </c>
      <c r="L28" t="inlineStr">
        <is>
          <t>5 Oktober 2026</t>
        </is>
      </c>
      <c r="M28" t="inlineStr">
        <is>
          <t>Konstruksi Gedung Hunian, Konstruksi Gedung Kesehatan, Konstruksi Gedung Lainnya, Konstruksi Gedung Pendidikan, Konstruksi Gedung Perkantoran</t>
        </is>
      </c>
      <c r="N28" t="inlineStr">
        <is>
          <t>K</t>
        </is>
      </c>
      <c r="O28" t="inlineStr">
        <is>
          <t>20230720, 20231004, 20231005</t>
        </is>
      </c>
      <c r="P28" t="inlineStr">
        <is>
          <t>Jawa Barat</t>
        </is>
      </c>
      <c r="Q28" t="inlineStr"/>
    </row>
    <row r="29">
      <c r="A29" t="inlineStr">
        <is>
          <t>ARDIS</t>
        </is>
      </c>
      <c r="B29" t="inlineStr">
        <is>
          <t>Kota Bandung</t>
        </is>
      </c>
      <c r="C29" t="inlineStr">
        <is>
          <t>081320454578</t>
        </is>
      </c>
      <c r="D29" t="inlineStr">
        <is>
          <t>ardis.cv@yahoo.com</t>
        </is>
      </c>
      <c r="E29" t="inlineStr">
        <is>
          <t>https://lpjk.pu.go.id/search-badan-usaha-detail/MjhpRG5LVldJWWtzZjl4TnhnNHRudz09</t>
        </is>
      </c>
      <c r="F29" t="n">
        <v>1</v>
      </c>
      <c r="G29" t="inlineStr">
        <is>
          <t>BS001</t>
        </is>
      </c>
      <c r="H29" t="inlineStr">
        <is>
          <t>6 Desember 2006</t>
        </is>
      </c>
      <c r="I29" s="2" t="n">
        <v>46300</v>
      </c>
      <c r="J29" t="inlineStr">
        <is>
          <t>Disetujui</t>
        </is>
      </c>
      <c r="K29" t="n">
        <v>90</v>
      </c>
      <c r="L29" t="inlineStr">
        <is>
          <t>5 Oktober 2026</t>
        </is>
      </c>
      <c r="M29" t="inlineStr">
        <is>
          <t>Konstruksi Bangunan Sipil Jalan</t>
        </is>
      </c>
      <c r="N29" t="inlineStr">
        <is>
          <t>K</t>
        </is>
      </c>
      <c r="O29" t="inlineStr">
        <is>
          <t>20230901</t>
        </is>
      </c>
      <c r="P29" t="inlineStr">
        <is>
          <t>Jawa Barat</t>
        </is>
      </c>
      <c r="Q29" t="inlineStr"/>
    </row>
    <row r="30">
      <c r="A30" t="inlineStr">
        <is>
          <t>ASRI MULYA SENTOSA</t>
        </is>
      </c>
      <c r="B30" t="inlineStr">
        <is>
          <t>Kab. Cilacap</t>
        </is>
      </c>
      <c r="C30" t="inlineStr">
        <is>
          <t>081328738734</t>
        </is>
      </c>
      <c r="D30" t="inlineStr">
        <is>
          <t>asri.mulya@ymail.com</t>
        </is>
      </c>
      <c r="E30" t="inlineStr">
        <is>
          <t>https://lpjk.pu.go.id/search-badan-usaha-detail/QVQ4eGl1b09SRzMwckhuby9uNWxRdz09</t>
        </is>
      </c>
      <c r="F30" t="n">
        <v>1</v>
      </c>
      <c r="G30" t="inlineStr">
        <is>
          <t>BG009</t>
        </is>
      </c>
      <c r="H30" t="inlineStr">
        <is>
          <t>22 Juni 2012</t>
        </is>
      </c>
      <c r="I30" s="2" t="n">
        <v>46300</v>
      </c>
      <c r="J30" t="inlineStr">
        <is>
          <t>Pencabutan</t>
        </is>
      </c>
      <c r="K30" t="n">
        <v>90</v>
      </c>
      <c r="L30" t="inlineStr">
        <is>
          <t>5 Oktober 2026</t>
        </is>
      </c>
      <c r="M30" t="inlineStr">
        <is>
          <t>Konstruksi Gedung Lainnya</t>
        </is>
      </c>
      <c r="N30" t="inlineStr">
        <is>
          <t>K</t>
        </is>
      </c>
      <c r="O30" t="inlineStr">
        <is>
          <t>20231006</t>
        </is>
      </c>
      <c r="P30" t="inlineStr">
        <is>
          <t>Jawa Tengah</t>
        </is>
      </c>
      <c r="Q30" t="inlineStr"/>
    </row>
    <row r="31">
      <c r="A31" t="inlineStr">
        <is>
          <t>BAMA PERKASA</t>
        </is>
      </c>
      <c r="B31" t="inlineStr">
        <is>
          <t>Kab. Magetan</t>
        </is>
      </c>
      <c r="C31" t="inlineStr">
        <is>
          <t>08983441169</t>
        </is>
      </c>
      <c r="D31" t="inlineStr">
        <is>
          <t>bama_perkasa@yahoo.com</t>
        </is>
      </c>
      <c r="E31" t="inlineStr">
        <is>
          <t>https://lpjk.pu.go.id/search-badan-usaha-detail/eExhUmFrajdwMndnZ0liT2lucENhUT09</t>
        </is>
      </c>
      <c r="F31" t="n">
        <v>1</v>
      </c>
      <c r="G31" t="inlineStr">
        <is>
          <t>BS001</t>
        </is>
      </c>
      <c r="H31" t="inlineStr">
        <is>
          <t>11 Juni 1997</t>
        </is>
      </c>
      <c r="I31" s="2" t="n">
        <v>46300</v>
      </c>
      <c r="J31" t="inlineStr">
        <is>
          <t>Disetujui</t>
        </is>
      </c>
      <c r="K31" t="n">
        <v>90</v>
      </c>
      <c r="L31" t="inlineStr">
        <is>
          <t>5 Oktober 2026</t>
        </is>
      </c>
      <c r="M31" t="inlineStr">
        <is>
          <t>Konstruksi Bangunan Sipil Jalan</t>
        </is>
      </c>
      <c r="N31" t="inlineStr">
        <is>
          <t>K</t>
        </is>
      </c>
      <c r="O31" t="inlineStr">
        <is>
          <t>20230925</t>
        </is>
      </c>
      <c r="P31" t="inlineStr">
        <is>
          <t>Jawa Timur</t>
        </is>
      </c>
      <c r="Q31" t="inlineStr"/>
    </row>
    <row r="32">
      <c r="A32" t="inlineStr">
        <is>
          <t>BANGUN BUMI MEGATAMA MANDIRI</t>
        </is>
      </c>
      <c r="B32" t="inlineStr">
        <is>
          <t>Kota Adm. Jakarta Utara</t>
        </is>
      </c>
      <c r="C32" t="inlineStr">
        <is>
          <t>02155965901</t>
        </is>
      </c>
      <c r="D32" t="inlineStr">
        <is>
          <t>layjinhoa@gmail.com</t>
        </is>
      </c>
      <c r="E32" t="inlineStr">
        <is>
          <t>https://lpjk.pu.go.id/search-badan-usaha-detail/TW1VV1h1d0gwS3JMSmszU2ZWQWVRZz09</t>
        </is>
      </c>
      <c r="F32" t="n">
        <v>4</v>
      </c>
      <c r="G32" t="inlineStr">
        <is>
          <t>BG001, BG002, BG003, BG007</t>
        </is>
      </c>
      <c r="H32" t="inlineStr">
        <is>
          <t>8 November 2012</t>
        </is>
      </c>
      <c r="I32" s="2" t="n">
        <v>46300</v>
      </c>
      <c r="J32" t="inlineStr">
        <is>
          <t>Disetujui</t>
        </is>
      </c>
      <c r="K32" t="n">
        <v>90</v>
      </c>
      <c r="L32" t="inlineStr">
        <is>
          <t>5 Oktober 2026</t>
        </is>
      </c>
      <c r="M32" t="inlineStr">
        <is>
          <t>Konstruksi Gedung Hunian, Konstruksi Gedung Industri, Konstruksi Gedung Penginapan, Konstruksi Gedung Perkantoran</t>
        </is>
      </c>
      <c r="N32" t="inlineStr">
        <is>
          <t>K</t>
        </is>
      </c>
      <c r="O32" t="inlineStr">
        <is>
          <t>20231005</t>
        </is>
      </c>
      <c r="P32" t="inlineStr">
        <is>
          <t>DKI Jakarta</t>
        </is>
      </c>
      <c r="Q32" t="inlineStr"/>
    </row>
    <row r="33">
      <c r="A33" t="inlineStr">
        <is>
          <t>BANGUN MULYA TAN ABADI</t>
        </is>
      </c>
      <c r="B33" t="inlineStr">
        <is>
          <t>Kab. Tulungagung</t>
        </is>
      </c>
      <c r="C33" t="inlineStr">
        <is>
          <t>0355325340</t>
        </is>
      </c>
      <c r="D33" t="inlineStr">
        <is>
          <t>pt_bmta@yahoo.com</t>
        </is>
      </c>
      <c r="E33" t="inlineStr">
        <is>
          <t>https://lpjk.pu.go.id/search-badan-usaha-detail/VVB3SlErTFFhZ2xLYmZPR2xyVVB6Zz09</t>
        </is>
      </c>
      <c r="F33" t="n">
        <v>1</v>
      </c>
      <c r="G33" t="inlineStr">
        <is>
          <t>BS001</t>
        </is>
      </c>
      <c r="H33" t="inlineStr">
        <is>
          <t>4 Maret 2005</t>
        </is>
      </c>
      <c r="I33" s="2" t="n">
        <v>46300</v>
      </c>
      <c r="J33" t="inlineStr">
        <is>
          <t>Pencabutan</t>
        </is>
      </c>
      <c r="K33" t="n">
        <v>90</v>
      </c>
      <c r="L33" t="inlineStr">
        <is>
          <t>5 Oktober 2026</t>
        </is>
      </c>
      <c r="M33" t="inlineStr">
        <is>
          <t>Konstruksi Bangunan Sipil Jalan</t>
        </is>
      </c>
      <c r="N33" t="inlineStr">
        <is>
          <t>B</t>
        </is>
      </c>
      <c r="O33" t="inlineStr">
        <is>
          <t>20230928</t>
        </is>
      </c>
      <c r="P33" t="inlineStr">
        <is>
          <t>Jawa Timur</t>
        </is>
      </c>
      <c r="Q33" t="inlineStr"/>
    </row>
    <row r="34">
      <c r="A34" t="inlineStr">
        <is>
          <t>BANGUN NUSANTARA SEJATI</t>
        </is>
      </c>
      <c r="B34" t="inlineStr">
        <is>
          <t>Kota Tangerang Selatan</t>
        </is>
      </c>
      <c r="C34" t="inlineStr">
        <is>
          <t>082310229008</t>
        </is>
      </c>
      <c r="D34" t="inlineStr">
        <is>
          <t>ptbangunnusantarasejati@gmail.com</t>
        </is>
      </c>
      <c r="E34" t="inlineStr">
        <is>
          <t>https://lpjk.pu.go.id/search-badan-usaha-detail/SE9XY3NFMkQvbjFKdTI5OXMzbXdIUT09</t>
        </is>
      </c>
      <c r="F34" t="n">
        <v>2</v>
      </c>
      <c r="G34" t="inlineStr">
        <is>
          <t>BS001, BS004</t>
        </is>
      </c>
      <c r="H34" t="inlineStr">
        <is>
          <t>25 Juni 2019</t>
        </is>
      </c>
      <c r="I34" s="2" t="n">
        <v>46300</v>
      </c>
      <c r="J34" t="inlineStr">
        <is>
          <t>Disetujui</t>
        </is>
      </c>
      <c r="K34" t="n">
        <v>90</v>
      </c>
      <c r="L34" t="inlineStr">
        <is>
          <t>5 Oktober 2026</t>
        </is>
      </c>
      <c r="M34" t="inlineStr">
        <is>
          <t>Konstruksi Bangunan Sipil Jalan, Konstruksi Jaringan Irigasi dan Drainase</t>
        </is>
      </c>
      <c r="N34" t="inlineStr">
        <is>
          <t>K</t>
        </is>
      </c>
      <c r="O34" t="inlineStr">
        <is>
          <t>20231004</t>
        </is>
      </c>
      <c r="P34" t="inlineStr">
        <is>
          <t>Banten</t>
        </is>
      </c>
      <c r="Q34" t="inlineStr"/>
    </row>
    <row r="35">
      <c r="A35" t="inlineStr">
        <is>
          <t>BARA BERKAH KONSTRUKSI</t>
        </is>
      </c>
      <c r="B35" t="inlineStr">
        <is>
          <t>Kab. Banjarnegara</t>
        </is>
      </c>
      <c r="C35" t="inlineStr">
        <is>
          <t>085327078104</t>
        </is>
      </c>
      <c r="D35" t="inlineStr">
        <is>
          <t>cvbaraberkahkonstruksi@gmail.com</t>
        </is>
      </c>
      <c r="E35" t="inlineStr">
        <is>
          <t>https://lpjk.pu.go.id/search-badan-usaha-detail/OVdIZGZmWUxPRlFhemZRQmJxL3hVQT09</t>
        </is>
      </c>
      <c r="F35" t="n">
        <v>2</v>
      </c>
      <c r="G35" t="inlineStr">
        <is>
          <t>BS004</t>
        </is>
      </c>
      <c r="H35" t="inlineStr">
        <is>
          <t>28 Oktober 2022</t>
        </is>
      </c>
      <c r="I35" s="2" t="n">
        <v>46300</v>
      </c>
      <c r="J35" t="inlineStr">
        <is>
          <t>Disetujui</t>
        </is>
      </c>
      <c r="K35" t="n">
        <v>90</v>
      </c>
      <c r="L35" t="inlineStr">
        <is>
          <t>5 Oktober 2026</t>
        </is>
      </c>
      <c r="M35" t="inlineStr">
        <is>
          <t>Konstruksi Jaringan Irigasi dan Drainase</t>
        </is>
      </c>
      <c r="N35" t="inlineStr">
        <is>
          <t>K</t>
        </is>
      </c>
      <c r="O35" t="inlineStr">
        <is>
          <t>20231004</t>
        </is>
      </c>
      <c r="P35" t="inlineStr">
        <is>
          <t>Jawa Tengah</t>
        </is>
      </c>
      <c r="Q35" t="inlineStr"/>
    </row>
    <row r="36">
      <c r="A36" t="inlineStr">
        <is>
          <t>BARAKWAN</t>
        </is>
      </c>
      <c r="B36" t="inlineStr">
        <is>
          <t>Kab. Kutai Kartanegara</t>
        </is>
      </c>
      <c r="C36" t="inlineStr">
        <is>
          <t>081258113006</t>
        </is>
      </c>
      <c r="D36" t="inlineStr">
        <is>
          <t>cv.barakwan@gmail.com</t>
        </is>
      </c>
      <c r="E36" t="inlineStr">
        <is>
          <t>https://lpjk.pu.go.id/search-badan-usaha-detail/TEE0VkM3V04ySk42QXZ3aDNCdlROdz09</t>
        </is>
      </c>
      <c r="F36" t="n">
        <v>2</v>
      </c>
      <c r="G36" t="inlineStr">
        <is>
          <t>BS002</t>
        </is>
      </c>
      <c r="H36" t="inlineStr">
        <is>
          <t>20 Februari 2020</t>
        </is>
      </c>
      <c r="I36" s="2" t="n">
        <v>46300</v>
      </c>
      <c r="J36" t="inlineStr">
        <is>
          <t>Disetujui</t>
        </is>
      </c>
      <c r="K36" t="n">
        <v>90</v>
      </c>
      <c r="L36" t="inlineStr">
        <is>
          <t>5 Oktober 2026</t>
        </is>
      </c>
      <c r="M36" t="inlineStr">
        <is>
          <t>Bangunan Sipil Jembatan, Jalan Layang, Fly Over, dan Underpass</t>
        </is>
      </c>
      <c r="N36" t="inlineStr">
        <is>
          <t>K</t>
        </is>
      </c>
      <c r="O36" t="inlineStr">
        <is>
          <t>20230929</t>
        </is>
      </c>
      <c r="P36" t="inlineStr">
        <is>
          <t>Kalimantan Timur</t>
        </is>
      </c>
      <c r="Q36" t="inlineStr"/>
    </row>
    <row r="37">
      <c r="A37" t="inlineStr">
        <is>
          <t>BATU SERBAN</t>
        </is>
      </c>
      <c r="B37" t="inlineStr">
        <is>
          <t>Kota Sungai Penuh</t>
        </is>
      </c>
      <c r="C37" t="inlineStr">
        <is>
          <t>082352035693</t>
        </is>
      </c>
      <c r="D37" t="inlineStr">
        <is>
          <t>cv.batuserban@gmail.com</t>
        </is>
      </c>
      <c r="E37" t="inlineStr">
        <is>
          <t>https://lpjk.pu.go.id/search-badan-usaha-detail/UmZGQ1lWN3pGY1U4c1ZpNGkxU1dCUT09</t>
        </is>
      </c>
      <c r="F37" t="n">
        <v>1</v>
      </c>
      <c r="G37" t="inlineStr">
        <is>
          <t>BG006</t>
        </is>
      </c>
      <c r="H37" t="inlineStr">
        <is>
          <t>31 Agustus 2002</t>
        </is>
      </c>
      <c r="I37" s="2" t="n">
        <v>46300</v>
      </c>
      <c r="J37" t="inlineStr">
        <is>
          <t>Disetujui</t>
        </is>
      </c>
      <c r="K37" t="n">
        <v>90</v>
      </c>
      <c r="L37" t="inlineStr">
        <is>
          <t>5 Oktober 2026</t>
        </is>
      </c>
      <c r="M37" t="inlineStr">
        <is>
          <t>Konstruksi Gedung Pendidikan</t>
        </is>
      </c>
      <c r="N37" t="inlineStr">
        <is>
          <t>K</t>
        </is>
      </c>
      <c r="O37" t="inlineStr">
        <is>
          <t>20231005</t>
        </is>
      </c>
      <c r="P37" t="inlineStr">
        <is>
          <t>Jambi</t>
        </is>
      </c>
      <c r="Q37" t="inlineStr"/>
    </row>
    <row r="38">
      <c r="A38" t="inlineStr">
        <is>
          <t>BERKAH JAYA ABADI</t>
        </is>
      </c>
      <c r="B38" t="inlineStr">
        <is>
          <t>Kab. Tasikmalaya</t>
        </is>
      </c>
      <c r="C38" t="inlineStr">
        <is>
          <t>081313111041</t>
        </is>
      </c>
      <c r="D38" t="inlineStr">
        <is>
          <t>berkahjayaabado2019@gmail.com</t>
        </is>
      </c>
      <c r="E38" t="inlineStr">
        <is>
          <t>https://lpjk.pu.go.id/search-badan-usaha-detail/NEFkdTZHUW9vUzlUTmRrdnQ4NUhFQT09</t>
        </is>
      </c>
      <c r="F38" t="n">
        <v>6</v>
      </c>
      <c r="G38" t="inlineStr">
        <is>
          <t>BG004, BG009, BS004</t>
        </is>
      </c>
      <c r="H38" t="inlineStr">
        <is>
          <t>28 Mei 2018</t>
        </is>
      </c>
      <c r="I38" s="2" t="n">
        <v>46300</v>
      </c>
      <c r="J38" t="inlineStr">
        <is>
          <t>Disetujui</t>
        </is>
      </c>
      <c r="K38" t="n">
        <v>90</v>
      </c>
      <c r="L38" t="inlineStr">
        <is>
          <t>5 Oktober 2026</t>
        </is>
      </c>
      <c r="M38" t="inlineStr">
        <is>
          <t>Konstruksi Gedung Lainnya, Konstruksi Gedung Perbelanjaan, Konstruksi Jaringan Irigasi dan Drainase</t>
        </is>
      </c>
      <c r="N38" t="inlineStr">
        <is>
          <t>K</t>
        </is>
      </c>
      <c r="O38" t="inlineStr">
        <is>
          <t>20231006</t>
        </is>
      </c>
      <c r="P38" t="inlineStr">
        <is>
          <t>Jawa Barat</t>
        </is>
      </c>
      <c r="Q38" t="inlineStr"/>
    </row>
    <row r="39">
      <c r="A39" t="inlineStr">
        <is>
          <t>BERKAT ABADI</t>
        </is>
      </c>
      <c r="B39" t="inlineStr">
        <is>
          <t>Kab. Asmat</t>
        </is>
      </c>
      <c r="C39" t="inlineStr">
        <is>
          <t>082198508268</t>
        </is>
      </c>
      <c r="D39" t="inlineStr">
        <is>
          <t>fransiskusmakp@gmail.com</t>
        </is>
      </c>
      <c r="E39" t="inlineStr">
        <is>
          <t>https://lpjk.pu.go.id/search-badan-usaha-detail/cGM1dmV4MzY4MHg4R0ZNV2EvT2pRQT09</t>
        </is>
      </c>
      <c r="F39" t="n">
        <v>2</v>
      </c>
      <c r="G39" t="inlineStr">
        <is>
          <t>BG009</t>
        </is>
      </c>
      <c r="H39" t="inlineStr">
        <is>
          <t>14 Maret 2016</t>
        </is>
      </c>
      <c r="I39" s="2" t="n">
        <v>46300</v>
      </c>
      <c r="J39" t="inlineStr">
        <is>
          <t>Disetujui</t>
        </is>
      </c>
      <c r="K39" t="n">
        <v>90</v>
      </c>
      <c r="L39" t="inlineStr">
        <is>
          <t>5 Oktober 2026</t>
        </is>
      </c>
      <c r="M39" t="inlineStr">
        <is>
          <t>Konstruksi Gedung Lainnya</t>
        </is>
      </c>
      <c r="N39" t="inlineStr">
        <is>
          <t>K</t>
        </is>
      </c>
      <c r="O39" t="inlineStr">
        <is>
          <t>20230830</t>
        </is>
      </c>
      <c r="P39" t="inlineStr">
        <is>
          <t>Papua</t>
        </is>
      </c>
      <c r="Q39" t="inlineStr"/>
    </row>
    <row r="40">
      <c r="A40" t="inlineStr">
        <is>
          <t>BERLIAN SEJAHTERA BERSAUDARA</t>
        </is>
      </c>
      <c r="B40" t="inlineStr">
        <is>
          <t>Kota Surabaya</t>
        </is>
      </c>
      <c r="C40" t="inlineStr">
        <is>
          <t>0317494053</t>
        </is>
      </c>
      <c r="D40" t="inlineStr">
        <is>
          <t>berliansjtr@gmail.com</t>
        </is>
      </c>
      <c r="E40" t="inlineStr">
        <is>
          <t>https://lpjk.pu.go.id/search-badan-usaha-detail/Mkh1dkNxNEZXMzQ4TVpndUY3c0djdz09</t>
        </is>
      </c>
      <c r="F40" t="n">
        <v>1</v>
      </c>
      <c r="G40" t="inlineStr">
        <is>
          <t>IN013</t>
        </is>
      </c>
      <c r="H40" t="inlineStr">
        <is>
          <t>31 Juli 1990</t>
        </is>
      </c>
      <c r="I40" s="2" t="n">
        <v>46300</v>
      </c>
      <c r="J40" t="inlineStr">
        <is>
          <t>Disetujui</t>
        </is>
      </c>
      <c r="K40" t="n">
        <v>90</v>
      </c>
      <c r="L40" t="inlineStr">
        <is>
          <t>5 Oktober 2026</t>
        </is>
      </c>
      <c r="M40" t="inlineStr">
        <is>
          <t>Instalasi Pemanas dan Geotermal</t>
        </is>
      </c>
      <c r="N40" t="inlineStr">
        <is>
          <t>Spesialis</t>
        </is>
      </c>
      <c r="O40" t="inlineStr">
        <is>
          <t>20231005</t>
        </is>
      </c>
      <c r="P40" t="inlineStr">
        <is>
          <t>Jawa Timur</t>
        </is>
      </c>
      <c r="Q40" t="inlineStr"/>
    </row>
    <row r="41">
      <c r="A41" t="inlineStr">
        <is>
          <t>BHINNEKA CITRA PRIMA</t>
        </is>
      </c>
      <c r="B41" t="inlineStr">
        <is>
          <t>Kota Yogyakarta</t>
        </is>
      </c>
      <c r="C41" t="inlineStr">
        <is>
          <t>0274513977</t>
        </is>
      </c>
      <c r="D41" t="inlineStr">
        <is>
          <t>bcp_jogja@yahoo.com</t>
        </is>
      </c>
      <c r="E41" t="inlineStr">
        <is>
          <t>https://lpjk.pu.go.id/search-badan-usaha-detail/cEVFUkVUbGoyeXk4NlcvcHFwalcrZz09</t>
        </is>
      </c>
      <c r="F41" t="n">
        <v>1</v>
      </c>
      <c r="G41" t="inlineStr">
        <is>
          <t>BG002</t>
        </is>
      </c>
      <c r="H41" t="inlineStr">
        <is>
          <t>11 September 1990</t>
        </is>
      </c>
      <c r="I41" s="2" t="n">
        <v>46300</v>
      </c>
      <c r="J41" t="inlineStr">
        <is>
          <t>Disetujui</t>
        </is>
      </c>
      <c r="K41" t="n">
        <v>90</v>
      </c>
      <c r="L41" t="inlineStr">
        <is>
          <t>5 Oktober 2026</t>
        </is>
      </c>
      <c r="M41" t="inlineStr">
        <is>
          <t>Konstruksi Gedung Perkantoran</t>
        </is>
      </c>
      <c r="N41" t="inlineStr">
        <is>
          <t>M</t>
        </is>
      </c>
      <c r="O41" t="inlineStr">
        <is>
          <t>20230916</t>
        </is>
      </c>
      <c r="P41" t="inlineStr">
        <is>
          <t>DI Yogyakarta</t>
        </is>
      </c>
      <c r="Q41" t="inlineStr"/>
    </row>
    <row r="42">
      <c r="A42" t="inlineStr">
        <is>
          <t>BIMA BERKAH MANDIRI</t>
        </is>
      </c>
      <c r="B42" t="inlineStr">
        <is>
          <t>Kab. Tuban</t>
        </is>
      </c>
      <c r="C42" t="inlineStr">
        <is>
          <t>081230942781</t>
        </is>
      </c>
      <c r="D42" t="inlineStr">
        <is>
          <t>wahyuanitasari68@gmail.com</t>
        </is>
      </c>
      <c r="E42" t="inlineStr">
        <is>
          <t>https://lpjk.pu.go.id/search-badan-usaha-detail/WUd0QWd3Q0pSbkVURnlHZ3ZNSjhGQT09</t>
        </is>
      </c>
      <c r="F42" t="n">
        <v>4</v>
      </c>
      <c r="G42" t="inlineStr">
        <is>
          <t>BG002</t>
        </is>
      </c>
      <c r="H42" t="inlineStr">
        <is>
          <t>22 Oktober 2014</t>
        </is>
      </c>
      <c r="I42" s="2" t="n">
        <v>46300</v>
      </c>
      <c r="J42" t="inlineStr">
        <is>
          <t>Disetujui</t>
        </is>
      </c>
      <c r="K42" t="n">
        <v>90</v>
      </c>
      <c r="L42" t="inlineStr">
        <is>
          <t>5 Oktober 2026</t>
        </is>
      </c>
      <c r="M42" t="inlineStr">
        <is>
          <t>Konstruksi Gedung Perkantoran</t>
        </is>
      </c>
      <c r="N42" t="inlineStr">
        <is>
          <t>K</t>
        </is>
      </c>
      <c r="O42" t="inlineStr">
        <is>
          <t>20231004</t>
        </is>
      </c>
      <c r="P42" t="inlineStr">
        <is>
          <t>Jawa Timur</t>
        </is>
      </c>
      <c r="Q42" t="inlineStr"/>
    </row>
    <row r="43">
      <c r="A43" t="inlineStr">
        <is>
          <t>BIMA MADIUN</t>
        </is>
      </c>
      <c r="B43" t="inlineStr">
        <is>
          <t>Kab. Madiun</t>
        </is>
      </c>
      <c r="C43" t="inlineStr">
        <is>
          <t>-</t>
        </is>
      </c>
      <c r="D43" t="inlineStr">
        <is>
          <t>cv.bimamadiun@yahoo.co.id</t>
        </is>
      </c>
      <c r="E43" t="inlineStr">
        <is>
          <t>https://lpjk.pu.go.id/search-badan-usaha-detail/a3BYTTFscGZjT1pLUkk4ZVNUdnI1UT09</t>
        </is>
      </c>
      <c r="F43" t="n">
        <v>1</v>
      </c>
      <c r="G43" t="inlineStr">
        <is>
          <t>BS004</t>
        </is>
      </c>
      <c r="H43" t="inlineStr">
        <is>
          <t>19 April 2000</t>
        </is>
      </c>
      <c r="I43" s="2" t="n">
        <v>46300</v>
      </c>
      <c r="J43" t="inlineStr">
        <is>
          <t>Disetujui</t>
        </is>
      </c>
      <c r="K43" t="n">
        <v>90</v>
      </c>
      <c r="L43" t="inlineStr">
        <is>
          <t>5 Oktober 2026</t>
        </is>
      </c>
      <c r="M43" t="inlineStr">
        <is>
          <t>Konstruksi Jaringan Irigasi dan Drainase</t>
        </is>
      </c>
      <c r="N43" t="inlineStr">
        <is>
          <t>K</t>
        </is>
      </c>
      <c r="O43" t="inlineStr">
        <is>
          <t>20230926</t>
        </is>
      </c>
      <c r="P43" t="inlineStr">
        <is>
          <t>Jawa Timur</t>
        </is>
      </c>
      <c r="Q43" t="inlineStr"/>
    </row>
    <row r="44">
      <c r="A44" t="inlineStr">
        <is>
          <t>BIMA SAKTI</t>
        </is>
      </c>
      <c r="B44" t="inlineStr">
        <is>
          <t>Kab. Tuban</t>
        </is>
      </c>
      <c r="C44" t="inlineStr">
        <is>
          <t>0356320123</t>
        </is>
      </c>
      <c r="D44" t="inlineStr">
        <is>
          <t>cv_bimasakti_tuban@yahoo.com</t>
        </is>
      </c>
      <c r="E44" t="inlineStr">
        <is>
          <t>https://lpjk.pu.go.id/search-badan-usaha-detail/MHVNanlWKzdvS2Z1UnNCdE5xMmtjUT09</t>
        </is>
      </c>
      <c r="F44" t="n">
        <v>7</v>
      </c>
      <c r="G44" t="inlineStr">
        <is>
          <t>BG001, BG002, BG005, BG006, BG009, BS001, BS004</t>
        </is>
      </c>
      <c r="H44" t="inlineStr">
        <is>
          <t>14 September 1991</t>
        </is>
      </c>
      <c r="I44" s="2" t="n">
        <v>46300</v>
      </c>
      <c r="J44" t="inlineStr">
        <is>
          <t>Disetujui</t>
        </is>
      </c>
      <c r="K44" t="n">
        <v>90</v>
      </c>
      <c r="L44" t="inlineStr">
        <is>
          <t>5 Oktober 2026</t>
        </is>
      </c>
      <c r="M44" t="inlineStr">
        <is>
          <t>Konstruksi Bangunan Sipil Jalan, Konstruksi Gedung Hunian, Konstruksi Gedung Kesehatan, Konstruksi Gedung Lainnya, Konstruksi Gedung Pendidikan, Konstruksi Gedung Perkantoran, Konstruksi Jaringan Irigasi dan Drainase</t>
        </is>
      </c>
      <c r="N44" t="inlineStr">
        <is>
          <t>K</t>
        </is>
      </c>
      <c r="O44" t="inlineStr">
        <is>
          <t>20230929</t>
        </is>
      </c>
      <c r="P44" t="inlineStr">
        <is>
          <t>Jawa Timur</t>
        </is>
      </c>
      <c r="Q44" t="inlineStr"/>
    </row>
    <row r="45">
      <c r="A45" t="inlineStr">
        <is>
          <t>BINA CIPTA DASALINDO</t>
        </is>
      </c>
      <c r="B45" t="inlineStr">
        <is>
          <t>Kota Banjarmasin</t>
        </is>
      </c>
      <c r="C45" t="inlineStr">
        <is>
          <t>05113261664</t>
        </is>
      </c>
      <c r="D45" t="inlineStr">
        <is>
          <t>pt.binaciptadasalindo@gmail.com</t>
        </is>
      </c>
      <c r="E45" t="inlineStr">
        <is>
          <t>https://lpjk.pu.go.id/search-badan-usaha-detail/SnE5VUlDRlF6WEJhQlhiK0gwclhCUT09</t>
        </is>
      </c>
      <c r="F45" t="n">
        <v>1</v>
      </c>
      <c r="G45" t="inlineStr">
        <is>
          <t>AR002</t>
        </is>
      </c>
      <c r="H45" t="inlineStr">
        <is>
          <t>28 Agustus 1991</t>
        </is>
      </c>
      <c r="I45" s="2" t="n">
        <v>46300</v>
      </c>
      <c r="J45" t="inlineStr">
        <is>
          <t>Disetujui</t>
        </is>
      </c>
      <c r="K45" t="n">
        <v>90</v>
      </c>
      <c r="L45" t="inlineStr">
        <is>
          <t>5 Oktober 2026</t>
        </is>
      </c>
      <c r="M45" t="inlineStr">
        <is>
          <t>Jasa Arsitektural Lainnya</t>
        </is>
      </c>
      <c r="N45" t="inlineStr">
        <is>
          <t>K</t>
        </is>
      </c>
      <c r="O45" t="inlineStr">
        <is>
          <t>20230926</t>
        </is>
      </c>
      <c r="P45" t="inlineStr">
        <is>
          <t>Kalimantan Selatan</t>
        </is>
      </c>
      <c r="Q45" t="inlineStr"/>
    </row>
    <row r="46">
      <c r="A46" t="inlineStr">
        <is>
          <t>BINA RAYA</t>
        </is>
      </c>
      <c r="B46" t="inlineStr">
        <is>
          <t>Kab. Ciamis</t>
        </is>
      </c>
      <c r="C46" t="inlineStr">
        <is>
          <t>085322971414</t>
        </is>
      </c>
      <c r="D46" t="inlineStr">
        <is>
          <t>binaraya07@yahoo.com</t>
        </is>
      </c>
      <c r="E46" t="inlineStr">
        <is>
          <t>https://lpjk.pu.go.id/search-badan-usaha-detail/OW5PMzJtcnZYU2gxc1BtQmR0aElTQT09</t>
        </is>
      </c>
      <c r="F46" t="n">
        <v>1</v>
      </c>
      <c r="G46" t="inlineStr">
        <is>
          <t>BG008</t>
        </is>
      </c>
      <c r="H46" t="inlineStr">
        <is>
          <t>2 Februari 1985</t>
        </is>
      </c>
      <c r="I46" s="2" t="n">
        <v>46300</v>
      </c>
      <c r="J46" t="inlineStr">
        <is>
          <t>Disetujui</t>
        </is>
      </c>
      <c r="K46" t="n">
        <v>90</v>
      </c>
      <c r="L46" t="inlineStr">
        <is>
          <t>5 Oktober 2026</t>
        </is>
      </c>
      <c r="M46" t="inlineStr">
        <is>
          <t>Konstruksi Gedung Tempat Hiburan dan Olahraga</t>
        </is>
      </c>
      <c r="N46" t="inlineStr">
        <is>
          <t>K</t>
        </is>
      </c>
      <c r="O46" t="inlineStr">
        <is>
          <t>20231004</t>
        </is>
      </c>
      <c r="P46" t="inlineStr">
        <is>
          <t>Jawa Barat</t>
        </is>
      </c>
      <c r="Q46" t="inlineStr"/>
    </row>
    <row r="47">
      <c r="A47" t="inlineStr">
        <is>
          <t>BINTANG BUDI MANDIRI</t>
        </is>
      </c>
      <c r="B47" t="inlineStr">
        <is>
          <t>Kab. Mandailing Natal</t>
        </is>
      </c>
      <c r="C47" t="inlineStr">
        <is>
          <t>082370410795</t>
        </is>
      </c>
      <c r="D47" t="inlineStr">
        <is>
          <t>cv.bbm.madina@gmail.com</t>
        </is>
      </c>
      <c r="E47" t="inlineStr">
        <is>
          <t>https://lpjk.pu.go.id/search-badan-usaha-detail/T1h1VEQ1NVRBRHZ1SHVnUVpvTXNuQT09</t>
        </is>
      </c>
      <c r="F47" t="n">
        <v>2</v>
      </c>
      <c r="G47" t="inlineStr">
        <is>
          <t>BG009</t>
        </is>
      </c>
      <c r="H47" t="inlineStr">
        <is>
          <t>11 Oktober 2016</t>
        </is>
      </c>
      <c r="I47" s="2" t="n">
        <v>46300</v>
      </c>
      <c r="J47" t="inlineStr">
        <is>
          <t>Pencabutan</t>
        </is>
      </c>
      <c r="K47" t="n">
        <v>90</v>
      </c>
      <c r="L47" t="inlineStr">
        <is>
          <t>5 Oktober 2026</t>
        </is>
      </c>
      <c r="M47" t="inlineStr">
        <is>
          <t>Konstruksi Gedung Lainnya</t>
        </is>
      </c>
      <c r="N47" t="inlineStr">
        <is>
          <t>K</t>
        </is>
      </c>
      <c r="O47" t="inlineStr">
        <is>
          <t>20231005</t>
        </is>
      </c>
      <c r="P47" t="inlineStr">
        <is>
          <t>Sumatera Utara</t>
        </is>
      </c>
      <c r="Q47" t="inlineStr"/>
    </row>
    <row r="48">
      <c r="A48" t="inlineStr">
        <is>
          <t>BINTANG MUARA GROUP</t>
        </is>
      </c>
      <c r="B48" t="inlineStr">
        <is>
          <t>Kota Adm. Jakarta Utara</t>
        </is>
      </c>
      <c r="C48" t="inlineStr">
        <is>
          <t>0214361606</t>
        </is>
      </c>
      <c r="D48" t="inlineStr">
        <is>
          <t>bintangmuarapjk@gmail.com</t>
        </is>
      </c>
      <c r="E48" t="inlineStr">
        <is>
          <t>https://lpjk.pu.go.id/search-badan-usaha-detail/UjJkSzNzaVUrYmpqVXAvOGhhbFh5UT09</t>
        </is>
      </c>
      <c r="F48" t="n">
        <v>2</v>
      </c>
      <c r="G48" t="inlineStr">
        <is>
          <t>BS004</t>
        </is>
      </c>
      <c r="H48" t="inlineStr">
        <is>
          <t>21 Mei 2003</t>
        </is>
      </c>
      <c r="I48" s="2" t="n">
        <v>46300</v>
      </c>
      <c r="J48" t="inlineStr">
        <is>
          <t>Pembekuan</t>
        </is>
      </c>
      <c r="K48" t="n">
        <v>90</v>
      </c>
      <c r="L48" t="inlineStr">
        <is>
          <t>5 Oktober 2026</t>
        </is>
      </c>
      <c r="M48" t="inlineStr">
        <is>
          <t>Konstruksi Jaringan Irigasi dan Drainase</t>
        </is>
      </c>
      <c r="N48" t="inlineStr">
        <is>
          <t>M</t>
        </is>
      </c>
      <c r="O48" t="inlineStr">
        <is>
          <t>20231005</t>
        </is>
      </c>
      <c r="P48" t="inlineStr">
        <is>
          <t>DKI Jakarta</t>
        </is>
      </c>
      <c r="Q48" t="inlineStr"/>
    </row>
    <row r="49">
      <c r="A49" t="inlineStr">
        <is>
          <t>BINTANG PERDANA</t>
        </is>
      </c>
      <c r="B49" t="inlineStr">
        <is>
          <t>Kab. Dompu</t>
        </is>
      </c>
      <c r="C49" t="inlineStr">
        <is>
          <t>085338406570</t>
        </is>
      </c>
      <c r="D49" t="inlineStr">
        <is>
          <t>cv.bintangperdana1101@gmail.com</t>
        </is>
      </c>
      <c r="E49" t="inlineStr">
        <is>
          <t>https://lpjk.pu.go.id/search-badan-usaha-detail/VW4rSW5GdWRYcEtCNVpVRnE3M2ljdz09</t>
        </is>
      </c>
      <c r="F49" t="n">
        <v>2</v>
      </c>
      <c r="G49" t="inlineStr">
        <is>
          <t>BG001</t>
        </is>
      </c>
      <c r="H49" t="inlineStr">
        <is>
          <t>28 Agustus 2007</t>
        </is>
      </c>
      <c r="I49" s="2" t="n">
        <v>46300</v>
      </c>
      <c r="J49" t="inlineStr">
        <is>
          <t>Disetujui</t>
        </is>
      </c>
      <c r="K49" t="n">
        <v>90</v>
      </c>
      <c r="L49" t="inlineStr">
        <is>
          <t>5 Oktober 2026</t>
        </is>
      </c>
      <c r="M49" t="inlineStr">
        <is>
          <t>Konstruksi Gedung Hunian</t>
        </is>
      </c>
      <c r="N49" t="inlineStr">
        <is>
          <t>K</t>
        </is>
      </c>
      <c r="O49" t="inlineStr">
        <is>
          <t>20231006</t>
        </is>
      </c>
      <c r="P49" t="inlineStr">
        <is>
          <t>Nusa Tenggara Barat</t>
        </is>
      </c>
      <c r="Q49" t="inlineStr"/>
    </row>
    <row r="50">
      <c r="A50" t="inlineStr">
        <is>
          <t>BUNGA LAMTIAR JAYA</t>
        </is>
      </c>
      <c r="B50" t="inlineStr">
        <is>
          <t>Kab. Toba Samosir</t>
        </is>
      </c>
      <c r="C50" t="inlineStr">
        <is>
          <t>081396881878</t>
        </is>
      </c>
      <c r="D50" t="inlineStr">
        <is>
          <t>cvlamtiarjaya@gmail.com</t>
        </is>
      </c>
      <c r="E50" t="inlineStr">
        <is>
          <t>https://lpjk.pu.go.id/search-badan-usaha-detail/S0RZY2VneEkxQ1pBd2JLVldrbTdhZz09</t>
        </is>
      </c>
      <c r="F50" t="n">
        <v>2</v>
      </c>
      <c r="G50" t="inlineStr">
        <is>
          <t>BS001, BS004</t>
        </is>
      </c>
      <c r="H50" t="inlineStr">
        <is>
          <t>30 Oktober 2019</t>
        </is>
      </c>
      <c r="I50" s="2" t="n">
        <v>46300</v>
      </c>
      <c r="J50" t="inlineStr">
        <is>
          <t>Pencabutan</t>
        </is>
      </c>
      <c r="K50" t="n">
        <v>90</v>
      </c>
      <c r="L50" t="inlineStr">
        <is>
          <t>5 Oktober 2026</t>
        </is>
      </c>
      <c r="M50" t="inlineStr">
        <is>
          <t>Konstruksi Bangunan Sipil Jalan, Konstruksi Jaringan Irigasi dan Drainase</t>
        </is>
      </c>
      <c r="N50" t="inlineStr">
        <is>
          <t>K</t>
        </is>
      </c>
      <c r="O50" t="inlineStr">
        <is>
          <t>20230906, 20231006</t>
        </is>
      </c>
      <c r="P50" t="inlineStr">
        <is>
          <t>Sumatera Utara</t>
        </is>
      </c>
      <c r="Q50" t="inlineStr"/>
    </row>
    <row r="51">
      <c r="A51" t="inlineStr">
        <is>
          <t>CAKA ANUGRAH MANDIRI</t>
        </is>
      </c>
      <c r="B51" t="inlineStr">
        <is>
          <t>Kota Makassar</t>
        </is>
      </c>
      <c r="C51" t="inlineStr">
        <is>
          <t>0811467390</t>
        </is>
      </c>
      <c r="D51" t="inlineStr">
        <is>
          <t>cam_mks@yahoo.co.id</t>
        </is>
      </c>
      <c r="E51" t="inlineStr">
        <is>
          <t>https://lpjk.pu.go.id/search-badan-usaha-detail/TEFBMFlLb2pVdkVzc2tIZEZQdWF0Zz09</t>
        </is>
      </c>
      <c r="F51" t="n">
        <v>1</v>
      </c>
      <c r="G51" t="inlineStr">
        <is>
          <t>BS010</t>
        </is>
      </c>
      <c r="H51" t="inlineStr">
        <is>
          <t>19 Mei 2022</t>
        </is>
      </c>
      <c r="I51" s="2" t="n">
        <v>46300</v>
      </c>
      <c r="J51" t="inlineStr">
        <is>
          <t>Disetujui</t>
        </is>
      </c>
      <c r="K51" t="n">
        <v>90</v>
      </c>
      <c r="L51" t="inlineStr">
        <is>
          <t>5 Oktober 2026</t>
        </is>
      </c>
      <c r="M51" t="inlineStr">
        <is>
          <t>Konstruksi Bangunan Prasarana Sumber Daya Air</t>
        </is>
      </c>
      <c r="N51" t="inlineStr">
        <is>
          <t>K</t>
        </is>
      </c>
      <c r="O51" t="inlineStr">
        <is>
          <t>20231004</t>
        </is>
      </c>
      <c r="P51" t="inlineStr">
        <is>
          <t>Sulawesi Selatan</t>
        </is>
      </c>
      <c r="Q51" t="inlineStr"/>
    </row>
    <row r="52">
      <c r="A52" t="inlineStr">
        <is>
          <t>CAKRAWALA</t>
        </is>
      </c>
      <c r="B52" t="inlineStr">
        <is>
          <t>Kab. Tuban</t>
        </is>
      </c>
      <c r="C52" t="inlineStr">
        <is>
          <t>N/A</t>
        </is>
      </c>
      <c r="D52" t="inlineStr">
        <is>
          <t>N/A</t>
        </is>
      </c>
      <c r="E52" t="inlineStr">
        <is>
          <t>https://lpjk.pu.go.id/search-badan-usaha-detail/QTVXckNCOTlNY0VIWk5jTUgyYXg3QT09</t>
        </is>
      </c>
      <c r="F52" t="n">
        <v>1</v>
      </c>
      <c r="G52" t="inlineStr">
        <is>
          <t>BS005</t>
        </is>
      </c>
      <c r="H52" t="inlineStr"/>
      <c r="I52" s="2" t="n">
        <v>46300</v>
      </c>
      <c r="J52" t="inlineStr">
        <is>
          <t>Disetujui</t>
        </is>
      </c>
      <c r="K52" t="n">
        <v>90</v>
      </c>
      <c r="L52" t="inlineStr">
        <is>
          <t>5 Oktober 2026</t>
        </is>
      </c>
      <c r="M52" t="inlineStr">
        <is>
          <t>Konstruksi Bangunan Sipil Pengolahan Air Bersih</t>
        </is>
      </c>
      <c r="N52" t="inlineStr">
        <is>
          <t>K</t>
        </is>
      </c>
      <c r="O52" t="inlineStr">
        <is>
          <t>20230927</t>
        </is>
      </c>
      <c r="P52" t="inlineStr">
        <is>
          <t>Jawa Timur</t>
        </is>
      </c>
      <c r="Q52" t="inlineStr"/>
    </row>
    <row r="53">
      <c r="A53" t="inlineStr">
        <is>
          <t>CAKRAWALA NUSANTARA KONSTRUKSI</t>
        </is>
      </c>
      <c r="B53" t="inlineStr">
        <is>
          <t>Kota Bandar Lampung</t>
        </is>
      </c>
      <c r="C53" t="inlineStr">
        <is>
          <t>085267371434</t>
        </is>
      </c>
      <c r="D53" t="inlineStr">
        <is>
          <t>ptcakrawalanusantarakonstruksi@gmail.com</t>
        </is>
      </c>
      <c r="E53" t="inlineStr">
        <is>
          <t>https://lpjk.pu.go.id/search-badan-usaha-detail/VTY5OUcySzRHb0FPdTB3Nk9nZGVCQT09</t>
        </is>
      </c>
      <c r="F53" t="n">
        <v>8</v>
      </c>
      <c r="G53" t="inlineStr">
        <is>
          <t>BG001, BG005, BG006, BG009</t>
        </is>
      </c>
      <c r="H53" t="inlineStr">
        <is>
          <t>17 April 2024</t>
        </is>
      </c>
      <c r="I53" s="2" t="n">
        <v>46300</v>
      </c>
      <c r="J53" t="inlineStr">
        <is>
          <t>Disetujui</t>
        </is>
      </c>
      <c r="K53" t="n">
        <v>90</v>
      </c>
      <c r="L53" t="inlineStr">
        <is>
          <t>5 Oktober 2026</t>
        </is>
      </c>
      <c r="M53" t="inlineStr">
        <is>
          <t>Konstruksi Gedung Hunian, Konstruksi Gedung Kesehatan, Konstruksi Gedung Lainnya, Konstruksi Gedung Pendidikan</t>
        </is>
      </c>
      <c r="N53" t="inlineStr">
        <is>
          <t>K</t>
        </is>
      </c>
      <c r="O53" t="inlineStr">
        <is>
          <t>20231004</t>
        </is>
      </c>
      <c r="P53" t="inlineStr">
        <is>
          <t>Lampung</t>
        </is>
      </c>
      <c r="Q53" t="inlineStr"/>
    </row>
    <row r="54">
      <c r="A54" t="inlineStr">
        <is>
          <t>CEMPAKA PAPUA BERLIAN</t>
        </is>
      </c>
      <c r="B54" t="inlineStr">
        <is>
          <t>Kab. Boven Digoel</t>
        </is>
      </c>
      <c r="C54" t="inlineStr">
        <is>
          <t>081344540077</t>
        </is>
      </c>
      <c r="D54" t="inlineStr">
        <is>
          <t>cemimindip2@gmail.com</t>
        </is>
      </c>
      <c r="E54" t="inlineStr">
        <is>
          <t>https://lpjk.pu.go.id/search-badan-usaha-detail/c2FZM01RblNUOW1XbmY2MENCekRGQT09</t>
        </is>
      </c>
      <c r="F54" t="n">
        <v>1</v>
      </c>
      <c r="G54" t="inlineStr">
        <is>
          <t>BG001</t>
        </is>
      </c>
      <c r="H54" t="inlineStr">
        <is>
          <t>27 Desember 2013</t>
        </is>
      </c>
      <c r="I54" s="2" t="n">
        <v>46300</v>
      </c>
      <c r="J54" t="inlineStr">
        <is>
          <t>Disetujui</t>
        </is>
      </c>
      <c r="K54" t="n">
        <v>90</v>
      </c>
      <c r="L54" t="inlineStr">
        <is>
          <t>5 Oktober 2026</t>
        </is>
      </c>
      <c r="M54" t="inlineStr">
        <is>
          <t>Konstruksi Gedung Hunian</t>
        </is>
      </c>
      <c r="N54" t="inlineStr">
        <is>
          <t>K</t>
        </is>
      </c>
      <c r="O54" t="inlineStr">
        <is>
          <t>20231005</t>
        </is>
      </c>
      <c r="P54" t="inlineStr">
        <is>
          <t>Papua Selatan</t>
        </is>
      </c>
      <c r="Q54" t="inlineStr"/>
    </row>
    <row r="55">
      <c r="A55" t="inlineStr">
        <is>
          <t>CHANDRA JAYA PERKASA</t>
        </is>
      </c>
      <c r="B55" t="inlineStr">
        <is>
          <t>Kota Medan</t>
        </is>
      </c>
      <c r="C55" t="inlineStr">
        <is>
          <t>0811612558</t>
        </is>
      </c>
      <c r="D55" t="inlineStr">
        <is>
          <t>ptchandrajayaperkasa333@gmail.com</t>
        </is>
      </c>
      <c r="E55" t="inlineStr">
        <is>
          <t>https://lpjk.pu.go.id/search-badan-usaha-detail/MjZ0Smh2cVR4MlRDUHpIZlFKT1ZYdz09</t>
        </is>
      </c>
      <c r="F55" t="n">
        <v>2</v>
      </c>
      <c r="G55" t="inlineStr">
        <is>
          <t>BS001</t>
        </is>
      </c>
      <c r="H55" t="inlineStr">
        <is>
          <t>3 Februari 2005</t>
        </is>
      </c>
      <c r="I55" s="2" t="n">
        <v>46300</v>
      </c>
      <c r="J55" t="inlineStr">
        <is>
          <t>Disetujui</t>
        </is>
      </c>
      <c r="K55" t="n">
        <v>90</v>
      </c>
      <c r="L55" t="inlineStr">
        <is>
          <t>5 Oktober 2026</t>
        </is>
      </c>
      <c r="M55" t="inlineStr">
        <is>
          <t>Konstruksi Bangunan Sipil Jalan</t>
        </is>
      </c>
      <c r="N55" t="inlineStr">
        <is>
          <t>K</t>
        </is>
      </c>
      <c r="O55" t="inlineStr">
        <is>
          <t>20231005</t>
        </is>
      </c>
      <c r="P55" t="inlineStr">
        <is>
          <t>Sumatera Utara</t>
        </is>
      </c>
      <c r="Q55" t="inlineStr"/>
    </row>
    <row r="56">
      <c r="A56" t="inlineStr">
        <is>
          <t>CIPTA KREASI BANGUN PRATAMA</t>
        </is>
      </c>
      <c r="B56" t="inlineStr">
        <is>
          <t>Kota Denpasar</t>
        </is>
      </c>
      <c r="C56" t="inlineStr">
        <is>
          <t>0361467777</t>
        </is>
      </c>
      <c r="D56" t="inlineStr">
        <is>
          <t>ciptakreasi177@yahoo.co.id</t>
        </is>
      </c>
      <c r="E56" t="inlineStr">
        <is>
          <t>https://lpjk.pu.go.id/search-badan-usaha-detail/YzFrNHBGalNYY3BtU29Nekd3UTd1Zz09</t>
        </is>
      </c>
      <c r="F56" t="n">
        <v>3</v>
      </c>
      <c r="G56" t="inlineStr">
        <is>
          <t>BG001</t>
        </is>
      </c>
      <c r="H56" t="inlineStr">
        <is>
          <t>15 September 2000</t>
        </is>
      </c>
      <c r="I56" s="2" t="n">
        <v>46300</v>
      </c>
      <c r="J56" t="inlineStr">
        <is>
          <t>Disetujui</t>
        </is>
      </c>
      <c r="K56" t="n">
        <v>90</v>
      </c>
      <c r="L56" t="inlineStr">
        <is>
          <t>5 Oktober 2026</t>
        </is>
      </c>
      <c r="M56" t="inlineStr">
        <is>
          <t>Konstruksi Gedung Hunian</t>
        </is>
      </c>
      <c r="N56" t="inlineStr">
        <is>
          <t>K</t>
        </is>
      </c>
      <c r="O56" t="inlineStr">
        <is>
          <t>20230927</t>
        </is>
      </c>
      <c r="P56" t="inlineStr">
        <is>
          <t>Bali</t>
        </is>
      </c>
      <c r="Q56" t="inlineStr"/>
    </row>
    <row r="57">
      <c r="A57" t="inlineStr">
        <is>
          <t>CIPTA YASA</t>
        </is>
      </c>
      <c r="B57" t="inlineStr">
        <is>
          <t>Kota Malang</t>
        </is>
      </c>
      <c r="C57" t="inlineStr">
        <is>
          <t>08123396344</t>
        </is>
      </c>
      <c r="D57" t="inlineStr">
        <is>
          <t>cv_ciptayasa04@yahoo.com</t>
        </is>
      </c>
      <c r="E57" t="inlineStr">
        <is>
          <t>https://lpjk.pu.go.id/search-badan-usaha-detail/cnRnQ0JyNW9ZU0tPSG5pYzJHcjI5dz09</t>
        </is>
      </c>
      <c r="F57" t="n">
        <v>4</v>
      </c>
      <c r="G57" t="inlineStr">
        <is>
          <t>RK002, RK003</t>
        </is>
      </c>
      <c r="H57" t="inlineStr">
        <is>
          <t>30 Mei 1991</t>
        </is>
      </c>
      <c r="I57" s="2" t="n">
        <v>46300</v>
      </c>
      <c r="J57" t="inlineStr">
        <is>
          <t>Disetujui</t>
        </is>
      </c>
      <c r="K57" t="n">
        <v>90</v>
      </c>
      <c r="L57" t="inlineStr">
        <is>
          <t>5 Oktober 2026</t>
        </is>
      </c>
      <c r="M57" t="inlineStr">
        <is>
          <t>Jasa Rekayasa Pekerjaan Teknik Sipil Sumber Daya Air, Jasa Rekayasa Pekerjaan Teknik Sipil Transportasi</t>
        </is>
      </c>
      <c r="N57" t="inlineStr">
        <is>
          <t>K</t>
        </is>
      </c>
      <c r="O57" t="inlineStr">
        <is>
          <t>20230927</t>
        </is>
      </c>
      <c r="P57" t="inlineStr">
        <is>
          <t>Jawa Timur</t>
        </is>
      </c>
      <c r="Q57" t="inlineStr"/>
    </row>
    <row r="58">
      <c r="A58" t="inlineStr">
        <is>
          <t>CIVIL ARCHITAMA</t>
        </is>
      </c>
      <c r="B58" t="inlineStr">
        <is>
          <t>Kab. Hulu Sungai Utara</t>
        </is>
      </c>
      <c r="C58" t="inlineStr">
        <is>
          <t>081256717475</t>
        </is>
      </c>
      <c r="D58" t="inlineStr">
        <is>
          <t>Civil.architama@gmail.com</t>
        </is>
      </c>
      <c r="E58" t="inlineStr">
        <is>
          <t>https://lpjk.pu.go.id/search-badan-usaha-detail/T1hhc01EOG1henlYd2p6ZVkvaHRodz09</t>
        </is>
      </c>
      <c r="F58" t="n">
        <v>1</v>
      </c>
      <c r="G58" t="inlineStr">
        <is>
          <t>BS001</t>
        </is>
      </c>
      <c r="H58" t="inlineStr">
        <is>
          <t>7 Februari 2019</t>
        </is>
      </c>
      <c r="I58" s="2" t="n">
        <v>46300</v>
      </c>
      <c r="J58" t="inlineStr">
        <is>
          <t>Disetujui</t>
        </is>
      </c>
      <c r="K58" t="n">
        <v>90</v>
      </c>
      <c r="L58" t="inlineStr">
        <is>
          <t>5 Oktober 2026</t>
        </is>
      </c>
      <c r="M58" t="inlineStr">
        <is>
          <t>Konstruksi Bangunan Sipil Jalan</t>
        </is>
      </c>
      <c r="N58" t="inlineStr">
        <is>
          <t>K</t>
        </is>
      </c>
      <c r="O58" t="inlineStr">
        <is>
          <t>20231006</t>
        </is>
      </c>
      <c r="P58" t="inlineStr">
        <is>
          <t>Kalimantan Selatan</t>
        </is>
      </c>
      <c r="Q58" t="inlineStr"/>
    </row>
    <row r="59">
      <c r="A59" t="inlineStr">
        <is>
          <t>DARMA EMPAT LIMA ABADI</t>
        </is>
      </c>
      <c r="B59" t="inlineStr">
        <is>
          <t>Kota Cirebon</t>
        </is>
      </c>
      <c r="C59" t="inlineStr">
        <is>
          <t>0231-245142</t>
        </is>
      </c>
      <c r="D59" t="inlineStr">
        <is>
          <t>darma45abadi@yahoo.co.id</t>
        </is>
      </c>
      <c r="E59" t="inlineStr">
        <is>
          <t>https://lpjk.pu.go.id/search-badan-usaha-detail/TGVPejBla2NnRU13UEMyWGwyeEdtQT09</t>
        </is>
      </c>
      <c r="F59" t="n">
        <v>2</v>
      </c>
      <c r="G59" t="inlineStr">
        <is>
          <t>BS002, BS013</t>
        </is>
      </c>
      <c r="H59" t="inlineStr">
        <is>
          <t>24 Agustus 1981</t>
        </is>
      </c>
      <c r="I59" s="2" t="n">
        <v>46300</v>
      </c>
      <c r="J59" t="inlineStr">
        <is>
          <t>Disetujui, Pencabutan</t>
        </is>
      </c>
      <c r="K59" t="n">
        <v>90</v>
      </c>
      <c r="L59" t="inlineStr">
        <is>
          <t>5 Oktober 2026</t>
        </is>
      </c>
      <c r="M59" t="inlineStr">
        <is>
          <t>Bangunan Sipil Jembatan, Jalan Layang, Fly Over, dan Underpass, Konstruksi Bangunan Sipil Minyak dan Gas Bumi</t>
        </is>
      </c>
      <c r="N59" t="inlineStr">
        <is>
          <t>M</t>
        </is>
      </c>
      <c r="O59" t="inlineStr">
        <is>
          <t>20230906</t>
        </is>
      </c>
      <c r="P59" t="inlineStr">
        <is>
          <t>Jawa Barat</t>
        </is>
      </c>
      <c r="Q59" t="inlineStr"/>
    </row>
    <row r="60">
      <c r="A60" t="inlineStr">
        <is>
          <t>DUNIA FORENSIK ENJINIRING</t>
        </is>
      </c>
      <c r="B60" t="inlineStr">
        <is>
          <t>Kota Balikpapan</t>
        </is>
      </c>
      <c r="C60" t="inlineStr">
        <is>
          <t>085717307344</t>
        </is>
      </c>
      <c r="D60" t="inlineStr">
        <is>
          <t>enjiniringduniaforensik@gmail.com</t>
        </is>
      </c>
      <c r="E60" t="inlineStr">
        <is>
          <t>https://lpjk.pu.go.id/search-badan-usaha-detail/K3c1cDBiYU81ZldOVHg0QUFVQUlDdz09</t>
        </is>
      </c>
      <c r="F60" t="n">
        <v>1</v>
      </c>
      <c r="G60" t="inlineStr">
        <is>
          <t>AR001</t>
        </is>
      </c>
      <c r="H60" t="inlineStr">
        <is>
          <t>23 Februari 2023</t>
        </is>
      </c>
      <c r="I60" s="2" t="n">
        <v>46300</v>
      </c>
      <c r="J60" t="inlineStr">
        <is>
          <t>Disetujui</t>
        </is>
      </c>
      <c r="K60" t="n">
        <v>90</v>
      </c>
      <c r="L60" t="inlineStr">
        <is>
          <t>5 Oktober 2026</t>
        </is>
      </c>
      <c r="M60" t="inlineStr">
        <is>
          <t>Jasa Arsitektural Bangunan Gedung Hunian dan Non Hunian</t>
        </is>
      </c>
      <c r="N60" t="inlineStr">
        <is>
          <t>K</t>
        </is>
      </c>
      <c r="O60" t="inlineStr">
        <is>
          <t>20230927</t>
        </is>
      </c>
      <c r="P60" t="inlineStr">
        <is>
          <t>Kalimantan Timur</t>
        </is>
      </c>
      <c r="Q60" t="inlineStr"/>
    </row>
    <row r="61">
      <c r="A61" t="inlineStr">
        <is>
          <t>DUTA JAYA SEJAHTERA</t>
        </is>
      </c>
      <c r="B61" t="inlineStr">
        <is>
          <t>Kab. Bojonegoro</t>
        </is>
      </c>
      <c r="C61" t="inlineStr">
        <is>
          <t>081234918040</t>
        </is>
      </c>
      <c r="D61" t="inlineStr">
        <is>
          <t>sejahtera305@gmail.com</t>
        </is>
      </c>
      <c r="E61" t="inlineStr">
        <is>
          <t>https://lpjk.pu.go.id/search-badan-usaha-detail/ZTFQMmljQjVNVkYvNzllUEtTQk0zQT09</t>
        </is>
      </c>
      <c r="F61" t="n">
        <v>2</v>
      </c>
      <c r="G61" t="inlineStr">
        <is>
          <t>BG006, BG009</t>
        </is>
      </c>
      <c r="H61" t="inlineStr">
        <is>
          <t>24 Agustus 2020</t>
        </is>
      </c>
      <c r="I61" s="2" t="n">
        <v>46300</v>
      </c>
      <c r="J61" t="inlineStr">
        <is>
          <t>Disetujui</t>
        </is>
      </c>
      <c r="K61" t="n">
        <v>90</v>
      </c>
      <c r="L61" t="inlineStr">
        <is>
          <t>5 Oktober 2026</t>
        </is>
      </c>
      <c r="M61" t="inlineStr">
        <is>
          <t>Konstruksi Gedung Lainnya, Konstruksi Gedung Pendidikan</t>
        </is>
      </c>
      <c r="N61" t="inlineStr">
        <is>
          <t>K</t>
        </is>
      </c>
      <c r="O61" t="inlineStr">
        <is>
          <t>20231004</t>
        </is>
      </c>
      <c r="P61" t="inlineStr">
        <is>
          <t>Jawa Timur</t>
        </is>
      </c>
      <c r="Q61" t="inlineStr"/>
    </row>
    <row r="62">
      <c r="A62" t="inlineStr">
        <is>
          <t>EKA CIPTA PERKASA</t>
        </is>
      </c>
      <c r="B62" t="inlineStr">
        <is>
          <t>Kota Pekalongan</t>
        </is>
      </c>
      <c r="C62" t="inlineStr">
        <is>
          <t>0816692255</t>
        </is>
      </c>
      <c r="D62" t="inlineStr">
        <is>
          <t>ekaciptaperkasacv@gmail.com</t>
        </is>
      </c>
      <c r="E62" t="inlineStr">
        <is>
          <t>https://lpjk.pu.go.id/search-badan-usaha-detail/KzZ5SmtOOS9SYzB5SEx4MFZ4b09OQT09</t>
        </is>
      </c>
      <c r="F62" t="n">
        <v>1</v>
      </c>
      <c r="G62" t="inlineStr">
        <is>
          <t>BG002</t>
        </is>
      </c>
      <c r="H62" t="inlineStr">
        <is>
          <t>12 Februari 2020</t>
        </is>
      </c>
      <c r="I62" s="2" t="n">
        <v>46300</v>
      </c>
      <c r="J62" t="inlineStr">
        <is>
          <t>Disetujui</t>
        </is>
      </c>
      <c r="K62" t="n">
        <v>90</v>
      </c>
      <c r="L62" t="inlineStr">
        <is>
          <t>5 Oktober 2026</t>
        </is>
      </c>
      <c r="M62" t="inlineStr">
        <is>
          <t>Konstruksi Gedung Perkantoran</t>
        </is>
      </c>
      <c r="N62" t="inlineStr">
        <is>
          <t>K</t>
        </is>
      </c>
      <c r="O62" t="inlineStr">
        <is>
          <t>20231005</t>
        </is>
      </c>
      <c r="P62" t="inlineStr">
        <is>
          <t>Jawa Tengah</t>
        </is>
      </c>
      <c r="Q62" t="inlineStr"/>
    </row>
    <row r="63">
      <c r="A63" t="inlineStr">
        <is>
          <t>EMPAT PILAR UTAMA</t>
        </is>
      </c>
      <c r="B63" t="inlineStr">
        <is>
          <t>Kab. Lamongan</t>
        </is>
      </c>
      <c r="C63" t="inlineStr">
        <is>
          <t>081235449747</t>
        </is>
      </c>
      <c r="D63" t="inlineStr">
        <is>
          <t>empatpilarutama16@gmail.com</t>
        </is>
      </c>
      <c r="E63" t="inlineStr">
        <is>
          <t>https://lpjk.pu.go.id/search-badan-usaha-detail/aVBUbzdyZnNuVGorWERsZ3NpeGI1QT09</t>
        </is>
      </c>
      <c r="F63" t="n">
        <v>2</v>
      </c>
      <c r="G63" t="inlineStr">
        <is>
          <t>RK001, RK002</t>
        </is>
      </c>
      <c r="H63" t="inlineStr">
        <is>
          <t>21 September 2023</t>
        </is>
      </c>
      <c r="I63" s="2" t="n">
        <v>46300</v>
      </c>
      <c r="J63" t="inlineStr">
        <is>
          <t>Disetujui</t>
        </is>
      </c>
      <c r="K63" t="n">
        <v>90</v>
      </c>
      <c r="L63" t="inlineStr">
        <is>
          <t>5 Oktober 2026</t>
        </is>
      </c>
      <c r="M63" t="inlineStr">
        <is>
          <t>Jasa Rekayasa Konstruksi Bangunan Gedung Hunian dan Non Hunian, Jasa Rekayasa Pekerjaan Teknik Sipil Sumber Daya Air</t>
        </is>
      </c>
      <c r="N63" t="inlineStr">
        <is>
          <t>K</t>
        </is>
      </c>
      <c r="O63" t="inlineStr">
        <is>
          <t>20230926</t>
        </is>
      </c>
      <c r="P63" t="inlineStr">
        <is>
          <t>Jawa Timur</t>
        </is>
      </c>
      <c r="Q63" t="inlineStr"/>
    </row>
    <row r="64">
      <c r="A64" t="inlineStr">
        <is>
          <t>ERDUA KARYA UTAMA</t>
        </is>
      </c>
      <c r="B64" t="inlineStr">
        <is>
          <t>Kota Surabaya</t>
        </is>
      </c>
      <c r="C64" t="inlineStr">
        <is>
          <t>081335803589</t>
        </is>
      </c>
      <c r="D64" t="inlineStr">
        <is>
          <t>erduakaryautama@gmail.com</t>
        </is>
      </c>
      <c r="E64" t="inlineStr">
        <is>
          <t>https://lpjk.pu.go.id/search-badan-usaha-detail/TGpaUDdZRm9STFhJaGFnOHZiVUd0Zz09</t>
        </is>
      </c>
      <c r="F64" t="n">
        <v>1</v>
      </c>
      <c r="G64" t="inlineStr">
        <is>
          <t>BG002</t>
        </is>
      </c>
      <c r="H64" t="inlineStr">
        <is>
          <t>16 Januari 2014</t>
        </is>
      </c>
      <c r="I64" s="2" t="n">
        <v>46300</v>
      </c>
      <c r="J64" t="inlineStr">
        <is>
          <t>Disetujui</t>
        </is>
      </c>
      <c r="K64" t="n">
        <v>90</v>
      </c>
      <c r="L64" t="inlineStr">
        <is>
          <t>5 Oktober 2026</t>
        </is>
      </c>
      <c r="M64" t="inlineStr">
        <is>
          <t>Konstruksi Gedung Perkantoran</t>
        </is>
      </c>
      <c r="N64" t="inlineStr">
        <is>
          <t>K</t>
        </is>
      </c>
      <c r="O64" t="inlineStr">
        <is>
          <t>20231003</t>
        </is>
      </c>
      <c r="P64" t="inlineStr">
        <is>
          <t>Jawa Timur</t>
        </is>
      </c>
      <c r="Q64" t="inlineStr"/>
    </row>
    <row r="65">
      <c r="A65" t="inlineStr">
        <is>
          <t>GEMPITA CAHAYA PERSADA</t>
        </is>
      </c>
      <c r="B65" t="inlineStr">
        <is>
          <t>Kab. Kapuas</t>
        </is>
      </c>
      <c r="C65" t="inlineStr">
        <is>
          <t>081345110919</t>
        </is>
      </c>
      <c r="D65" t="inlineStr">
        <is>
          <t>gempitacahayapersada@gmail.com</t>
        </is>
      </c>
      <c r="E65" t="inlineStr">
        <is>
          <t>https://lpjk.pu.go.id/search-badan-usaha-detail/NkZTSHdDWE5RV3RDZXM4eUtmRjdFZz09</t>
        </is>
      </c>
      <c r="F65" t="n">
        <v>1</v>
      </c>
      <c r="G65" t="inlineStr">
        <is>
          <t>BS001</t>
        </is>
      </c>
      <c r="H65" t="inlineStr">
        <is>
          <t>10 Mei 2023</t>
        </is>
      </c>
      <c r="I65" s="2" t="n">
        <v>46300</v>
      </c>
      <c r="J65" t="inlineStr">
        <is>
          <t>Pencabutan</t>
        </is>
      </c>
      <c r="K65" t="n">
        <v>90</v>
      </c>
      <c r="L65" t="inlineStr">
        <is>
          <t>5 Oktober 2026</t>
        </is>
      </c>
      <c r="M65" t="inlineStr">
        <is>
          <t>Konstruksi Bangunan Sipil Jalan</t>
        </is>
      </c>
      <c r="N65" t="inlineStr">
        <is>
          <t>K</t>
        </is>
      </c>
      <c r="O65" t="inlineStr">
        <is>
          <t>20231005</t>
        </is>
      </c>
      <c r="P65" t="inlineStr">
        <is>
          <t>Kalimantan Tengah</t>
        </is>
      </c>
      <c r="Q65" t="inlineStr"/>
    </row>
    <row r="66">
      <c r="A66" t="inlineStr">
        <is>
          <t>GITA BALI PERKASA</t>
        </is>
      </c>
      <c r="B66" t="inlineStr">
        <is>
          <t>Kab. Gianyar</t>
        </is>
      </c>
      <c r="C66" t="inlineStr">
        <is>
          <t>08123647568</t>
        </is>
      </c>
      <c r="D66" t="inlineStr">
        <is>
          <t>gitabaliperkasa@yahoo.com</t>
        </is>
      </c>
      <c r="E66" t="inlineStr">
        <is>
          <t>https://lpjk.pu.go.id/search-badan-usaha-detail/Tjg1a0MxVlYwUEVoWDlsM1JjU010QT09</t>
        </is>
      </c>
      <c r="F66" t="n">
        <v>1</v>
      </c>
      <c r="G66" t="inlineStr">
        <is>
          <t>BG007</t>
        </is>
      </c>
      <c r="H66" t="inlineStr">
        <is>
          <t>26 Juli 2023</t>
        </is>
      </c>
      <c r="I66" s="2" t="n">
        <v>46300</v>
      </c>
      <c r="J66" t="inlineStr">
        <is>
          <t>Pencabutan</t>
        </is>
      </c>
      <c r="K66" t="n">
        <v>90</v>
      </c>
      <c r="L66" t="inlineStr">
        <is>
          <t>5 Oktober 2026</t>
        </is>
      </c>
      <c r="M66" t="inlineStr">
        <is>
          <t>Konstruksi Gedung Penginapan</t>
        </is>
      </c>
      <c r="N66" t="inlineStr">
        <is>
          <t>K</t>
        </is>
      </c>
      <c r="O66" t="inlineStr">
        <is>
          <t>20231005</t>
        </is>
      </c>
      <c r="P66" t="inlineStr">
        <is>
          <t>Bali</t>
        </is>
      </c>
      <c r="Q66" t="inlineStr"/>
    </row>
    <row r="67">
      <c r="A67" t="inlineStr">
        <is>
          <t>GLOBAL MULTI KARYA</t>
        </is>
      </c>
      <c r="B67" t="inlineStr">
        <is>
          <t>Kab. Sambas</t>
        </is>
      </c>
      <c r="C67" t="inlineStr">
        <is>
          <t>081348015588</t>
        </is>
      </c>
      <c r="D67" t="inlineStr">
        <is>
          <t>globalmultikarya.cv@gmail.com</t>
        </is>
      </c>
      <c r="E67" t="inlineStr">
        <is>
          <t>https://lpjk.pu.go.id/search-badan-usaha-detail/dENybURxMjJ4SmhUQUh1VDVKSXpxdz09</t>
        </is>
      </c>
      <c r="F67" t="n">
        <v>5</v>
      </c>
      <c r="G67" t="inlineStr">
        <is>
          <t>RK001, RK002, RK003</t>
        </is>
      </c>
      <c r="H67" t="inlineStr">
        <is>
          <t>12 Februari 2020</t>
        </is>
      </c>
      <c r="I67" s="2" t="n">
        <v>46300</v>
      </c>
      <c r="J67" t="inlineStr">
        <is>
          <t>Disetujui</t>
        </is>
      </c>
      <c r="K67" t="n">
        <v>90</v>
      </c>
      <c r="L67" t="inlineStr">
        <is>
          <t>5 Oktober 2026</t>
        </is>
      </c>
      <c r="M67" t="inlineStr">
        <is>
          <t>Jasa Rekayasa Konstruksi Bangunan Gedung Hunian dan Non Hunian, Jasa Rekayasa Pekerjaan Teknik Sipil Sumber Daya Air, Jasa Rekayasa Pekerjaan Teknik Sipil Transportasi</t>
        </is>
      </c>
      <c r="N67" t="inlineStr">
        <is>
          <t>K</t>
        </is>
      </c>
      <c r="O67" t="inlineStr">
        <is>
          <t>20230926, 20230927</t>
        </is>
      </c>
      <c r="P67" t="inlineStr">
        <is>
          <t>Kalimantan Barat</t>
        </is>
      </c>
      <c r="Q67" t="inlineStr"/>
    </row>
    <row r="68">
      <c r="A68" t="inlineStr">
        <is>
          <t>GRAHA AKSA KONSTRUKSI</t>
        </is>
      </c>
      <c r="B68" t="inlineStr">
        <is>
          <t>Kota Denpasar</t>
        </is>
      </c>
      <c r="C68" t="inlineStr">
        <is>
          <t>085739066333</t>
        </is>
      </c>
      <c r="D68" t="inlineStr">
        <is>
          <t>ptgrahaaksakonstruksi@gmail.com</t>
        </is>
      </c>
      <c r="E68" t="inlineStr">
        <is>
          <t>https://lpjk.pu.go.id/search-badan-usaha-detail/SEMxMFhFWWEzcEJVNktsREdnLzZLZz09</t>
        </is>
      </c>
      <c r="F68" t="n">
        <v>5</v>
      </c>
      <c r="G68" t="inlineStr">
        <is>
          <t>BG002, BG005, BG006, BG007, BG009</t>
        </is>
      </c>
      <c r="H68" t="inlineStr">
        <is>
          <t>14 April 2023</t>
        </is>
      </c>
      <c r="I68" s="2" t="n">
        <v>46300</v>
      </c>
      <c r="J68" t="inlineStr">
        <is>
          <t>Disetujui</t>
        </is>
      </c>
      <c r="K68" t="n">
        <v>90</v>
      </c>
      <c r="L68" t="inlineStr">
        <is>
          <t>5 Oktober 2026</t>
        </is>
      </c>
      <c r="M68" t="inlineStr">
        <is>
          <t>Konstruksi Gedung Kesehatan, Konstruksi Gedung Lainnya, Konstruksi Gedung Pendidikan, Konstruksi Gedung Penginapan, Konstruksi Gedung Perkantoran</t>
        </is>
      </c>
      <c r="N68" t="inlineStr">
        <is>
          <t>K</t>
        </is>
      </c>
      <c r="O68" t="inlineStr">
        <is>
          <t>20230927</t>
        </is>
      </c>
      <c r="P68" t="inlineStr">
        <is>
          <t>Bali</t>
        </is>
      </c>
      <c r="Q68" t="inlineStr"/>
    </row>
    <row r="69">
      <c r="A69" t="inlineStr">
        <is>
          <t>GRIAMETRIKA PRATAMA</t>
        </is>
      </c>
      <c r="B69" t="inlineStr">
        <is>
          <t>Kota Bandung</t>
        </is>
      </c>
      <c r="C69" t="inlineStr">
        <is>
          <t>02287325972</t>
        </is>
      </c>
      <c r="D69" t="inlineStr">
        <is>
          <t>griametrika@gmail.com</t>
        </is>
      </c>
      <c r="E69" t="inlineStr">
        <is>
          <t>https://lpjk.pu.go.id/search-badan-usaha-detail/ZmRuem9iRUtIUUhWY00ycXZwRTVJQT09</t>
        </is>
      </c>
      <c r="F69" t="n">
        <v>1</v>
      </c>
      <c r="G69" t="inlineStr">
        <is>
          <t>BG009</t>
        </is>
      </c>
      <c r="H69" t="inlineStr">
        <is>
          <t>9 Desember 2019</t>
        </is>
      </c>
      <c r="I69" s="2" t="n">
        <v>46300</v>
      </c>
      <c r="J69" t="inlineStr">
        <is>
          <t>Disetujui</t>
        </is>
      </c>
      <c r="K69" t="n">
        <v>90</v>
      </c>
      <c r="L69" t="inlineStr">
        <is>
          <t>5 Oktober 2026</t>
        </is>
      </c>
      <c r="M69" t="inlineStr">
        <is>
          <t>Konstruksi Gedung Lainnya</t>
        </is>
      </c>
      <c r="N69" t="inlineStr">
        <is>
          <t>K</t>
        </is>
      </c>
      <c r="O69" t="inlineStr">
        <is>
          <t>20220903</t>
        </is>
      </c>
      <c r="P69" t="inlineStr">
        <is>
          <t>Jawa Barat</t>
        </is>
      </c>
      <c r="Q69" t="inlineStr"/>
    </row>
    <row r="70">
      <c r="A70" t="inlineStr">
        <is>
          <t>GUNUNG MENAHAN</t>
        </is>
      </c>
      <c r="B70" t="inlineStr">
        <is>
          <t>Kota Jambi</t>
        </is>
      </c>
      <c r="C70" t="inlineStr">
        <is>
          <t>082329877228</t>
        </is>
      </c>
      <c r="D70" t="inlineStr">
        <is>
          <t>gunungmenahan@yandex.com</t>
        </is>
      </c>
      <c r="E70" t="inlineStr">
        <is>
          <t>https://lpjk.pu.go.id/search-badan-usaha-detail/cW1oem9XZGJGQThZanBremRzSWNPZz09</t>
        </is>
      </c>
      <c r="F70" t="n">
        <v>1</v>
      </c>
      <c r="G70" t="inlineStr">
        <is>
          <t>BG006</t>
        </is>
      </c>
      <c r="H70" t="inlineStr">
        <is>
          <t>25 November 1994</t>
        </is>
      </c>
      <c r="I70" s="2" t="n">
        <v>46300</v>
      </c>
      <c r="J70" t="inlineStr">
        <is>
          <t>Disetujui</t>
        </is>
      </c>
      <c r="K70" t="n">
        <v>90</v>
      </c>
      <c r="L70" t="inlineStr">
        <is>
          <t>5 Oktober 2026</t>
        </is>
      </c>
      <c r="M70" t="inlineStr">
        <is>
          <t>Konstruksi Gedung Pendidikan</t>
        </is>
      </c>
      <c r="N70" t="inlineStr">
        <is>
          <t>K</t>
        </is>
      </c>
      <c r="O70" t="inlineStr">
        <is>
          <t>20230921</t>
        </is>
      </c>
      <c r="P70" t="inlineStr">
        <is>
          <t>Jambi</t>
        </is>
      </c>
      <c r="Q70" t="inlineStr"/>
    </row>
    <row r="71">
      <c r="A71" t="inlineStr">
        <is>
          <t>HADI JAYA</t>
        </is>
      </c>
      <c r="B71" t="inlineStr">
        <is>
          <t>Kab. Langkat</t>
        </is>
      </c>
      <c r="C71" t="inlineStr">
        <is>
          <t>081000000</t>
        </is>
      </c>
      <c r="D71" t="inlineStr">
        <is>
          <t>cv.hadijaya@yahoo.com</t>
        </is>
      </c>
      <c r="E71" t="inlineStr">
        <is>
          <t>https://lpjk.pu.go.id/search-badan-usaha-detail/eUkycXZzdFdtVHpXUzVxR3ZyNkVzUT09</t>
        </is>
      </c>
      <c r="F71" t="n">
        <v>2</v>
      </c>
      <c r="G71" t="inlineStr">
        <is>
          <t>BG009, BS002</t>
        </is>
      </c>
      <c r="H71" t="inlineStr">
        <is>
          <t>1 Februari 2010</t>
        </is>
      </c>
      <c r="I71" s="2" t="n">
        <v>46300</v>
      </c>
      <c r="J71" t="inlineStr">
        <is>
          <t>Disetujui</t>
        </is>
      </c>
      <c r="K71" t="n">
        <v>90</v>
      </c>
      <c r="L71" t="inlineStr">
        <is>
          <t>5 Oktober 2026</t>
        </is>
      </c>
      <c r="M71" t="inlineStr">
        <is>
          <t>Bangunan Sipil Jembatan, Jalan Layang, Fly Over, dan Underpass, Konstruksi Gedung Lainnya</t>
        </is>
      </c>
      <c r="N71" t="inlineStr">
        <is>
          <t>K</t>
        </is>
      </c>
      <c r="O71" t="inlineStr">
        <is>
          <t>20231005, 20231006</t>
        </is>
      </c>
      <c r="P71" t="inlineStr">
        <is>
          <t>Sumatera Utara</t>
        </is>
      </c>
      <c r="Q71" t="inlineStr"/>
    </row>
    <row r="72">
      <c r="A72" t="inlineStr">
        <is>
          <t>HANDAYANI</t>
        </is>
      </c>
      <c r="B72" t="inlineStr">
        <is>
          <t>Kota Banjarbaru</t>
        </is>
      </c>
      <c r="C72" t="inlineStr">
        <is>
          <t>085248814369</t>
        </is>
      </c>
      <c r="D72" t="inlineStr">
        <is>
          <t>cv.handayanibjb@yahoo.com</t>
        </is>
      </c>
      <c r="E72" t="inlineStr">
        <is>
          <t>https://lpjk.pu.go.id/search-badan-usaha-detail/aEp5K3htWEs5OEdlQXkySWVlT0dCQT09</t>
        </is>
      </c>
      <c r="F72" t="n">
        <v>2</v>
      </c>
      <c r="G72" t="inlineStr">
        <is>
          <t>BG009</t>
        </is>
      </c>
      <c r="H72" t="inlineStr">
        <is>
          <t>11 Desember 1981</t>
        </is>
      </c>
      <c r="I72" s="2" t="n">
        <v>46300</v>
      </c>
      <c r="J72" t="inlineStr">
        <is>
          <t>Disetujui</t>
        </is>
      </c>
      <c r="K72" t="n">
        <v>90</v>
      </c>
      <c r="L72" t="inlineStr">
        <is>
          <t>5 Oktober 2026</t>
        </is>
      </c>
      <c r="M72" t="inlineStr">
        <is>
          <t>Konstruksi Gedung Lainnya</t>
        </is>
      </c>
      <c r="N72" t="inlineStr">
        <is>
          <t>K</t>
        </is>
      </c>
      <c r="O72" t="inlineStr">
        <is>
          <t>20231004</t>
        </is>
      </c>
      <c r="P72" t="inlineStr">
        <is>
          <t>Kalimantan Selatan</t>
        </is>
      </c>
      <c r="Q72" t="inlineStr"/>
    </row>
    <row r="73">
      <c r="A73" t="inlineStr">
        <is>
          <t>IDEA MANDIRI</t>
        </is>
      </c>
      <c r="B73" t="inlineStr">
        <is>
          <t>Kota Adm. Jakarta Barat</t>
        </is>
      </c>
      <c r="C73" t="inlineStr">
        <is>
          <t>081282007383</t>
        </is>
      </c>
      <c r="D73" t="inlineStr">
        <is>
          <t>ideamandiri@gmail.com</t>
        </is>
      </c>
      <c r="E73" t="inlineStr">
        <is>
          <t>https://lpjk.pu.go.id/search-badan-usaha-detail/QjkzM1hRcUNtYm9weFlzeXJWY0RrUT09</t>
        </is>
      </c>
      <c r="F73" t="n">
        <v>1</v>
      </c>
      <c r="G73" t="inlineStr">
        <is>
          <t>BG001</t>
        </is>
      </c>
      <c r="H73" t="inlineStr">
        <is>
          <t>23 Desember 2002</t>
        </is>
      </c>
      <c r="I73" s="2" t="n">
        <v>46300</v>
      </c>
      <c r="J73" t="inlineStr">
        <is>
          <t>Disetujui</t>
        </is>
      </c>
      <c r="K73" t="n">
        <v>90</v>
      </c>
      <c r="L73" t="inlineStr">
        <is>
          <t>5 Oktober 2026</t>
        </is>
      </c>
      <c r="M73" t="inlineStr">
        <is>
          <t>Konstruksi Gedung Hunian</t>
        </is>
      </c>
      <c r="N73" t="inlineStr">
        <is>
          <t>K</t>
        </is>
      </c>
      <c r="O73" t="inlineStr">
        <is>
          <t>20230927</t>
        </is>
      </c>
      <c r="P73" t="inlineStr">
        <is>
          <t>DKI Jakarta</t>
        </is>
      </c>
      <c r="Q73" t="inlineStr"/>
    </row>
    <row r="74">
      <c r="A74" t="inlineStr">
        <is>
          <t>INDONESIA CONSULTAN TEKNIK</t>
        </is>
      </c>
      <c r="B74" t="inlineStr">
        <is>
          <t>Kota Pekanbaru</t>
        </is>
      </c>
      <c r="C74" t="inlineStr">
        <is>
          <t>081270672888</t>
        </is>
      </c>
      <c r="D74" t="inlineStr">
        <is>
          <t>indonesia140106@gmail.com</t>
        </is>
      </c>
      <c r="E74" t="inlineStr">
        <is>
          <t>https://lpjk.pu.go.id/search-badan-usaha-detail/aVlSNHFyMTdlMXdtS3VJSlRGR3A4dz09</t>
        </is>
      </c>
      <c r="F74" t="n">
        <v>6</v>
      </c>
      <c r="G74" t="inlineStr">
        <is>
          <t>RK003, RK005</t>
        </is>
      </c>
      <c r="H74" t="inlineStr">
        <is>
          <t>29 September 2000</t>
        </is>
      </c>
      <c r="I74" s="2" t="n">
        <v>46300</v>
      </c>
      <c r="J74" t="inlineStr">
        <is>
          <t>Disetujui</t>
        </is>
      </c>
      <c r="K74" t="n">
        <v>90</v>
      </c>
      <c r="L74" t="inlineStr">
        <is>
          <t>5 Oktober 2026</t>
        </is>
      </c>
      <c r="M74" t="inlineStr">
        <is>
          <t>Jasa Rekayasa Lainnya, Jasa Rekayasa Pekerjaan Teknik Sipil Transportasi</t>
        </is>
      </c>
      <c r="N74" t="inlineStr">
        <is>
          <t>K</t>
        </is>
      </c>
      <c r="O74" t="inlineStr">
        <is>
          <t>20230927</t>
        </is>
      </c>
      <c r="P74" t="inlineStr">
        <is>
          <t>Riau</t>
        </is>
      </c>
      <c r="Q74" t="inlineStr"/>
    </row>
    <row r="75">
      <c r="A75" t="inlineStr">
        <is>
          <t>INOVASI KONSULINDO RAYA</t>
        </is>
      </c>
      <c r="B75" t="inlineStr">
        <is>
          <t>Kab. Luwu Utara</t>
        </is>
      </c>
      <c r="C75" t="inlineStr">
        <is>
          <t>08114129797</t>
        </is>
      </c>
      <c r="D75" t="inlineStr">
        <is>
          <t>inovasikonsulindoraya.pt@gmail.com</t>
        </is>
      </c>
      <c r="E75" t="inlineStr">
        <is>
          <t>https://lpjk.pu.go.id/search-badan-usaha-detail/SkRMWENjbG1aZTBPOVpwdHQ2dXJMUT09</t>
        </is>
      </c>
      <c r="F75" t="n">
        <v>4</v>
      </c>
      <c r="G75" t="inlineStr">
        <is>
          <t>AR001, AR002, AR003</t>
        </is>
      </c>
      <c r="H75" t="inlineStr">
        <is>
          <t>12 September 2007</t>
        </is>
      </c>
      <c r="I75" s="2" t="n">
        <v>46300</v>
      </c>
      <c r="J75" t="inlineStr">
        <is>
          <t>Disetujui</t>
        </is>
      </c>
      <c r="K75" t="n">
        <v>90</v>
      </c>
      <c r="L75" t="inlineStr">
        <is>
          <t>5 Oktober 2026</t>
        </is>
      </c>
      <c r="M75" t="inlineStr">
        <is>
          <t>Jasa Arsitektural Bangunan Gedung Hunian dan Non Hunian, Jasa Arsitektural Lainnya, Jasa Desain Interior pada Bangunan Gedung dan Bangunan Sipil</t>
        </is>
      </c>
      <c r="N75" t="inlineStr">
        <is>
          <t>K</t>
        </is>
      </c>
      <c r="O75" t="inlineStr">
        <is>
          <t>20230904, 20230908, 20230909</t>
        </is>
      </c>
      <c r="P75" t="inlineStr">
        <is>
          <t>Sulawesi Selatan</t>
        </is>
      </c>
      <c r="Q75" t="inlineStr"/>
    </row>
    <row r="76">
      <c r="A76" t="inlineStr">
        <is>
          <t>JARING MAS</t>
        </is>
      </c>
      <c r="B76" t="inlineStr">
        <is>
          <t>Kota Medan</t>
        </is>
      </c>
      <c r="C76" t="inlineStr">
        <is>
          <t>08126558643</t>
        </is>
      </c>
      <c r="D76" t="inlineStr">
        <is>
          <t>EFINONLINETAX2100010@GMAIL.COM</t>
        </is>
      </c>
      <c r="E76" t="inlineStr">
        <is>
          <t>https://lpjk.pu.go.id/search-badan-usaha-detail/QldtblJsOFh6Z001bGNKbVVzUmJuUT09</t>
        </is>
      </c>
      <c r="F76" t="n">
        <v>2</v>
      </c>
      <c r="G76" t="inlineStr">
        <is>
          <t>BG001, BG003</t>
        </is>
      </c>
      <c r="H76" t="inlineStr">
        <is>
          <t>22 Mei 2002</t>
        </is>
      </c>
      <c r="I76" s="2" t="n">
        <v>46300</v>
      </c>
      <c r="J76" t="inlineStr">
        <is>
          <t>Disetujui</t>
        </is>
      </c>
      <c r="K76" t="n">
        <v>90</v>
      </c>
      <c r="L76" t="inlineStr">
        <is>
          <t>5 Oktober 2026</t>
        </is>
      </c>
      <c r="M76" t="inlineStr">
        <is>
          <t>Konstruksi Gedung Hunian, Konstruksi Gedung Industri</t>
        </is>
      </c>
      <c r="N76" t="inlineStr">
        <is>
          <t>K</t>
        </is>
      </c>
      <c r="O76" t="inlineStr">
        <is>
          <t>20231003</t>
        </is>
      </c>
      <c r="P76" t="inlineStr">
        <is>
          <t>Sumatera Utara</t>
        </is>
      </c>
      <c r="Q76" t="inlineStr"/>
    </row>
    <row r="77">
      <c r="A77" t="inlineStr">
        <is>
          <t>JAYA BERSATU</t>
        </is>
      </c>
      <c r="B77" t="inlineStr">
        <is>
          <t>Kab. Kotawaringin Barat</t>
        </is>
      </c>
      <c r="C77" t="inlineStr">
        <is>
          <t>081351855466</t>
        </is>
      </c>
      <c r="D77" t="inlineStr">
        <is>
          <t>jayabersatucv@gmail.com</t>
        </is>
      </c>
      <c r="E77" t="inlineStr">
        <is>
          <t>https://lpjk.pu.go.id/search-badan-usaha-detail/TGV2R3M4NkJhR25uWUNyRGU2NEFRUT09</t>
        </is>
      </c>
      <c r="F77" t="n">
        <v>3</v>
      </c>
      <c r="G77" t="inlineStr">
        <is>
          <t>BG002, BG005, BG006</t>
        </is>
      </c>
      <c r="H77" t="inlineStr">
        <is>
          <t>19 Mei 2014</t>
        </is>
      </c>
      <c r="I77" s="2" t="n">
        <v>46300</v>
      </c>
      <c r="J77" t="inlineStr">
        <is>
          <t>Disetujui</t>
        </is>
      </c>
      <c r="K77" t="n">
        <v>90</v>
      </c>
      <c r="L77" t="inlineStr">
        <is>
          <t>5 Oktober 2026</t>
        </is>
      </c>
      <c r="M77" t="inlineStr">
        <is>
          <t>Konstruksi Gedung Kesehatan, Konstruksi Gedung Pendidikan, Konstruksi Gedung Perkantoran</t>
        </is>
      </c>
      <c r="N77" t="inlineStr">
        <is>
          <t>K</t>
        </is>
      </c>
      <c r="O77" t="inlineStr">
        <is>
          <t>20231004</t>
        </is>
      </c>
      <c r="P77" t="inlineStr">
        <is>
          <t>Kalimantan Tengah</t>
        </is>
      </c>
      <c r="Q77" t="inlineStr"/>
    </row>
    <row r="78">
      <c r="A78" t="inlineStr">
        <is>
          <t>JAYA EMPAT PENJURU</t>
        </is>
      </c>
      <c r="B78" t="inlineStr">
        <is>
          <t>Kab. Tangerang</t>
        </is>
      </c>
      <c r="C78" t="inlineStr">
        <is>
          <t>087777100727</t>
        </is>
      </c>
      <c r="D78" t="inlineStr">
        <is>
          <t>jaya4penjuru@gmail.com</t>
        </is>
      </c>
      <c r="E78" t="inlineStr">
        <is>
          <t>https://lpjk.pu.go.id/search-badan-usaha-detail/YTl2WHlmeFFHYmVOdXRGcExFTW00Zz09</t>
        </is>
      </c>
      <c r="F78" t="n">
        <v>2</v>
      </c>
      <c r="G78" t="inlineStr">
        <is>
          <t>BG006, BS001</t>
        </is>
      </c>
      <c r="H78" t="inlineStr">
        <is>
          <t>30 Juli 2016</t>
        </is>
      </c>
      <c r="I78" s="2" t="n">
        <v>46300</v>
      </c>
      <c r="J78" t="inlineStr">
        <is>
          <t>Disetujui</t>
        </is>
      </c>
      <c r="K78" t="n">
        <v>90</v>
      </c>
      <c r="L78" t="inlineStr">
        <is>
          <t>5 Oktober 2026</t>
        </is>
      </c>
      <c r="M78" t="inlineStr">
        <is>
          <t>Konstruksi Bangunan Sipil Jalan, Konstruksi Gedung Pendidikan</t>
        </is>
      </c>
      <c r="N78" t="inlineStr">
        <is>
          <t>K</t>
        </is>
      </c>
      <c r="O78" t="inlineStr">
        <is>
          <t>20230908</t>
        </is>
      </c>
      <c r="P78" t="inlineStr">
        <is>
          <t>Banten</t>
        </is>
      </c>
      <c r="Q78" t="inlineStr"/>
    </row>
    <row r="79">
      <c r="A79" t="inlineStr">
        <is>
          <t>KALINDO</t>
        </is>
      </c>
      <c r="B79" t="inlineStr">
        <is>
          <t>Kota Surabaya</t>
        </is>
      </c>
      <c r="C79" t="inlineStr">
        <is>
          <t>081332642262</t>
        </is>
      </c>
      <c r="D79" t="inlineStr">
        <is>
          <t>kalindo.contractor@gmail.com</t>
        </is>
      </c>
      <c r="E79" t="inlineStr">
        <is>
          <t>https://lpjk.pu.go.id/search-badan-usaha-detail/Q3Q3V3E1Z2xQVXgwQjdGRnZac01ZQT09</t>
        </is>
      </c>
      <c r="F79" t="n">
        <v>1</v>
      </c>
      <c r="G79" t="inlineStr">
        <is>
          <t>BG004</t>
        </is>
      </c>
      <c r="H79" t="inlineStr">
        <is>
          <t>30 Oktober 1995</t>
        </is>
      </c>
      <c r="I79" s="2" t="n">
        <v>46300</v>
      </c>
      <c r="J79" t="inlineStr">
        <is>
          <t>Disetujui</t>
        </is>
      </c>
      <c r="K79" t="n">
        <v>90</v>
      </c>
      <c r="L79" t="inlineStr">
        <is>
          <t>5 Oktober 2026</t>
        </is>
      </c>
      <c r="M79" t="inlineStr">
        <is>
          <t>Konstruksi Gedung Perbelanjaan</t>
        </is>
      </c>
      <c r="N79" t="inlineStr">
        <is>
          <t>K</t>
        </is>
      </c>
      <c r="O79" t="inlineStr">
        <is>
          <t>20231005</t>
        </is>
      </c>
      <c r="P79" t="inlineStr">
        <is>
          <t>Jawa Timur</t>
        </is>
      </c>
      <c r="Q79" t="inlineStr"/>
    </row>
    <row r="80">
      <c r="A80" t="inlineStr">
        <is>
          <t>KARANG INDAH KARYA</t>
        </is>
      </c>
      <c r="B80" t="inlineStr">
        <is>
          <t>Kab. Bojonegoro</t>
        </is>
      </c>
      <c r="C80" t="inlineStr">
        <is>
          <t>0816564101</t>
        </is>
      </c>
      <c r="D80" t="inlineStr">
        <is>
          <t>karangindahkarya@gmail.com</t>
        </is>
      </c>
      <c r="E80" t="inlineStr">
        <is>
          <t>https://lpjk.pu.go.id/search-badan-usaha-detail/dWZnN0xPQmFLcnF3RnpBMGlablZqQT09</t>
        </is>
      </c>
      <c r="F80" t="n">
        <v>3</v>
      </c>
      <c r="G80" t="inlineStr">
        <is>
          <t>BG001</t>
        </is>
      </c>
      <c r="H80" t="inlineStr">
        <is>
          <t>5 Februari 2015</t>
        </is>
      </c>
      <c r="I80" s="2" t="n">
        <v>46300</v>
      </c>
      <c r="J80" t="inlineStr">
        <is>
          <t>Disetujui</t>
        </is>
      </c>
      <c r="K80" t="n">
        <v>90</v>
      </c>
      <c r="L80" t="inlineStr">
        <is>
          <t>5 Oktober 2026</t>
        </is>
      </c>
      <c r="M80" t="inlineStr">
        <is>
          <t>Konstruksi Gedung Hunian</t>
        </is>
      </c>
      <c r="N80" t="inlineStr">
        <is>
          <t>K</t>
        </is>
      </c>
      <c r="O80" t="inlineStr">
        <is>
          <t>20231003</t>
        </is>
      </c>
      <c r="P80" t="inlineStr">
        <is>
          <t>Jawa Timur</t>
        </is>
      </c>
      <c r="Q80" t="inlineStr"/>
    </row>
    <row r="81">
      <c r="A81" t="inlineStr">
        <is>
          <t>KARYA AGUNG BANYUWANGI</t>
        </is>
      </c>
      <c r="B81" t="inlineStr">
        <is>
          <t>Kab. Banyuwangi</t>
        </is>
      </c>
      <c r="C81" t="inlineStr">
        <is>
          <t>081285649200</t>
        </is>
      </c>
      <c r="D81" t="inlineStr">
        <is>
          <t>cvkaryaagungbanyuwangicv@gmail.com</t>
        </is>
      </c>
      <c r="E81" t="inlineStr">
        <is>
          <t>https://lpjk.pu.go.id/search-badan-usaha-detail/d3QzOE5KRGpia0hidXhNbFRqYjdQZz09</t>
        </is>
      </c>
      <c r="F81" t="n">
        <v>1</v>
      </c>
      <c r="G81" t="inlineStr">
        <is>
          <t>BS001</t>
        </is>
      </c>
      <c r="H81" t="inlineStr">
        <is>
          <t>24 Oktober 2022</t>
        </is>
      </c>
      <c r="I81" s="2" t="n">
        <v>46300</v>
      </c>
      <c r="J81" t="inlineStr">
        <is>
          <t>Disetujui</t>
        </is>
      </c>
      <c r="K81" t="n">
        <v>90</v>
      </c>
      <c r="L81" t="inlineStr">
        <is>
          <t>5 Oktober 2026</t>
        </is>
      </c>
      <c r="M81" t="inlineStr">
        <is>
          <t>Konstruksi Bangunan Sipil Jalan</t>
        </is>
      </c>
      <c r="N81" t="inlineStr">
        <is>
          <t>K</t>
        </is>
      </c>
      <c r="O81" t="inlineStr">
        <is>
          <t>20231003</t>
        </is>
      </c>
      <c r="P81" t="inlineStr">
        <is>
          <t>Jawa Timur</t>
        </is>
      </c>
      <c r="Q81" t="inlineStr"/>
    </row>
    <row r="82">
      <c r="A82" t="inlineStr">
        <is>
          <t>KARYA MANDIRI SEJAHTERA</t>
        </is>
      </c>
      <c r="B82" t="inlineStr">
        <is>
          <t>Kab. Sleman</t>
        </is>
      </c>
      <c r="C82" t="inlineStr">
        <is>
          <t>0274885949</t>
        </is>
      </c>
      <c r="D82" t="inlineStr">
        <is>
          <t>kms_cv@yahoo.com</t>
        </is>
      </c>
      <c r="E82" t="inlineStr">
        <is>
          <t>https://lpjk.pu.go.id/search-badan-usaha-detail/YzdXNkhJWkhJQnpqeVJ6bDB6MTNCdz09</t>
        </is>
      </c>
      <c r="F82" t="n">
        <v>1</v>
      </c>
      <c r="G82" t="inlineStr">
        <is>
          <t>BG009</t>
        </is>
      </c>
      <c r="H82" t="inlineStr">
        <is>
          <t>12 April 2005</t>
        </is>
      </c>
      <c r="I82" s="2" t="n">
        <v>46300</v>
      </c>
      <c r="J82" t="inlineStr">
        <is>
          <t>Disetujui</t>
        </is>
      </c>
      <c r="K82" t="n">
        <v>90</v>
      </c>
      <c r="L82" t="inlineStr">
        <is>
          <t>5 Oktober 2026</t>
        </is>
      </c>
      <c r="M82" t="inlineStr">
        <is>
          <t>Konstruksi Gedung Lainnya</t>
        </is>
      </c>
      <c r="N82" t="inlineStr">
        <is>
          <t>K</t>
        </is>
      </c>
      <c r="O82" t="inlineStr">
        <is>
          <t>20230922</t>
        </is>
      </c>
      <c r="P82" t="inlineStr">
        <is>
          <t>DI Yogyakarta</t>
        </is>
      </c>
      <c r="Q82" t="inlineStr"/>
    </row>
    <row r="83">
      <c r="A83" t="inlineStr">
        <is>
          <t>KARYA MANDIRI SUKSES</t>
        </is>
      </c>
      <c r="B83" t="inlineStr">
        <is>
          <t>Kota Batam</t>
        </is>
      </c>
      <c r="C83" t="inlineStr">
        <is>
          <t>085272033388</t>
        </is>
      </c>
      <c r="D83" t="inlineStr">
        <is>
          <t>karyamandirisuksescv88@gmail.com</t>
        </is>
      </c>
      <c r="E83" t="inlineStr">
        <is>
          <t>https://lpjk.pu.go.id/search-badan-usaha-detail/VlBzQ2c4eEFKYWRtUXl6YXRMWWFoUT09</t>
        </is>
      </c>
      <c r="F83" t="n">
        <v>3</v>
      </c>
      <c r="G83" t="inlineStr">
        <is>
          <t>BG005, BG006, BG009</t>
        </is>
      </c>
      <c r="H83" t="inlineStr">
        <is>
          <t>3 Juli 2014</t>
        </is>
      </c>
      <c r="I83" s="2" t="n">
        <v>46300</v>
      </c>
      <c r="J83" t="inlineStr">
        <is>
          <t>Disetujui</t>
        </is>
      </c>
      <c r="K83" t="n">
        <v>90</v>
      </c>
      <c r="L83" t="inlineStr">
        <is>
          <t>5 Oktober 2026</t>
        </is>
      </c>
      <c r="M83" t="inlineStr">
        <is>
          <t>Konstruksi Gedung Kesehatan, Konstruksi Gedung Lainnya, Konstruksi Gedung Pendidikan</t>
        </is>
      </c>
      <c r="N83" t="inlineStr">
        <is>
          <t>K</t>
        </is>
      </c>
      <c r="O83" t="inlineStr">
        <is>
          <t>20231005, 20231006</t>
        </is>
      </c>
      <c r="P83" t="inlineStr">
        <is>
          <t>Kepulauan Riau</t>
        </is>
      </c>
      <c r="Q83" t="inlineStr"/>
    </row>
    <row r="84">
      <c r="A84" t="inlineStr">
        <is>
          <t>KARYA PATRA UTAMA</t>
        </is>
      </c>
      <c r="B84" t="inlineStr">
        <is>
          <t>Kab. Indramayu</t>
        </is>
      </c>
      <c r="C84" t="inlineStr">
        <is>
          <t>0234-5254505</t>
        </is>
      </c>
      <c r="D84" t="inlineStr">
        <is>
          <t>pt.karyapatrautama@yahoo.com</t>
        </is>
      </c>
      <c r="E84" t="inlineStr">
        <is>
          <t>https://lpjk.pu.go.id/search-badan-usaha-detail/ZGdyb2dhdVR1SzNicThnT1BNdWVzUT09</t>
        </is>
      </c>
      <c r="F84" t="n">
        <v>1</v>
      </c>
      <c r="G84" t="inlineStr">
        <is>
          <t>IN004</t>
        </is>
      </c>
      <c r="H84" t="inlineStr">
        <is>
          <t>12 Januari 2015</t>
        </is>
      </c>
      <c r="I84" s="2" t="n">
        <v>46300</v>
      </c>
      <c r="J84" t="inlineStr">
        <is>
          <t>Pembekuan</t>
        </is>
      </c>
      <c r="K84" t="n">
        <v>90</v>
      </c>
      <c r="L84" t="inlineStr">
        <is>
          <t>5 Oktober 2026</t>
        </is>
      </c>
      <c r="M84" t="inlineStr">
        <is>
          <t>Instalasi Minyak dan Gas</t>
        </is>
      </c>
      <c r="N84" t="inlineStr">
        <is>
          <t>Spesialis</t>
        </is>
      </c>
      <c r="O84" t="inlineStr">
        <is>
          <t>20231005</t>
        </is>
      </c>
      <c r="P84" t="inlineStr">
        <is>
          <t>Jawa Barat</t>
        </is>
      </c>
      <c r="Q84" t="inlineStr"/>
    </row>
    <row r="85">
      <c r="A85" t="inlineStr">
        <is>
          <t>KARYA PUTRA PANDAWA</t>
        </is>
      </c>
      <c r="B85" t="inlineStr">
        <is>
          <t>Kab. Barito Kuala</t>
        </is>
      </c>
      <c r="C85" t="inlineStr">
        <is>
          <t>085386667303</t>
        </is>
      </c>
      <c r="D85" t="inlineStr">
        <is>
          <t>cv.karyaputrapandawa@gmail.com</t>
        </is>
      </c>
      <c r="E85" t="inlineStr">
        <is>
          <t>https://lpjk.pu.go.id/search-badan-usaha-detail/d3RyNmk3d29TOGs0aTVMckZyanBlUT09</t>
        </is>
      </c>
      <c r="F85" t="n">
        <v>1</v>
      </c>
      <c r="G85" t="inlineStr">
        <is>
          <t>BS001</t>
        </is>
      </c>
      <c r="H85" t="inlineStr">
        <is>
          <t>4 Maret 2013</t>
        </is>
      </c>
      <c r="I85" s="2" t="n">
        <v>46300</v>
      </c>
      <c r="J85" t="inlineStr">
        <is>
          <t>Disetujui</t>
        </is>
      </c>
      <c r="K85" t="n">
        <v>90</v>
      </c>
      <c r="L85" t="inlineStr">
        <is>
          <t>5 Oktober 2026</t>
        </is>
      </c>
      <c r="M85" t="inlineStr">
        <is>
          <t>Konstruksi Bangunan Sipil Jalan</t>
        </is>
      </c>
      <c r="N85" t="inlineStr">
        <is>
          <t>K</t>
        </is>
      </c>
      <c r="O85" t="inlineStr">
        <is>
          <t>20231006</t>
        </is>
      </c>
      <c r="P85" t="inlineStr">
        <is>
          <t>Kalimantan Selatan</t>
        </is>
      </c>
      <c r="Q85" t="inlineStr"/>
    </row>
    <row r="86">
      <c r="A86" t="inlineStr">
        <is>
          <t>KAWI JAYA BANGUNTAMA</t>
        </is>
      </c>
      <c r="B86" t="inlineStr">
        <is>
          <t>Kota Batam</t>
        </is>
      </c>
      <c r="C86" t="inlineStr">
        <is>
          <t>081912888919</t>
        </is>
      </c>
      <c r="D86" t="inlineStr">
        <is>
          <t>kawijayabanguntama@gmail.com</t>
        </is>
      </c>
      <c r="E86" t="inlineStr">
        <is>
          <t>https://lpjk.pu.go.id/search-badan-usaha-detail/djdDZ3R5MitEd2ZlbzRLa2xIdncvdz09</t>
        </is>
      </c>
      <c r="F86" t="n">
        <v>1</v>
      </c>
      <c r="G86" t="inlineStr">
        <is>
          <t>BG002</t>
        </is>
      </c>
      <c r="H86" t="inlineStr">
        <is>
          <t>31 Juli 2023</t>
        </is>
      </c>
      <c r="I86" s="2" t="n">
        <v>46300</v>
      </c>
      <c r="J86" t="inlineStr">
        <is>
          <t>Pencabutan</t>
        </is>
      </c>
      <c r="K86" t="n">
        <v>90</v>
      </c>
      <c r="L86" t="inlineStr">
        <is>
          <t>5 Oktober 2026</t>
        </is>
      </c>
      <c r="M86" t="inlineStr">
        <is>
          <t>Konstruksi Gedung Perkantoran</t>
        </is>
      </c>
      <c r="N86" t="inlineStr">
        <is>
          <t>K</t>
        </is>
      </c>
      <c r="O86" t="inlineStr">
        <is>
          <t>20230925</t>
        </is>
      </c>
      <c r="P86" t="inlineStr">
        <is>
          <t>Kepulauan Riau</t>
        </is>
      </c>
      <c r="Q86" t="inlineStr"/>
    </row>
    <row r="87">
      <c r="A87" t="inlineStr">
        <is>
          <t>KAYAKAS GROUP</t>
        </is>
      </c>
      <c r="B87" t="inlineStr">
        <is>
          <t>Kab. Sukabumi</t>
        </is>
      </c>
      <c r="C87" t="inlineStr">
        <is>
          <t>081297298484</t>
        </is>
      </c>
      <c r="D87" t="inlineStr">
        <is>
          <t>kayakasgroup@gmail.com</t>
        </is>
      </c>
      <c r="E87" t="inlineStr">
        <is>
          <t>https://lpjk.pu.go.id/search-badan-usaha-detail/SGF1MjFKQWE2bmNMSTY3bFVMc0tVUT09</t>
        </is>
      </c>
      <c r="F87" t="n">
        <v>2</v>
      </c>
      <c r="G87" t="inlineStr">
        <is>
          <t>BG009</t>
        </is>
      </c>
      <c r="H87" t="inlineStr">
        <is>
          <t>17 Maret 2023</t>
        </is>
      </c>
      <c r="I87" s="2" t="n">
        <v>46300</v>
      </c>
      <c r="J87" t="inlineStr">
        <is>
          <t>Disetujui</t>
        </is>
      </c>
      <c r="K87" t="n">
        <v>90</v>
      </c>
      <c r="L87" t="inlineStr">
        <is>
          <t>5 Oktober 2026</t>
        </is>
      </c>
      <c r="M87" t="inlineStr">
        <is>
          <t>Konstruksi Gedung Lainnya</t>
        </is>
      </c>
      <c r="N87" t="inlineStr">
        <is>
          <t>K</t>
        </is>
      </c>
      <c r="O87" t="inlineStr">
        <is>
          <t>20231003</t>
        </is>
      </c>
      <c r="P87" t="inlineStr">
        <is>
          <t>Jawa Barat</t>
        </is>
      </c>
      <c r="Q87" t="inlineStr"/>
    </row>
    <row r="88">
      <c r="A88" t="inlineStr">
        <is>
          <t>KEMUNING JAYA</t>
        </is>
      </c>
      <c r="B88" t="inlineStr">
        <is>
          <t>Kota Langsa</t>
        </is>
      </c>
      <c r="C88" t="inlineStr">
        <is>
          <t>085373119404</t>
        </is>
      </c>
      <c r="D88" t="inlineStr">
        <is>
          <t>jayakemuning.86@gmail.com</t>
        </is>
      </c>
      <c r="E88" t="inlineStr">
        <is>
          <t>https://lpjk.pu.go.id/search-badan-usaha-detail/dmZzNjhROFhMQ28rVjE3QVR6WHNGK2t6Yi9md0lTOFppWjVSU1lCZlpHWT0</t>
        </is>
      </c>
      <c r="F88" t="n">
        <v>2</v>
      </c>
      <c r="G88" t="inlineStr">
        <is>
          <t>BG001, BG009</t>
        </is>
      </c>
      <c r="H88" t="inlineStr">
        <is>
          <t>1 Maret 2023</t>
        </is>
      </c>
      <c r="I88" s="2" t="n">
        <v>46300</v>
      </c>
      <c r="J88" t="inlineStr">
        <is>
          <t>Disetujui</t>
        </is>
      </c>
      <c r="K88" t="n">
        <v>90</v>
      </c>
      <c r="L88" t="inlineStr">
        <is>
          <t>5 Oktober 2026</t>
        </is>
      </c>
      <c r="M88" t="inlineStr">
        <is>
          <t>Konstruksi Gedung Hunian, Konstruksi Gedung Lainnya</t>
        </is>
      </c>
      <c r="N88" t="inlineStr">
        <is>
          <t>K</t>
        </is>
      </c>
      <c r="O88" t="inlineStr">
        <is>
          <t>20231004</t>
        </is>
      </c>
      <c r="P88" t="inlineStr">
        <is>
          <t>Aceh</t>
        </is>
      </c>
      <c r="Q88" t="inlineStr"/>
    </row>
    <row r="89">
      <c r="A89" t="inlineStr">
        <is>
          <t>KUDA HITAM KONTRAKTOR</t>
        </is>
      </c>
      <c r="B89" t="inlineStr">
        <is>
          <t>Kab. Kampar</t>
        </is>
      </c>
      <c r="C89" t="inlineStr">
        <is>
          <t>085263049599</t>
        </is>
      </c>
      <c r="D89" t="inlineStr">
        <is>
          <t>cvkudahitamkontraktor@yahoo.com</t>
        </is>
      </c>
      <c r="E89" t="inlineStr">
        <is>
          <t>https://lpjk.pu.go.id/search-badan-usaha-detail/bVBsSG1uTysyaTRKays2QkVHVFQ0QT09</t>
        </is>
      </c>
      <c r="F89" t="n">
        <v>1</v>
      </c>
      <c r="G89" t="inlineStr">
        <is>
          <t>PB010</t>
        </is>
      </c>
      <c r="H89" t="inlineStr">
        <is>
          <t>2 Juni 2022</t>
        </is>
      </c>
      <c r="I89" s="2" t="n">
        <v>46300</v>
      </c>
      <c r="J89" t="inlineStr">
        <is>
          <t>Pencabutan</t>
        </is>
      </c>
      <c r="K89" t="n">
        <v>90</v>
      </c>
      <c r="L89" t="inlineStr">
        <is>
          <t>5 Oktober 2026</t>
        </is>
      </c>
      <c r="M89" t="inlineStr">
        <is>
          <t>Pekerjaan Lanskap, Pertamanan, dan Penanaman Vegetasi</t>
        </is>
      </c>
      <c r="N89" t="inlineStr">
        <is>
          <t>Spesialis</t>
        </is>
      </c>
      <c r="O89" t="inlineStr">
        <is>
          <t>20231005</t>
        </is>
      </c>
      <c r="P89" t="inlineStr">
        <is>
          <t>Riau</t>
        </is>
      </c>
      <c r="Q89" t="inlineStr"/>
    </row>
    <row r="90">
      <c r="A90" t="inlineStr">
        <is>
          <t>KURNIAWAN</t>
        </is>
      </c>
      <c r="B90" t="inlineStr">
        <is>
          <t>Kab. Magetan</t>
        </is>
      </c>
      <c r="C90" t="inlineStr">
        <is>
          <t>085736382833</t>
        </is>
      </c>
      <c r="D90" t="inlineStr">
        <is>
          <t>cv.kurniawan@ymail.com</t>
        </is>
      </c>
      <c r="E90" t="inlineStr">
        <is>
          <t>https://lpjk.pu.go.id/search-badan-usaha-detail/TjRpTFZ0LzNpZy9VL1hscUg0TUV4UT09</t>
        </is>
      </c>
      <c r="F90" t="n">
        <v>2</v>
      </c>
      <c r="G90" t="inlineStr">
        <is>
          <t>BG009</t>
        </is>
      </c>
      <c r="H90" t="inlineStr">
        <is>
          <t>30 November 2000</t>
        </is>
      </c>
      <c r="I90" s="2" t="n">
        <v>46300</v>
      </c>
      <c r="J90" t="inlineStr">
        <is>
          <t>Disetujui</t>
        </is>
      </c>
      <c r="K90" t="n">
        <v>90</v>
      </c>
      <c r="L90" t="inlineStr">
        <is>
          <t>5 Oktober 2026</t>
        </is>
      </c>
      <c r="M90" t="inlineStr">
        <is>
          <t>Konstruksi Gedung Lainnya</t>
        </is>
      </c>
      <c r="N90" t="inlineStr">
        <is>
          <t>K</t>
        </is>
      </c>
      <c r="O90" t="inlineStr">
        <is>
          <t>20231006</t>
        </is>
      </c>
      <c r="P90" t="inlineStr">
        <is>
          <t>Jawa Timur</t>
        </is>
      </c>
      <c r="Q90" t="inlineStr"/>
    </row>
    <row r="91">
      <c r="A91" t="inlineStr">
        <is>
          <t>LEO PATRA MANDIRI</t>
        </is>
      </c>
      <c r="B91" t="inlineStr">
        <is>
          <t>Kab. Kutai Kartanegara</t>
        </is>
      </c>
      <c r="C91" t="inlineStr">
        <is>
          <t>08125369141</t>
        </is>
      </c>
      <c r="D91" t="inlineStr">
        <is>
          <t>cv.leopatra@yahoo.co.id</t>
        </is>
      </c>
      <c r="E91" t="inlineStr">
        <is>
          <t>https://lpjk.pu.go.id/search-badan-usaha-detail/RTg0S2dISmJSM3JKWlB1YmI2M3lpdz09</t>
        </is>
      </c>
      <c r="F91" t="n">
        <v>3</v>
      </c>
      <c r="G91" t="inlineStr">
        <is>
          <t>BG001, BG005, BG009</t>
        </is>
      </c>
      <c r="H91" t="inlineStr">
        <is>
          <t>30 November 1999</t>
        </is>
      </c>
      <c r="I91" s="2" t="n">
        <v>46300</v>
      </c>
      <c r="J91" t="inlineStr">
        <is>
          <t>Disetujui</t>
        </is>
      </c>
      <c r="K91" t="n">
        <v>90</v>
      </c>
      <c r="L91" t="inlineStr">
        <is>
          <t>5 Oktober 2026</t>
        </is>
      </c>
      <c r="M91" t="inlineStr">
        <is>
          <t>Konstruksi Gedung Hunian, Konstruksi Gedung Kesehatan, Konstruksi Gedung Lainnya</t>
        </is>
      </c>
      <c r="N91" t="inlineStr">
        <is>
          <t>K</t>
        </is>
      </c>
      <c r="O91" t="inlineStr">
        <is>
          <t>20231005</t>
        </is>
      </c>
      <c r="P91" t="inlineStr">
        <is>
          <t>Kalimantan Timur</t>
        </is>
      </c>
      <c r="Q91" t="inlineStr"/>
    </row>
    <row r="92">
      <c r="A92" t="inlineStr">
        <is>
          <t>LEO PRATAMA ENERGI</t>
        </is>
      </c>
      <c r="B92" t="inlineStr">
        <is>
          <t>Kota Bandung</t>
        </is>
      </c>
      <c r="C92" t="inlineStr">
        <is>
          <t>08562211992</t>
        </is>
      </c>
      <c r="D92" t="inlineStr">
        <is>
          <t>leopratamaenergi@gmail.com</t>
        </is>
      </c>
      <c r="E92" t="inlineStr">
        <is>
          <t>https://lpjk.pu.go.id/search-badan-usaha-detail/eGoxK2dmb1k5UU5pWUtQSGN5WDF4dz09</t>
        </is>
      </c>
      <c r="F92" t="n">
        <v>3</v>
      </c>
      <c r="G92" t="inlineStr">
        <is>
          <t>BG002, BG005, BG006</t>
        </is>
      </c>
      <c r="H92" t="inlineStr">
        <is>
          <t>10 September 2021</t>
        </is>
      </c>
      <c r="I92" s="2" t="n">
        <v>46300</v>
      </c>
      <c r="J92" t="inlineStr">
        <is>
          <t>Disetujui</t>
        </is>
      </c>
      <c r="K92" t="n">
        <v>90</v>
      </c>
      <c r="L92" t="inlineStr">
        <is>
          <t>5 Oktober 2026</t>
        </is>
      </c>
      <c r="M92" t="inlineStr">
        <is>
          <t>Konstruksi Gedung Kesehatan, Konstruksi Gedung Pendidikan, Konstruksi Gedung Perkantoran</t>
        </is>
      </c>
      <c r="N92" t="inlineStr">
        <is>
          <t>K</t>
        </is>
      </c>
      <c r="O92" t="inlineStr">
        <is>
          <t>20231005</t>
        </is>
      </c>
      <c r="P92" t="inlineStr">
        <is>
          <t>Jawa Barat</t>
        </is>
      </c>
      <c r="Q92" t="inlineStr"/>
    </row>
    <row r="93">
      <c r="A93" t="inlineStr">
        <is>
          <t>LEONEL BINA MANDIRI</t>
        </is>
      </c>
      <c r="B93" t="inlineStr">
        <is>
          <t>Kota Ambon</t>
        </is>
      </c>
      <c r="C93" t="inlineStr">
        <is>
          <t>081343008600</t>
        </is>
      </c>
      <c r="D93" t="inlineStr">
        <is>
          <t>ebenkp@yahoo.com</t>
        </is>
      </c>
      <c r="E93" t="inlineStr">
        <is>
          <t>https://lpjk.pu.go.id/search-badan-usaha-detail/VmEzakpVczZCODUxblRwOFl0YVpZdz09</t>
        </is>
      </c>
      <c r="F93" t="n">
        <v>3</v>
      </c>
      <c r="G93" t="inlineStr">
        <is>
          <t>BG001, BG002, BG009</t>
        </is>
      </c>
      <c r="H93" t="inlineStr">
        <is>
          <t>5 April 2021</t>
        </is>
      </c>
      <c r="I93" s="2" t="n">
        <v>46300</v>
      </c>
      <c r="J93" t="inlineStr">
        <is>
          <t>Disetujui</t>
        </is>
      </c>
      <c r="K93" t="n">
        <v>90</v>
      </c>
      <c r="L93" t="inlineStr">
        <is>
          <t>5 Oktober 2026</t>
        </is>
      </c>
      <c r="M93" t="inlineStr">
        <is>
          <t>Konstruksi Gedung Hunian, Konstruksi Gedung Lainnya, Konstruksi Gedung Perkantoran</t>
        </is>
      </c>
      <c r="N93" t="inlineStr">
        <is>
          <t>K</t>
        </is>
      </c>
      <c r="O93" t="inlineStr">
        <is>
          <t>20231002, 20231005</t>
        </is>
      </c>
      <c r="P93" t="inlineStr">
        <is>
          <t>Maluku</t>
        </is>
      </c>
      <c r="Q93" t="inlineStr"/>
    </row>
    <row r="94">
      <c r="A94" t="inlineStr">
        <is>
          <t>LIMA FLAMBOYAN</t>
        </is>
      </c>
      <c r="B94" t="inlineStr">
        <is>
          <t>Kab. Blora</t>
        </is>
      </c>
      <c r="C94" t="inlineStr">
        <is>
          <t>082257818588</t>
        </is>
      </c>
      <c r="D94" t="inlineStr">
        <is>
          <t>lima.flamboyan@yahoo.com</t>
        </is>
      </c>
      <c r="E94" t="inlineStr">
        <is>
          <t>https://lpjk.pu.go.id/search-badan-usaha-detail/WTV4ODRVRzhkcTRvNnh2R1J6dUhIUT09</t>
        </is>
      </c>
      <c r="F94" t="n">
        <v>1</v>
      </c>
      <c r="G94" t="inlineStr">
        <is>
          <t>BG002</t>
        </is>
      </c>
      <c r="H94" t="inlineStr">
        <is>
          <t>4 Januari 2021</t>
        </is>
      </c>
      <c r="I94" s="2" t="n">
        <v>46300</v>
      </c>
      <c r="J94" t="inlineStr">
        <is>
          <t>Disetujui</t>
        </is>
      </c>
      <c r="K94" t="n">
        <v>90</v>
      </c>
      <c r="L94" t="inlineStr">
        <is>
          <t>5 Oktober 2026</t>
        </is>
      </c>
      <c r="M94" t="inlineStr">
        <is>
          <t>Konstruksi Gedung Perkantoran</t>
        </is>
      </c>
      <c r="N94" t="inlineStr">
        <is>
          <t>K</t>
        </is>
      </c>
      <c r="O94" t="inlineStr">
        <is>
          <t>20231005</t>
        </is>
      </c>
      <c r="P94" t="inlineStr">
        <is>
          <t>Jawa Tengah</t>
        </is>
      </c>
      <c r="Q94" t="inlineStr"/>
    </row>
    <row r="95">
      <c r="A95" t="inlineStr">
        <is>
          <t>LINA JAYA</t>
        </is>
      </c>
      <c r="B95" t="inlineStr">
        <is>
          <t>Kota Denpasar</t>
        </is>
      </c>
      <c r="C95" t="inlineStr">
        <is>
          <t>081353002869</t>
        </is>
      </c>
      <c r="D95" t="inlineStr">
        <is>
          <t>cvlinaj@gmail.com</t>
        </is>
      </c>
      <c r="E95" t="inlineStr">
        <is>
          <t>https://lpjk.pu.go.id/search-badan-usaha-detail/djUreFFTZXdlSVl6TGYvSUg2Q0Mxdz09</t>
        </is>
      </c>
      <c r="F95" t="n">
        <v>1</v>
      </c>
      <c r="G95" t="inlineStr">
        <is>
          <t>BG001</t>
        </is>
      </c>
      <c r="H95" t="inlineStr">
        <is>
          <t>19 Juli 2017</t>
        </is>
      </c>
      <c r="I95" s="2" t="n">
        <v>46300</v>
      </c>
      <c r="J95" t="inlineStr">
        <is>
          <t>Disetujui</t>
        </is>
      </c>
      <c r="K95" t="n">
        <v>90</v>
      </c>
      <c r="L95" t="inlineStr">
        <is>
          <t>5 Oktober 2026</t>
        </is>
      </c>
      <c r="M95" t="inlineStr">
        <is>
          <t>Konstruksi Gedung Hunian</t>
        </is>
      </c>
      <c r="N95" t="inlineStr">
        <is>
          <t>K</t>
        </is>
      </c>
      <c r="O95" t="inlineStr">
        <is>
          <t>20230926</t>
        </is>
      </c>
      <c r="P95" t="inlineStr">
        <is>
          <t>Bali</t>
        </is>
      </c>
      <c r="Q95" t="inlineStr"/>
    </row>
    <row r="96">
      <c r="A96" t="inlineStr">
        <is>
          <t>LINTAS BUPOLO MANDIRI</t>
        </is>
      </c>
      <c r="B96" t="inlineStr">
        <is>
          <t>Kab. Buru</t>
        </is>
      </c>
      <c r="C96" t="inlineStr">
        <is>
          <t>0811478123</t>
        </is>
      </c>
      <c r="D96" t="inlineStr">
        <is>
          <t>lintasbupolomandiri@gmail.com</t>
        </is>
      </c>
      <c r="E96" t="inlineStr">
        <is>
          <t>https://lpjk.pu.go.id/search-badan-usaha-detail/WFZSRW5nb3REcWRlNVhmRjdDb3lrQT09</t>
        </is>
      </c>
      <c r="F96" t="n">
        <v>1</v>
      </c>
      <c r="G96" t="inlineStr">
        <is>
          <t>BS004</t>
        </is>
      </c>
      <c r="H96" t="inlineStr">
        <is>
          <t>29 Juli 2019</t>
        </is>
      </c>
      <c r="I96" s="2" t="n">
        <v>46300</v>
      </c>
      <c r="J96" t="inlineStr">
        <is>
          <t>Disetujui</t>
        </is>
      </c>
      <c r="K96" t="n">
        <v>90</v>
      </c>
      <c r="L96" t="inlineStr">
        <is>
          <t>5 Oktober 2026</t>
        </is>
      </c>
      <c r="M96" t="inlineStr">
        <is>
          <t>Konstruksi Jaringan Irigasi dan Drainase</t>
        </is>
      </c>
      <c r="N96" t="inlineStr">
        <is>
          <t>K</t>
        </is>
      </c>
      <c r="O96" t="inlineStr">
        <is>
          <t>20231004</t>
        </is>
      </c>
      <c r="P96" t="inlineStr">
        <is>
          <t>Maluku</t>
        </is>
      </c>
      <c r="Q96" t="inlineStr"/>
    </row>
    <row r="97">
      <c r="A97" t="inlineStr">
        <is>
          <t>MAHAKARYA BUMI</t>
        </is>
      </c>
      <c r="B97" t="inlineStr">
        <is>
          <t>Kota Cilegon</t>
        </is>
      </c>
      <c r="C97" t="inlineStr">
        <is>
          <t>085939190052</t>
        </is>
      </c>
      <c r="D97" t="inlineStr">
        <is>
          <t>lsbuid8@gmail.com</t>
        </is>
      </c>
      <c r="E97" t="inlineStr">
        <is>
          <t>https://lpjk.pu.go.id/search-badan-usaha-detail/L3Z2NWlRREM1VjF3MUhXWC9EWVphZz09</t>
        </is>
      </c>
      <c r="F97" t="n">
        <v>3</v>
      </c>
      <c r="G97" t="inlineStr">
        <is>
          <t>BG009</t>
        </is>
      </c>
      <c r="H97" t="inlineStr">
        <is>
          <t>23 Februari 2012</t>
        </is>
      </c>
      <c r="I97" s="2" t="n">
        <v>46300</v>
      </c>
      <c r="J97" t="inlineStr">
        <is>
          <t>Pencabutan</t>
        </is>
      </c>
      <c r="K97" t="n">
        <v>90</v>
      </c>
      <c r="L97" t="inlineStr">
        <is>
          <t>5 Oktober 2026</t>
        </is>
      </c>
      <c r="M97" t="inlineStr">
        <is>
          <t>Konstruksi Gedung Lainnya</t>
        </is>
      </c>
      <c r="N97" t="inlineStr">
        <is>
          <t>M</t>
        </is>
      </c>
      <c r="O97" t="inlineStr">
        <is>
          <t>20231005</t>
        </is>
      </c>
      <c r="P97" t="inlineStr">
        <is>
          <t>Banten</t>
        </is>
      </c>
      <c r="Q97" t="inlineStr"/>
    </row>
    <row r="98">
      <c r="A98" t="inlineStr">
        <is>
          <t>MAHAKARYA BUMI SUMATRA</t>
        </is>
      </c>
      <c r="B98" t="inlineStr">
        <is>
          <t>Kota Palembang</t>
        </is>
      </c>
      <c r="C98" t="inlineStr">
        <is>
          <t>082183639975</t>
        </is>
      </c>
      <c r="D98" t="inlineStr">
        <is>
          <t>cvmahakaryabumisumatra@gmail.com</t>
        </is>
      </c>
      <c r="E98" t="inlineStr">
        <is>
          <t>https://lpjk.pu.go.id/search-badan-usaha-detail/aUdIN09rVW9NZ2JSNzJzRXU0N1QxQT09</t>
        </is>
      </c>
      <c r="F98" t="n">
        <v>9</v>
      </c>
      <c r="G98" t="inlineStr">
        <is>
          <t>BS001</t>
        </is>
      </c>
      <c r="H98" t="inlineStr">
        <is>
          <t>7 Juli 2023</t>
        </is>
      </c>
      <c r="I98" s="2" t="n">
        <v>46300</v>
      </c>
      <c r="J98" t="inlineStr">
        <is>
          <t>Disetujui</t>
        </is>
      </c>
      <c r="K98" t="n">
        <v>90</v>
      </c>
      <c r="L98" t="inlineStr">
        <is>
          <t>5 Oktober 2026</t>
        </is>
      </c>
      <c r="M98" t="inlineStr">
        <is>
          <t>Konstruksi Bangunan Sipil Jalan</t>
        </is>
      </c>
      <c r="N98" t="inlineStr">
        <is>
          <t>K</t>
        </is>
      </c>
      <c r="O98" t="inlineStr">
        <is>
          <t>20231004</t>
        </is>
      </c>
      <c r="P98" t="inlineStr">
        <is>
          <t>Sumatera Selatan</t>
        </is>
      </c>
      <c r="Q98" t="inlineStr"/>
    </row>
    <row r="99">
      <c r="A99" t="inlineStr">
        <is>
          <t>MAHAMERU SURYA PERKASA</t>
        </is>
      </c>
      <c r="B99" t="inlineStr">
        <is>
          <t>Kab. Kepulauan Selayar</t>
        </is>
      </c>
      <c r="C99" t="inlineStr">
        <is>
          <t>085696410663</t>
        </is>
      </c>
      <c r="D99" t="inlineStr">
        <is>
          <t>cv.mahamerusuryaperkasa@gmail.com</t>
        </is>
      </c>
      <c r="E99" t="inlineStr">
        <is>
          <t>https://lpjk.pu.go.id/search-badan-usaha-detail/bFp2bFN2RkNpUHFQNGVXL0JvdGNRdz09</t>
        </is>
      </c>
      <c r="F99" t="n">
        <v>2</v>
      </c>
      <c r="G99" t="inlineStr">
        <is>
          <t>BG009</t>
        </is>
      </c>
      <c r="H99" t="inlineStr">
        <is>
          <t>25 Juli 2023</t>
        </is>
      </c>
      <c r="I99" s="2" t="n">
        <v>46300</v>
      </c>
      <c r="J99" t="inlineStr">
        <is>
          <t>Disetujui</t>
        </is>
      </c>
      <c r="K99" t="n">
        <v>90</v>
      </c>
      <c r="L99" t="inlineStr">
        <is>
          <t>5 Oktober 2026</t>
        </is>
      </c>
      <c r="M99" t="inlineStr">
        <is>
          <t>Konstruksi Gedung Lainnya</t>
        </is>
      </c>
      <c r="N99" t="inlineStr">
        <is>
          <t>K</t>
        </is>
      </c>
      <c r="O99" t="inlineStr">
        <is>
          <t>20231006</t>
        </is>
      </c>
      <c r="P99" t="inlineStr">
        <is>
          <t>Sulawesi Selatan</t>
        </is>
      </c>
      <c r="Q99" t="inlineStr"/>
    </row>
    <row r="100">
      <c r="A100" t="inlineStr">
        <is>
          <t>MAJUMAPAN KONSULINDO</t>
        </is>
      </c>
      <c r="B100" t="inlineStr">
        <is>
          <t>Kab. Manokwari</t>
        </is>
      </c>
      <c r="C100" t="inlineStr">
        <is>
          <t>081248995758</t>
        </is>
      </c>
      <c r="D100" t="inlineStr">
        <is>
          <t>majumapankonsulindo@gmail.com</t>
        </is>
      </c>
      <c r="E100" t="inlineStr">
        <is>
          <t>https://lpjk.pu.go.id/search-badan-usaha-detail/aEM0TTk4dy84bUlHWnJCUVFneVBhZz09</t>
        </is>
      </c>
      <c r="F100" t="n">
        <v>4</v>
      </c>
      <c r="G100" t="inlineStr">
        <is>
          <t>AR001, AR003, RK001, RK003</t>
        </is>
      </c>
      <c r="H100" t="inlineStr">
        <is>
          <t>22 Juni 2012</t>
        </is>
      </c>
      <c r="I100" s="2" t="n">
        <v>46300</v>
      </c>
      <c r="J100" t="inlineStr">
        <is>
          <t>Disetujui</t>
        </is>
      </c>
      <c r="K100" t="n">
        <v>90</v>
      </c>
      <c r="L100" t="inlineStr">
        <is>
          <t>5 Oktober 2026</t>
        </is>
      </c>
      <c r="M100" t="inlineStr">
        <is>
          <t>Jasa Arsitektural Bangunan Gedung Hunian dan Non Hunian, Jasa Desain Interior pada Bangunan Gedung dan Bangunan Sipil, Jasa Rekayasa Konstruksi Bangunan Gedung Hunian dan Non Hunian, Jasa Rekayasa Pekerjaan Teknik Sipil Transportasi</t>
        </is>
      </c>
      <c r="N100" t="inlineStr">
        <is>
          <t>K</t>
        </is>
      </c>
      <c r="O100" t="inlineStr">
        <is>
          <t>20231003</t>
        </is>
      </c>
      <c r="P100" t="inlineStr">
        <is>
          <t>Papua Barat</t>
        </is>
      </c>
      <c r="Q100" t="inlineStr"/>
    </row>
    <row r="101">
      <c r="A101" t="inlineStr">
        <is>
          <t>MANDALA ARTHA PADJADJARAN</t>
        </is>
      </c>
      <c r="B101" t="inlineStr">
        <is>
          <t>Kab. Cianjur</t>
        </is>
      </c>
      <c r="C101" t="inlineStr">
        <is>
          <t>087820177373</t>
        </is>
      </c>
      <c r="D101" t="inlineStr">
        <is>
          <t>mandala.artha.padjadjaran@gmail.com</t>
        </is>
      </c>
      <c r="E101" t="inlineStr">
        <is>
          <t>https://lpjk.pu.go.id/search-badan-usaha-detail/bEtFNUROZEVxQzA2azNDNnlXeXZoZz09</t>
        </is>
      </c>
      <c r="F101" t="n">
        <v>2</v>
      </c>
      <c r="G101" t="inlineStr">
        <is>
          <t>BG009</t>
        </is>
      </c>
      <c r="H101" t="inlineStr">
        <is>
          <t>12 Maret 2020</t>
        </is>
      </c>
      <c r="I101" s="2" t="n">
        <v>46300</v>
      </c>
      <c r="J101" t="inlineStr">
        <is>
          <t>Disetujui</t>
        </is>
      </c>
      <c r="K101" t="n">
        <v>90</v>
      </c>
      <c r="L101" t="inlineStr">
        <is>
          <t>5 Oktober 2026</t>
        </is>
      </c>
      <c r="M101" t="inlineStr">
        <is>
          <t>Konstruksi Gedung Lainnya</t>
        </is>
      </c>
      <c r="N101" t="inlineStr">
        <is>
          <t>K</t>
        </is>
      </c>
      <c r="O101" t="inlineStr">
        <is>
          <t>20231005</t>
        </is>
      </c>
      <c r="P101" t="inlineStr">
        <is>
          <t>Jawa Barat</t>
        </is>
      </c>
      <c r="Q101" t="inlineStr"/>
    </row>
    <row r="102">
      <c r="A102" t="inlineStr">
        <is>
          <t>MANDIRI TORIDA</t>
        </is>
      </c>
      <c r="B102" t="inlineStr">
        <is>
          <t>Kab. Tapanuli Tengah</t>
        </is>
      </c>
      <c r="C102" t="inlineStr">
        <is>
          <t>081375933660</t>
        </is>
      </c>
      <c r="D102" t="inlineStr">
        <is>
          <t>marlinatobing17@gmail.com</t>
        </is>
      </c>
      <c r="E102" t="inlineStr">
        <is>
          <t>https://lpjk.pu.go.id/search-badan-usaha-detail/ZW5RNEd6M3lCVEJUSXBKOXpWNUNtZz09</t>
        </is>
      </c>
      <c r="F102" t="n">
        <v>1</v>
      </c>
      <c r="G102" t="inlineStr">
        <is>
          <t>BG001</t>
        </is>
      </c>
      <c r="H102" t="inlineStr">
        <is>
          <t>23 Februari 2009</t>
        </is>
      </c>
      <c r="I102" s="2" t="n">
        <v>46300</v>
      </c>
      <c r="J102" t="inlineStr">
        <is>
          <t>Disetujui</t>
        </is>
      </c>
      <c r="K102" t="n">
        <v>90</v>
      </c>
      <c r="L102" t="inlineStr">
        <is>
          <t>5 Oktober 2026</t>
        </is>
      </c>
      <c r="M102" t="inlineStr">
        <is>
          <t>Konstruksi Gedung Hunian</t>
        </is>
      </c>
      <c r="N102" t="inlineStr">
        <is>
          <t>K</t>
        </is>
      </c>
      <c r="O102" t="inlineStr">
        <is>
          <t>20231005</t>
        </is>
      </c>
      <c r="P102" t="inlineStr">
        <is>
          <t>Sumatera Utara</t>
        </is>
      </c>
      <c r="Q102" t="inlineStr"/>
    </row>
    <row r="103">
      <c r="A103" t="inlineStr">
        <is>
          <t>MARGA JAYA KONSTRUKSI</t>
        </is>
      </c>
      <c r="B103" t="inlineStr">
        <is>
          <t>Kota Tangerang</t>
        </is>
      </c>
      <c r="C103" t="inlineStr">
        <is>
          <t>0817626467</t>
        </is>
      </c>
      <c r="D103" t="inlineStr">
        <is>
          <t>margajaya777@yahoo.com</t>
        </is>
      </c>
      <c r="E103" t="inlineStr">
        <is>
          <t>https://lpjk.pu.go.id/search-badan-usaha-detail/Y0N5aXVwSkRmQlN4WFF2bTdYWEROZz09</t>
        </is>
      </c>
      <c r="F103" t="n">
        <v>1</v>
      </c>
      <c r="G103" t="inlineStr">
        <is>
          <t>BG001</t>
        </is>
      </c>
      <c r="H103" t="inlineStr">
        <is>
          <t>21 Maret 2012</t>
        </is>
      </c>
      <c r="I103" s="2" t="n">
        <v>46300</v>
      </c>
      <c r="J103" t="inlineStr">
        <is>
          <t>Disetujui</t>
        </is>
      </c>
      <c r="K103" t="n">
        <v>90</v>
      </c>
      <c r="L103" t="inlineStr">
        <is>
          <t>5 Oktober 2026</t>
        </is>
      </c>
      <c r="M103" t="inlineStr">
        <is>
          <t>Konstruksi Gedung Hunian</t>
        </is>
      </c>
      <c r="N103" t="inlineStr">
        <is>
          <t>K</t>
        </is>
      </c>
      <c r="O103" t="inlineStr">
        <is>
          <t>20231004</t>
        </is>
      </c>
      <c r="P103" t="inlineStr">
        <is>
          <t>Banten</t>
        </is>
      </c>
      <c r="Q103" t="inlineStr"/>
    </row>
    <row r="104">
      <c r="A104" t="inlineStr">
        <is>
          <t>MARTINA KARYA</t>
        </is>
      </c>
      <c r="B104" t="inlineStr">
        <is>
          <t>Kota Ambon</t>
        </is>
      </c>
      <c r="C104" t="inlineStr">
        <is>
          <t>085243924917</t>
        </is>
      </c>
      <c r="D104" t="inlineStr">
        <is>
          <t>nanulaittaberth@yahoo.co.id</t>
        </is>
      </c>
      <c r="E104" t="inlineStr">
        <is>
          <t>https://lpjk.pu.go.id/search-badan-usaha-detail/V1AxQWZYS0tEaUczT3A3dFpVVEVZUT09</t>
        </is>
      </c>
      <c r="F104" t="n">
        <v>1</v>
      </c>
      <c r="G104" t="inlineStr">
        <is>
          <t>BG005</t>
        </is>
      </c>
      <c r="H104" t="inlineStr">
        <is>
          <t>21 September 1990</t>
        </is>
      </c>
      <c r="I104" s="2" t="n">
        <v>46300</v>
      </c>
      <c r="J104" t="inlineStr">
        <is>
          <t>Disetujui</t>
        </is>
      </c>
      <c r="K104" t="n">
        <v>90</v>
      </c>
      <c r="L104" t="inlineStr">
        <is>
          <t>5 Oktober 2026</t>
        </is>
      </c>
      <c r="M104" t="inlineStr">
        <is>
          <t>Konstruksi Gedung Kesehatan</t>
        </is>
      </c>
      <c r="N104" t="inlineStr">
        <is>
          <t>K</t>
        </is>
      </c>
      <c r="O104" t="inlineStr">
        <is>
          <t>20230928</t>
        </is>
      </c>
      <c r="P104" t="inlineStr">
        <is>
          <t>Maluku</t>
        </is>
      </c>
      <c r="Q104" t="inlineStr"/>
    </row>
    <row r="105">
      <c r="A105" t="inlineStr">
        <is>
          <t>MEDINA KARYA CIPTA</t>
        </is>
      </c>
      <c r="B105" t="inlineStr">
        <is>
          <t>Kab. Pekalongan</t>
        </is>
      </c>
      <c r="C105" t="inlineStr">
        <is>
          <t>085742339440</t>
        </is>
      </c>
      <c r="D105" t="inlineStr">
        <is>
          <t>ptmedinakaryacipta@gmail.com</t>
        </is>
      </c>
      <c r="E105" t="inlineStr">
        <is>
          <t>https://lpjk.pu.go.id/search-badan-usaha-detail/Mk1ZYks2NkJONm5reEZYaGptV0YwQT09</t>
        </is>
      </c>
      <c r="F105" t="n">
        <v>3</v>
      </c>
      <c r="G105" t="inlineStr">
        <is>
          <t>BG005, BG006, BG009</t>
        </is>
      </c>
      <c r="H105" t="inlineStr">
        <is>
          <t>3 Agustus 2023</t>
        </is>
      </c>
      <c r="I105" s="2" t="n">
        <v>46300</v>
      </c>
      <c r="J105" t="inlineStr">
        <is>
          <t>Disetujui</t>
        </is>
      </c>
      <c r="K105" t="n">
        <v>90</v>
      </c>
      <c r="L105" t="inlineStr">
        <is>
          <t>5 Oktober 2026</t>
        </is>
      </c>
      <c r="M105" t="inlineStr">
        <is>
          <t>Konstruksi Gedung Kesehatan, Konstruksi Gedung Lainnya, Konstruksi Gedung Pendidikan</t>
        </is>
      </c>
      <c r="N105" t="inlineStr">
        <is>
          <t>K</t>
        </is>
      </c>
      <c r="O105" t="inlineStr">
        <is>
          <t>20231003</t>
        </is>
      </c>
      <c r="P105" t="inlineStr">
        <is>
          <t>Jawa Tengah</t>
        </is>
      </c>
      <c r="Q105" t="inlineStr"/>
    </row>
    <row r="106">
      <c r="A106" t="inlineStr">
        <is>
          <t>MEGA MITRA MAHKOTA</t>
        </is>
      </c>
      <c r="B106" t="inlineStr">
        <is>
          <t>Kab. Tangerang</t>
        </is>
      </c>
      <c r="C106" t="inlineStr">
        <is>
          <t>082243188619</t>
        </is>
      </c>
      <c r="D106" t="inlineStr">
        <is>
          <t>megamitramahkota@gmail.com</t>
        </is>
      </c>
      <c r="E106" t="inlineStr">
        <is>
          <t>https://lpjk.pu.go.id/search-badan-usaha-detail/NXlETW9pc05hTi9LWURjMkNXcTlkZz09</t>
        </is>
      </c>
      <c r="F106" t="n">
        <v>1</v>
      </c>
      <c r="G106" t="inlineStr">
        <is>
          <t>RK002</t>
        </is>
      </c>
      <c r="H106" t="inlineStr">
        <is>
          <t>15 Januari 2020</t>
        </is>
      </c>
      <c r="I106" s="2" t="n">
        <v>46300</v>
      </c>
      <c r="J106" t="inlineStr">
        <is>
          <t>Pencabutan</t>
        </is>
      </c>
      <c r="K106" t="n">
        <v>90</v>
      </c>
      <c r="L106" t="inlineStr">
        <is>
          <t>5 Oktober 2026</t>
        </is>
      </c>
      <c r="M106" t="inlineStr">
        <is>
          <t>Jasa Rekayasa Pekerjaan Teknik Sipil Sumber Daya Air</t>
        </is>
      </c>
      <c r="N106" t="inlineStr">
        <is>
          <t>K</t>
        </is>
      </c>
      <c r="O106" t="inlineStr">
        <is>
          <t>20230914</t>
        </is>
      </c>
      <c r="P106" t="inlineStr">
        <is>
          <t>Banten</t>
        </is>
      </c>
      <c r="Q106" t="inlineStr"/>
    </row>
    <row r="107">
      <c r="A107" t="inlineStr">
        <is>
          <t>MITRA ASIATAMA</t>
        </is>
      </c>
      <c r="B107" t="inlineStr">
        <is>
          <t>Kab. Bandung Barat</t>
        </is>
      </c>
      <c r="C107" t="inlineStr">
        <is>
          <t>081221686945</t>
        </is>
      </c>
      <c r="D107" t="inlineStr">
        <is>
          <t>perizinan.mitraasiatama@gmail.com</t>
        </is>
      </c>
      <c r="E107" t="inlineStr">
        <is>
          <t>https://lpjk.pu.go.id/search-badan-usaha-detail/QVJMMGM4eUkrV2NmZU1LM2o2QzdCdz09</t>
        </is>
      </c>
      <c r="F107" t="n">
        <v>1</v>
      </c>
      <c r="G107" t="inlineStr">
        <is>
          <t>PB004</t>
        </is>
      </c>
      <c r="H107" t="inlineStr">
        <is>
          <t>30 Desember 2020</t>
        </is>
      </c>
      <c r="I107" s="2" t="n">
        <v>46300</v>
      </c>
      <c r="J107" t="inlineStr">
        <is>
          <t>Pembekuan</t>
        </is>
      </c>
      <c r="K107" t="n">
        <v>90</v>
      </c>
      <c r="L107" t="inlineStr">
        <is>
          <t>5 Oktober 2026</t>
        </is>
      </c>
      <c r="M107" t="inlineStr">
        <is>
          <t>Dekorasi Interior</t>
        </is>
      </c>
      <c r="N107" t="inlineStr">
        <is>
          <t>Spesialis</t>
        </is>
      </c>
      <c r="O107" t="inlineStr">
        <is>
          <t>20231004</t>
        </is>
      </c>
      <c r="P107" t="inlineStr">
        <is>
          <t>Jawa Barat</t>
        </is>
      </c>
      <c r="Q107" t="inlineStr"/>
    </row>
    <row r="108">
      <c r="A108" t="inlineStr">
        <is>
          <t>MITRA INFORMATIKA TEKNOLOGI</t>
        </is>
      </c>
      <c r="B108" t="inlineStr">
        <is>
          <t>Kota Adm. Jakarta Selatan</t>
        </is>
      </c>
      <c r="C108" t="inlineStr">
        <is>
          <t>02172790040</t>
        </is>
      </c>
      <c r="D108" t="inlineStr">
        <is>
          <t>pt.mitraintek@gmail.com</t>
        </is>
      </c>
      <c r="E108" t="inlineStr">
        <is>
          <t>https://lpjk.pu.go.id/search-badan-usaha-detail/SWFscUZXdGdLT2didTA2ODNrN3EyUT09</t>
        </is>
      </c>
      <c r="F108" t="n">
        <v>1</v>
      </c>
      <c r="G108" t="inlineStr">
        <is>
          <t>AR001</t>
        </is>
      </c>
      <c r="H108" t="inlineStr">
        <is>
          <t>19 Mei 2022</t>
        </is>
      </c>
      <c r="I108" s="2" t="n">
        <v>46300</v>
      </c>
      <c r="J108" t="inlineStr">
        <is>
          <t>Pencabutan</t>
        </is>
      </c>
      <c r="K108" t="n">
        <v>90</v>
      </c>
      <c r="L108" t="inlineStr">
        <is>
          <t>5 Oktober 2026</t>
        </is>
      </c>
      <c r="M108" t="inlineStr">
        <is>
          <t>Jasa Arsitektural Bangunan Gedung Hunian dan Non Hunian</t>
        </is>
      </c>
      <c r="N108" t="inlineStr">
        <is>
          <t>K</t>
        </is>
      </c>
      <c r="O108" t="inlineStr">
        <is>
          <t>20230926</t>
        </is>
      </c>
      <c r="P108" t="inlineStr">
        <is>
          <t>DKI Jakarta</t>
        </is>
      </c>
      <c r="Q108" t="inlineStr"/>
    </row>
    <row r="109">
      <c r="A109" t="inlineStr">
        <is>
          <t>MITRA JAYA LUTHFINDO</t>
        </is>
      </c>
      <c r="B109" t="inlineStr">
        <is>
          <t>Kota Mataram</t>
        </is>
      </c>
      <c r="C109" t="inlineStr">
        <is>
          <t>081917490627</t>
        </is>
      </c>
      <c r="D109" t="inlineStr">
        <is>
          <t>mitrajayaluthfindo@gmail.com</t>
        </is>
      </c>
      <c r="E109" t="inlineStr">
        <is>
          <t>https://lpjk.pu.go.id/search-badan-usaha-detail/elZnVFArbTdocEM1QlB0NnhGNW1xZz09</t>
        </is>
      </c>
      <c r="F109" t="n">
        <v>1</v>
      </c>
      <c r="G109" t="inlineStr">
        <is>
          <t>BG005</t>
        </is>
      </c>
      <c r="H109" t="inlineStr">
        <is>
          <t>19 Desember 2008</t>
        </is>
      </c>
      <c r="I109" s="2" t="n">
        <v>46300</v>
      </c>
      <c r="J109" t="inlineStr">
        <is>
          <t>Disetujui</t>
        </is>
      </c>
      <c r="K109" t="n">
        <v>90</v>
      </c>
      <c r="L109" t="inlineStr">
        <is>
          <t>5 Oktober 2026</t>
        </is>
      </c>
      <c r="M109" t="inlineStr">
        <is>
          <t>Konstruksi Gedung Kesehatan</t>
        </is>
      </c>
      <c r="N109" t="inlineStr">
        <is>
          <t>K</t>
        </is>
      </c>
      <c r="O109" t="inlineStr">
        <is>
          <t>20230920</t>
        </is>
      </c>
      <c r="P109" t="inlineStr">
        <is>
          <t>Nusa Tenggara Barat</t>
        </is>
      </c>
      <c r="Q109" t="inlineStr"/>
    </row>
    <row r="110">
      <c r="A110" t="inlineStr">
        <is>
          <t>MITRA KARYA KALBAR</t>
        </is>
      </c>
      <c r="B110" t="inlineStr">
        <is>
          <t>Kab. Mempawah</t>
        </is>
      </c>
      <c r="C110" t="inlineStr">
        <is>
          <t>081265854181</t>
        </is>
      </c>
      <c r="D110" t="inlineStr">
        <is>
          <t>mitrakaryakalbar@gmail.com</t>
        </is>
      </c>
      <c r="E110" t="inlineStr">
        <is>
          <t>https://lpjk.pu.go.id/search-badan-usaha-detail/a3liaW9kdm1zNHk5bWJITmYreW5jZz09</t>
        </is>
      </c>
      <c r="F110" t="n">
        <v>2</v>
      </c>
      <c r="G110" t="inlineStr">
        <is>
          <t>BG006, BS004</t>
        </is>
      </c>
      <c r="H110" t="inlineStr">
        <is>
          <t>5 April 2023</t>
        </is>
      </c>
      <c r="I110" s="2" t="n">
        <v>46300</v>
      </c>
      <c r="J110" t="inlineStr">
        <is>
          <t>Disetujui</t>
        </is>
      </c>
      <c r="K110" t="n">
        <v>90</v>
      </c>
      <c r="L110" t="inlineStr">
        <is>
          <t>5 Oktober 2026</t>
        </is>
      </c>
      <c r="M110" t="inlineStr">
        <is>
          <t>Konstruksi Gedung Pendidikan, Konstruksi Jaringan Irigasi dan Drainase</t>
        </is>
      </c>
      <c r="N110" t="inlineStr">
        <is>
          <t>K</t>
        </is>
      </c>
      <c r="O110" t="inlineStr">
        <is>
          <t>20231004</t>
        </is>
      </c>
      <c r="P110" t="inlineStr">
        <is>
          <t>Kalimantan Barat</t>
        </is>
      </c>
      <c r="Q110" t="inlineStr"/>
    </row>
    <row r="111">
      <c r="A111" t="inlineStr">
        <is>
          <t>MUARA MULIA TEKNIK</t>
        </is>
      </c>
      <c r="B111" t="inlineStr">
        <is>
          <t>Kab. Tapanuli Selatan</t>
        </is>
      </c>
      <c r="C111" t="inlineStr">
        <is>
          <t>081376656164</t>
        </is>
      </c>
      <c r="D111" t="inlineStr">
        <is>
          <t>muaramuliateknik@gmail.com</t>
        </is>
      </c>
      <c r="E111" t="inlineStr">
        <is>
          <t>https://lpjk.pu.go.id/search-badan-usaha-detail/eVFERDhsdEl5U29JSGVJTVZRRUVyUT09</t>
        </is>
      </c>
      <c r="F111" t="n">
        <v>1</v>
      </c>
      <c r="G111" t="inlineStr">
        <is>
          <t>BS001</t>
        </is>
      </c>
      <c r="H111" t="inlineStr">
        <is>
          <t>19 November 2020</t>
        </is>
      </c>
      <c r="I111" s="2" t="n">
        <v>46300</v>
      </c>
      <c r="J111" t="inlineStr">
        <is>
          <t>Pencabutan</t>
        </is>
      </c>
      <c r="K111" t="n">
        <v>90</v>
      </c>
      <c r="L111" t="inlineStr">
        <is>
          <t>5 Oktober 2026</t>
        </is>
      </c>
      <c r="M111" t="inlineStr">
        <is>
          <t>Konstruksi Bangunan Sipil Jalan</t>
        </is>
      </c>
      <c r="N111" t="inlineStr">
        <is>
          <t>K</t>
        </is>
      </c>
      <c r="O111" t="inlineStr">
        <is>
          <t>20230922</t>
        </is>
      </c>
      <c r="P111" t="inlineStr">
        <is>
          <t>Sumatera Utara</t>
        </is>
      </c>
      <c r="Q111" t="inlineStr"/>
    </row>
    <row r="112">
      <c r="A112" t="inlineStr">
        <is>
          <t>MULTI AGRO UTAMA</t>
        </is>
      </c>
      <c r="B112" t="inlineStr">
        <is>
          <t>Kab. Aceh Utara</t>
        </is>
      </c>
      <c r="C112" t="inlineStr">
        <is>
          <t>0811670068</t>
        </is>
      </c>
      <c r="D112" t="inlineStr">
        <is>
          <t>cvmultiagroutama@gmail.com</t>
        </is>
      </c>
      <c r="E112" t="inlineStr">
        <is>
          <t>https://lpjk.pu.go.id/search-badan-usaha-detail/bllHUjhYUTZQTHphdVRmU3JQNXJUUT09</t>
        </is>
      </c>
      <c r="F112" t="n">
        <v>2</v>
      </c>
      <c r="G112" t="inlineStr">
        <is>
          <t>BG001, BG009</t>
        </is>
      </c>
      <c r="H112" t="inlineStr"/>
      <c r="I112" s="2" t="n">
        <v>46300</v>
      </c>
      <c r="J112" t="inlineStr">
        <is>
          <t>Disetujui</t>
        </is>
      </c>
      <c r="K112" t="n">
        <v>90</v>
      </c>
      <c r="L112" t="inlineStr">
        <is>
          <t>5 Oktober 2026</t>
        </is>
      </c>
      <c r="M112" t="inlineStr">
        <is>
          <t>Konstruksi Gedung Hunian, Konstruksi Gedung Lainnya</t>
        </is>
      </c>
      <c r="N112" t="inlineStr">
        <is>
          <t>K</t>
        </is>
      </c>
      <c r="O112" t="inlineStr">
        <is>
          <t>20231006</t>
        </is>
      </c>
      <c r="P112" t="inlineStr">
        <is>
          <t>Aceh</t>
        </is>
      </c>
      <c r="Q112" t="inlineStr"/>
    </row>
    <row r="113">
      <c r="A113" t="inlineStr">
        <is>
          <t>MULTI ARTHA SEHATI</t>
        </is>
      </c>
      <c r="B113" t="inlineStr">
        <is>
          <t>Kota Cimahi</t>
        </is>
      </c>
      <c r="C113" t="inlineStr">
        <is>
          <t>6659222</t>
        </is>
      </c>
      <c r="D113" t="inlineStr">
        <is>
          <t>admin@multiarthasehati.com</t>
        </is>
      </c>
      <c r="E113" t="inlineStr">
        <is>
          <t>https://lpjk.pu.go.id/search-badan-usaha-detail/NWNGM2wzak5rNkUrV0xoVVo5U1Frdz09</t>
        </is>
      </c>
      <c r="F113" t="n">
        <v>3</v>
      </c>
      <c r="G113" t="inlineStr">
        <is>
          <t>BG001, BG003, IN008</t>
        </is>
      </c>
      <c r="H113" t="inlineStr">
        <is>
          <t>22 Mei 2014</t>
        </is>
      </c>
      <c r="I113" s="2" t="n">
        <v>46300</v>
      </c>
      <c r="J113" t="inlineStr">
        <is>
          <t>Disetujui</t>
        </is>
      </c>
      <c r="K113" t="n">
        <v>90</v>
      </c>
      <c r="L113" t="inlineStr">
        <is>
          <t>5 Oktober 2026</t>
        </is>
      </c>
      <c r="M113" t="inlineStr">
        <is>
          <t>Instalasi Pendingin Dan Ventilasi Udara, Konstruksi Gedung Hunian, Konstruksi Gedung Industri</t>
        </is>
      </c>
      <c r="N113" t="inlineStr">
        <is>
          <t>K, Spesialis</t>
        </is>
      </c>
      <c r="O113" t="inlineStr">
        <is>
          <t>20231005</t>
        </is>
      </c>
      <c r="P113" t="inlineStr">
        <is>
          <t>Jawa Barat</t>
        </is>
      </c>
      <c r="Q113" t="inlineStr"/>
    </row>
    <row r="114">
      <c r="A114" t="inlineStr">
        <is>
          <t>MULTI MEDIA PERSADA</t>
        </is>
      </c>
      <c r="B114" t="inlineStr">
        <is>
          <t>Kab. Hulu Sungai Selatan</t>
        </is>
      </c>
      <c r="C114" t="inlineStr">
        <is>
          <t>085251345111</t>
        </is>
      </c>
      <c r="D114" t="inlineStr">
        <is>
          <t>multimediapersadahss@gmail.com</t>
        </is>
      </c>
      <c r="E114" t="inlineStr">
        <is>
          <t>https://lpjk.pu.go.id/search-badan-usaha-detail/QmZ1aStzU1IxMTQxY3drS21NNkxVdz09</t>
        </is>
      </c>
      <c r="F114" t="n">
        <v>1</v>
      </c>
      <c r="G114" t="inlineStr">
        <is>
          <t>BG009</t>
        </is>
      </c>
      <c r="H114" t="inlineStr">
        <is>
          <t>22 Oktober 2008</t>
        </is>
      </c>
      <c r="I114" s="2" t="n">
        <v>46300</v>
      </c>
      <c r="J114" t="inlineStr">
        <is>
          <t>Disetujui</t>
        </is>
      </c>
      <c r="K114" t="n">
        <v>90</v>
      </c>
      <c r="L114" t="inlineStr">
        <is>
          <t>5 Oktober 2026</t>
        </is>
      </c>
      <c r="M114" t="inlineStr">
        <is>
          <t>Konstruksi Gedung Lainnya</t>
        </is>
      </c>
      <c r="N114" t="inlineStr">
        <is>
          <t>K</t>
        </is>
      </c>
      <c r="O114" t="inlineStr">
        <is>
          <t>20231005</t>
        </is>
      </c>
      <c r="P114" t="inlineStr">
        <is>
          <t>Kalimantan Selatan</t>
        </is>
      </c>
      <c r="Q114" t="inlineStr"/>
    </row>
    <row r="115">
      <c r="A115" t="inlineStr">
        <is>
          <t>MUTIARA SANDI FADHELA</t>
        </is>
      </c>
      <c r="B115" t="inlineStr">
        <is>
          <t>Kota Padang</t>
        </is>
      </c>
      <c r="C115" t="inlineStr">
        <is>
          <t>085921560261</t>
        </is>
      </c>
      <c r="D115" t="inlineStr">
        <is>
          <t>mutiarasandi55@gmail.com</t>
        </is>
      </c>
      <c r="E115" t="inlineStr">
        <is>
          <t>https://lpjk.pu.go.id/search-badan-usaha-detail/T0JTa1o0aVZuU054eG9ScXo1MnlyZz09</t>
        </is>
      </c>
      <c r="F115" t="n">
        <v>4</v>
      </c>
      <c r="G115" t="inlineStr">
        <is>
          <t>BG006</t>
        </is>
      </c>
      <c r="H115" t="inlineStr">
        <is>
          <t>7 Juli 2020</t>
        </is>
      </c>
      <c r="I115" s="2" t="n">
        <v>46300</v>
      </c>
      <c r="J115" t="inlineStr">
        <is>
          <t>Disetujui</t>
        </is>
      </c>
      <c r="K115" t="n">
        <v>90</v>
      </c>
      <c r="L115" t="inlineStr">
        <is>
          <t>5 Oktober 2026</t>
        </is>
      </c>
      <c r="M115" t="inlineStr">
        <is>
          <t>Konstruksi Gedung Pendidikan</t>
        </is>
      </c>
      <c r="N115" t="inlineStr">
        <is>
          <t>K</t>
        </is>
      </c>
      <c r="O115" t="inlineStr">
        <is>
          <t>20230919</t>
        </is>
      </c>
      <c r="P115" t="inlineStr">
        <is>
          <t>Sumatera Barat</t>
        </is>
      </c>
      <c r="Q115" t="inlineStr"/>
    </row>
    <row r="116">
      <c r="A116" t="inlineStr">
        <is>
          <t>NAWASENA DIRANDRA</t>
        </is>
      </c>
      <c r="B116" t="inlineStr">
        <is>
          <t>Kota Medan</t>
        </is>
      </c>
      <c r="C116" t="inlineStr">
        <is>
          <t>081269922427</t>
        </is>
      </c>
      <c r="D116" t="inlineStr">
        <is>
          <t>cv.nawasenadirandra@gmial.com</t>
        </is>
      </c>
      <c r="E116" t="inlineStr">
        <is>
          <t>https://lpjk.pu.go.id/search-badan-usaha-detail/Y0tEeFZRa1JpbVR0N1FjN2pxaXF2QT09</t>
        </is>
      </c>
      <c r="F116" t="n">
        <v>4</v>
      </c>
      <c r="G116" t="inlineStr">
        <is>
          <t>BG006, BG009</t>
        </is>
      </c>
      <c r="H116" t="inlineStr">
        <is>
          <t>7 November 2022</t>
        </is>
      </c>
      <c r="I116" s="2" t="n">
        <v>46300</v>
      </c>
      <c r="J116" t="inlineStr">
        <is>
          <t>Disetujui</t>
        </is>
      </c>
      <c r="K116" t="n">
        <v>90</v>
      </c>
      <c r="L116" t="inlineStr">
        <is>
          <t>5 Oktober 2026</t>
        </is>
      </c>
      <c r="M116" t="inlineStr">
        <is>
          <t>Konstruksi Gedung Lainnya, Konstruksi Gedung Pendidikan</t>
        </is>
      </c>
      <c r="N116" t="inlineStr">
        <is>
          <t>K</t>
        </is>
      </c>
      <c r="O116" t="inlineStr">
        <is>
          <t>20231001</t>
        </is>
      </c>
      <c r="P116" t="inlineStr">
        <is>
          <t>Sumatera Utara</t>
        </is>
      </c>
      <c r="Q116" t="inlineStr"/>
    </row>
    <row r="117">
      <c r="A117" t="inlineStr">
        <is>
          <t>NIZAM</t>
        </is>
      </c>
      <c r="B117" t="inlineStr">
        <is>
          <t>Kab. Garut</t>
        </is>
      </c>
      <c r="C117" t="inlineStr">
        <is>
          <t>085351071882</t>
        </is>
      </c>
      <c r="D117" t="inlineStr">
        <is>
          <t>cvnizam95@gmail.com</t>
        </is>
      </c>
      <c r="E117" t="inlineStr">
        <is>
          <t>https://lpjk.pu.go.id/search-badan-usaha-detail/VDJnZUJCWE9qNld1TEYyRWpRd0xOUT09</t>
        </is>
      </c>
      <c r="F117" t="n">
        <v>1</v>
      </c>
      <c r="G117" t="inlineStr">
        <is>
          <t>BG009</t>
        </is>
      </c>
      <c r="H117" t="inlineStr">
        <is>
          <t>24 Februari 2020</t>
        </is>
      </c>
      <c r="I117" s="2" t="n">
        <v>46300</v>
      </c>
      <c r="J117" t="inlineStr">
        <is>
          <t>Disetujui</t>
        </is>
      </c>
      <c r="K117" t="n">
        <v>90</v>
      </c>
      <c r="L117" t="inlineStr">
        <is>
          <t>5 Oktober 2026</t>
        </is>
      </c>
      <c r="M117" t="inlineStr">
        <is>
          <t>Konstruksi Gedung Lainnya</t>
        </is>
      </c>
      <c r="N117" t="inlineStr">
        <is>
          <t>K</t>
        </is>
      </c>
      <c r="O117" t="inlineStr">
        <is>
          <t>20231005</t>
        </is>
      </c>
      <c r="P117" t="inlineStr">
        <is>
          <t>Jawa Barat</t>
        </is>
      </c>
      <c r="Q117" t="inlineStr"/>
    </row>
    <row r="118">
      <c r="A118" t="inlineStr">
        <is>
          <t>NUSA INDAH RAYA</t>
        </is>
      </c>
      <c r="B118" t="inlineStr">
        <is>
          <t>Kota Banjarmasin</t>
        </is>
      </c>
      <c r="C118" t="inlineStr">
        <is>
          <t>081251994739</t>
        </is>
      </c>
      <c r="D118" t="inlineStr">
        <is>
          <t>cv_nusaindahraya@yahoo.com</t>
        </is>
      </c>
      <c r="E118" t="inlineStr">
        <is>
          <t>https://lpjk.pu.go.id/search-badan-usaha-detail/SkJqSTVVZG1iUytIeEg0WlBNOFp5UT09</t>
        </is>
      </c>
      <c r="F118" t="n">
        <v>1</v>
      </c>
      <c r="G118" t="inlineStr">
        <is>
          <t>BS001</t>
        </is>
      </c>
      <c r="H118" t="inlineStr">
        <is>
          <t>18 Desember 2000</t>
        </is>
      </c>
      <c r="I118" s="2" t="n">
        <v>46300</v>
      </c>
      <c r="J118" t="inlineStr">
        <is>
          <t>Disetujui</t>
        </is>
      </c>
      <c r="K118" t="n">
        <v>90</v>
      </c>
      <c r="L118" t="inlineStr">
        <is>
          <t>5 Oktober 2026</t>
        </is>
      </c>
      <c r="M118" t="inlineStr">
        <is>
          <t>Konstruksi Bangunan Sipil Jalan</t>
        </is>
      </c>
      <c r="N118" t="inlineStr">
        <is>
          <t>K</t>
        </is>
      </c>
      <c r="O118" t="inlineStr">
        <is>
          <t>20231005</t>
        </is>
      </c>
      <c r="P118" t="inlineStr">
        <is>
          <t>Kalimantan Selatan</t>
        </is>
      </c>
      <c r="Q118" t="inlineStr"/>
    </row>
    <row r="119">
      <c r="A119" t="inlineStr">
        <is>
          <t>PADI RAYA ABADI</t>
        </is>
      </c>
      <c r="B119" t="inlineStr">
        <is>
          <t>Kota Balikpapan</t>
        </is>
      </c>
      <c r="C119" t="inlineStr">
        <is>
          <t>085291855670</t>
        </is>
      </c>
      <c r="D119" t="inlineStr">
        <is>
          <t>cvpadirayaabadi@gmail.com</t>
        </is>
      </c>
      <c r="E119" t="inlineStr">
        <is>
          <t>https://lpjk.pu.go.id/search-badan-usaha-detail/SVZIVURxSE1SZjY5R1hTM3lQVTgwenZzdktFeGxoSGljbzRnVWRNU1lYVT0</t>
        </is>
      </c>
      <c r="F119" t="n">
        <v>2</v>
      </c>
      <c r="G119" t="inlineStr">
        <is>
          <t>BS001, BS004</t>
        </is>
      </c>
      <c r="H119" t="inlineStr">
        <is>
          <t>7 Oktober 2019</t>
        </is>
      </c>
      <c r="I119" s="2" t="n">
        <v>46300</v>
      </c>
      <c r="J119" t="inlineStr">
        <is>
          <t>Disetujui</t>
        </is>
      </c>
      <c r="K119" t="n">
        <v>90</v>
      </c>
      <c r="L119" t="inlineStr">
        <is>
          <t>5 Oktober 2026</t>
        </is>
      </c>
      <c r="M119" t="inlineStr">
        <is>
          <t>Konstruksi Bangunan Sipil Jalan, Konstruksi Jaringan Irigasi dan Drainase</t>
        </is>
      </c>
      <c r="N119" t="inlineStr">
        <is>
          <t>K</t>
        </is>
      </c>
      <c r="O119" t="inlineStr">
        <is>
          <t>20231006</t>
        </is>
      </c>
      <c r="P119" t="inlineStr">
        <is>
          <t>Kalimantan Timur</t>
        </is>
      </c>
      <c r="Q119" t="inlineStr"/>
    </row>
    <row r="120">
      <c r="A120" t="inlineStr">
        <is>
          <t>PANDAWA NADIMPU</t>
        </is>
      </c>
      <c r="B120" t="inlineStr">
        <is>
          <t>Kota Padang Sidempuan</t>
        </is>
      </c>
      <c r="C120" t="inlineStr">
        <is>
          <t>082278270029</t>
        </is>
      </c>
      <c r="D120" t="inlineStr">
        <is>
          <t>cvpandawanadimpu@gmail.com</t>
        </is>
      </c>
      <c r="E120" t="inlineStr">
        <is>
          <t>https://lpjk.pu.go.id/search-badan-usaha-detail/TGFQSlpiRDlNaklzMW42OWo0SVZDUT09</t>
        </is>
      </c>
      <c r="F120" t="n">
        <v>4</v>
      </c>
      <c r="G120" t="inlineStr">
        <is>
          <t>BG009, BS001</t>
        </is>
      </c>
      <c r="H120" t="inlineStr">
        <is>
          <t>27 September 2023</t>
        </is>
      </c>
      <c r="I120" s="2" t="n">
        <v>46300</v>
      </c>
      <c r="J120" t="inlineStr">
        <is>
          <t>Pencabutan</t>
        </is>
      </c>
      <c r="K120" t="n">
        <v>90</v>
      </c>
      <c r="L120" t="inlineStr">
        <is>
          <t>5 Oktober 2026</t>
        </is>
      </c>
      <c r="M120" t="inlineStr">
        <is>
          <t>Konstruksi Bangunan Sipil Jalan, Konstruksi Gedung Lainnya</t>
        </is>
      </c>
      <c r="N120" t="inlineStr">
        <is>
          <t>K</t>
        </is>
      </c>
      <c r="O120" t="inlineStr">
        <is>
          <t>20231005</t>
        </is>
      </c>
      <c r="P120" t="inlineStr">
        <is>
          <t>Sumatera Utara</t>
        </is>
      </c>
      <c r="Q120" t="inlineStr"/>
    </row>
    <row r="121">
      <c r="A121" t="inlineStr">
        <is>
          <t>PANDU BINA SENTOSA</t>
        </is>
      </c>
      <c r="B121" t="inlineStr">
        <is>
          <t>Kota Adm. Jakarta Barat</t>
        </is>
      </c>
      <c r="C121" t="inlineStr">
        <is>
          <t>02154353578</t>
        </is>
      </c>
      <c r="D121" t="inlineStr">
        <is>
          <t>info.mepbs@gmail.com</t>
        </is>
      </c>
      <c r="E121" t="inlineStr">
        <is>
          <t>https://lpjk.pu.go.id/search-badan-usaha-detail/WlFtdjVGREtzY2Q5dG9maU12Rmtvdz09</t>
        </is>
      </c>
      <c r="F121" t="n">
        <v>1</v>
      </c>
      <c r="G121" t="inlineStr">
        <is>
          <t>IN001</t>
        </is>
      </c>
      <c r="H121" t="inlineStr">
        <is>
          <t>22 Desember 2005</t>
        </is>
      </c>
      <c r="I121" s="2" t="n">
        <v>46300</v>
      </c>
      <c r="J121" t="inlineStr">
        <is>
          <t>Pembekuan</t>
        </is>
      </c>
      <c r="K121" t="n">
        <v>90</v>
      </c>
      <c r="L121" t="inlineStr">
        <is>
          <t>5 Oktober 2026</t>
        </is>
      </c>
      <c r="M121" t="inlineStr">
        <is>
          <t>Instalasi Mekanikal</t>
        </is>
      </c>
      <c r="N121" t="inlineStr">
        <is>
          <t>Spesialis</t>
        </is>
      </c>
      <c r="O121" t="inlineStr">
        <is>
          <t>20231005</t>
        </is>
      </c>
      <c r="P121" t="inlineStr">
        <is>
          <t>DKI Jakarta</t>
        </is>
      </c>
      <c r="Q121" t="inlineStr"/>
    </row>
    <row r="122">
      <c r="A122" t="inlineStr">
        <is>
          <t>PERMATA BUNDA I</t>
        </is>
      </c>
      <c r="B122" t="inlineStr">
        <is>
          <t>Kab. Bengkalis</t>
        </is>
      </c>
      <c r="C122" t="inlineStr">
        <is>
          <t>0852 7150 5945</t>
        </is>
      </c>
      <c r="D122" t="inlineStr">
        <is>
          <t>permatabunda01.cv@gmail.com</t>
        </is>
      </c>
      <c r="E122" t="inlineStr">
        <is>
          <t>https://lpjk.pu.go.id/search-badan-usaha-detail/Q1UzM3R6RGVQMEdhSWhxNWJDNkVaQT09</t>
        </is>
      </c>
      <c r="F122" t="n">
        <v>1</v>
      </c>
      <c r="G122" t="inlineStr">
        <is>
          <t>BS001</t>
        </is>
      </c>
      <c r="H122" t="inlineStr">
        <is>
          <t>31 Oktober 2001</t>
        </is>
      </c>
      <c r="I122" s="2" t="n">
        <v>46300</v>
      </c>
      <c r="J122" t="inlineStr">
        <is>
          <t>Disetujui</t>
        </is>
      </c>
      <c r="K122" t="n">
        <v>90</v>
      </c>
      <c r="L122" t="inlineStr">
        <is>
          <t>5 Oktober 2026</t>
        </is>
      </c>
      <c r="M122" t="inlineStr">
        <is>
          <t>Konstruksi Bangunan Sipil Jalan</t>
        </is>
      </c>
      <c r="N122" t="inlineStr">
        <is>
          <t>K</t>
        </is>
      </c>
      <c r="O122" t="inlineStr">
        <is>
          <t>20231005</t>
        </is>
      </c>
      <c r="P122" t="inlineStr">
        <is>
          <t>Riau</t>
        </is>
      </c>
      <c r="Q122" t="inlineStr"/>
    </row>
    <row r="123">
      <c r="A123" t="inlineStr">
        <is>
          <t>PERMATA WAMBONA GROUP</t>
        </is>
      </c>
      <c r="B123" t="inlineStr">
        <is>
          <t>Kota Kendari</t>
        </is>
      </c>
      <c r="C123" t="inlineStr">
        <is>
          <t>082216375552</t>
        </is>
      </c>
      <c r="D123" t="inlineStr">
        <is>
          <t>Permatawambona@gmail.com</t>
        </is>
      </c>
      <c r="E123" t="inlineStr">
        <is>
          <t>https://lpjk.pu.go.id/search-badan-usaha-detail/ZVBLdjc2MUZlM0s4OUVyczFsUjAvZz09</t>
        </is>
      </c>
      <c r="F123" t="n">
        <v>1</v>
      </c>
      <c r="G123" t="inlineStr">
        <is>
          <t>BS001</t>
        </is>
      </c>
      <c r="H123" t="inlineStr">
        <is>
          <t>26 Desember 2022</t>
        </is>
      </c>
      <c r="I123" s="2" t="n">
        <v>46300</v>
      </c>
      <c r="J123" t="inlineStr">
        <is>
          <t>Disetujui</t>
        </is>
      </c>
      <c r="K123" t="n">
        <v>90</v>
      </c>
      <c r="L123" t="inlineStr">
        <is>
          <t>5 Oktober 2026</t>
        </is>
      </c>
      <c r="M123" t="inlineStr">
        <is>
          <t>Konstruksi Bangunan Sipil Jalan</t>
        </is>
      </c>
      <c r="N123" t="inlineStr">
        <is>
          <t>K</t>
        </is>
      </c>
      <c r="O123" t="inlineStr">
        <is>
          <t>20230920</t>
        </is>
      </c>
      <c r="P123" t="inlineStr">
        <is>
          <t>Sulawesi Tenggara</t>
        </is>
      </c>
      <c r="Q123" t="inlineStr"/>
    </row>
    <row r="124">
      <c r="A124" t="inlineStr">
        <is>
          <t>POLA DWIPA</t>
        </is>
      </c>
      <c r="B124" t="inlineStr">
        <is>
          <t>Kota Semarang</t>
        </is>
      </c>
      <c r="C124" t="inlineStr">
        <is>
          <t>0248312282</t>
        </is>
      </c>
      <c r="D124" t="inlineStr">
        <is>
          <t>poladwip@gmail.com</t>
        </is>
      </c>
      <c r="E124" t="inlineStr">
        <is>
          <t>https://lpjk.pu.go.id/search-badan-usaha-detail/OWxBTUNVaHQvNjBjMGp3M2UvekgxUT09</t>
        </is>
      </c>
      <c r="F124" t="n">
        <v>1</v>
      </c>
      <c r="G124" t="inlineStr">
        <is>
          <t>AR001</t>
        </is>
      </c>
      <c r="H124" t="inlineStr">
        <is>
          <t>20 Januari 1976</t>
        </is>
      </c>
      <c r="I124" s="2" t="n">
        <v>46300</v>
      </c>
      <c r="J124" t="inlineStr">
        <is>
          <t>Disetujui</t>
        </is>
      </c>
      <c r="K124" t="n">
        <v>90</v>
      </c>
      <c r="L124" t="inlineStr">
        <is>
          <t>5 Oktober 2026</t>
        </is>
      </c>
      <c r="M124" t="inlineStr">
        <is>
          <t>Jasa Arsitektural Bangunan Gedung Hunian dan Non Hunian</t>
        </is>
      </c>
      <c r="N124" t="inlineStr">
        <is>
          <t>M</t>
        </is>
      </c>
      <c r="O124" t="inlineStr">
        <is>
          <t>20230925</t>
        </is>
      </c>
      <c r="P124" t="inlineStr">
        <is>
          <t>Jawa Tengah</t>
        </is>
      </c>
      <c r="Q124" t="inlineStr"/>
    </row>
    <row r="125">
      <c r="A125" t="inlineStr">
        <is>
          <t>PRIMA ARTISTIKA CONSULTAN</t>
        </is>
      </c>
      <c r="B125" t="inlineStr">
        <is>
          <t>Kota Bontang</t>
        </is>
      </c>
      <c r="C125" t="inlineStr">
        <is>
          <t>082255276627</t>
        </is>
      </c>
      <c r="D125" t="inlineStr">
        <is>
          <t>artistika.consultan@gmail.com</t>
        </is>
      </c>
      <c r="E125" t="inlineStr">
        <is>
          <t>https://lpjk.pu.go.id/search-badan-usaha-detail/OEwrQjlET1JkRGtpNFRUVmUzRHNPUT09</t>
        </is>
      </c>
      <c r="F125" t="n">
        <v>2</v>
      </c>
      <c r="G125" t="inlineStr">
        <is>
          <t>RK002, RK003</t>
        </is>
      </c>
      <c r="H125" t="inlineStr">
        <is>
          <t>6 Juli 2023</t>
        </is>
      </c>
      <c r="I125" s="2" t="n">
        <v>46300</v>
      </c>
      <c r="J125" t="inlineStr">
        <is>
          <t>Disetujui</t>
        </is>
      </c>
      <c r="K125" t="n">
        <v>90</v>
      </c>
      <c r="L125" t="inlineStr">
        <is>
          <t>5 Oktober 2026</t>
        </is>
      </c>
      <c r="M125" t="inlineStr">
        <is>
          <t>Jasa Rekayasa Pekerjaan Teknik Sipil Sumber Daya Air, Jasa Rekayasa Pekerjaan Teknik Sipil Transportasi</t>
        </is>
      </c>
      <c r="N125" t="inlineStr">
        <is>
          <t>K</t>
        </is>
      </c>
      <c r="O125" t="inlineStr">
        <is>
          <t>20230912</t>
        </is>
      </c>
      <c r="P125" t="inlineStr">
        <is>
          <t>Kalimantan Timur</t>
        </is>
      </c>
      <c r="Q125" t="inlineStr"/>
    </row>
    <row r="126">
      <c r="A126" t="inlineStr">
        <is>
          <t>PUNCAK KONSTRUKSI ABADI</t>
        </is>
      </c>
      <c r="B126" t="inlineStr">
        <is>
          <t>Kota Adm. Jakarta Utara</t>
        </is>
      </c>
      <c r="C126" t="inlineStr">
        <is>
          <t>081263990000</t>
        </is>
      </c>
      <c r="D126" t="inlineStr">
        <is>
          <t>puncakkonstruksiabadi99@gmail.com</t>
        </is>
      </c>
      <c r="E126" t="inlineStr">
        <is>
          <t>https://lpjk.pu.go.id/search-badan-usaha-detail/bHhrdnNkU1duclUrTjNhcUlnMzRpZz09</t>
        </is>
      </c>
      <c r="F126" t="n">
        <v>1</v>
      </c>
      <c r="G126" t="inlineStr">
        <is>
          <t>KK001</t>
        </is>
      </c>
      <c r="H126" t="inlineStr">
        <is>
          <t>31 Juli 2023</t>
        </is>
      </c>
      <c r="I126" s="2" t="n">
        <v>46300</v>
      </c>
      <c r="J126" t="inlineStr">
        <is>
          <t>Pencabutan</t>
        </is>
      </c>
      <c r="K126" t="n">
        <v>90</v>
      </c>
      <c r="L126" t="inlineStr">
        <is>
          <t>5 Oktober 2026</t>
        </is>
      </c>
      <c r="M126" t="inlineStr">
        <is>
          <t>Pondasi Konstruksi</t>
        </is>
      </c>
      <c r="N126" t="inlineStr">
        <is>
          <t>Spesialis</t>
        </is>
      </c>
      <c r="O126" t="inlineStr">
        <is>
          <t>20230925</t>
        </is>
      </c>
      <c r="P126" t="inlineStr">
        <is>
          <t>DKI Jakarta</t>
        </is>
      </c>
      <c r="Q126" t="inlineStr"/>
    </row>
    <row r="127">
      <c r="A127" t="inlineStr">
        <is>
          <t>PUSAKA BATARA KARANG</t>
        </is>
      </c>
      <c r="B127" t="inlineStr">
        <is>
          <t>Kota Tangerang</t>
        </is>
      </c>
      <c r="C127" t="inlineStr">
        <is>
          <t>087774812898</t>
        </is>
      </c>
      <c r="D127" t="inlineStr">
        <is>
          <t>usahabatarapusaka@gmail.com</t>
        </is>
      </c>
      <c r="E127" t="inlineStr">
        <is>
          <t>https://lpjk.pu.go.id/search-badan-usaha-detail/REFmQzQ3OXNFSHpTRkdVaWFwenltUT09</t>
        </is>
      </c>
      <c r="F127" t="n">
        <v>1</v>
      </c>
      <c r="G127" t="inlineStr">
        <is>
          <t>BG009</t>
        </is>
      </c>
      <c r="H127" t="inlineStr">
        <is>
          <t>25 Januari 2023</t>
        </is>
      </c>
      <c r="I127" s="2" t="n">
        <v>46300</v>
      </c>
      <c r="J127" t="inlineStr">
        <is>
          <t>Disetujui</t>
        </is>
      </c>
      <c r="K127" t="n">
        <v>90</v>
      </c>
      <c r="L127" t="inlineStr">
        <is>
          <t>5 Oktober 2026</t>
        </is>
      </c>
      <c r="M127" t="inlineStr">
        <is>
          <t>Konstruksi Gedung Lainnya</t>
        </is>
      </c>
      <c r="N127" t="inlineStr">
        <is>
          <t>K</t>
        </is>
      </c>
      <c r="O127" t="inlineStr">
        <is>
          <t>20231006</t>
        </is>
      </c>
      <c r="P127" t="inlineStr">
        <is>
          <t>Banten</t>
        </is>
      </c>
      <c r="Q127" t="inlineStr"/>
    </row>
    <row r="128">
      <c r="A128" t="inlineStr">
        <is>
          <t>PUTERA PERSADA BALANGAN</t>
        </is>
      </c>
      <c r="B128" t="inlineStr">
        <is>
          <t>Kab. Balangan</t>
        </is>
      </c>
      <c r="C128" t="inlineStr">
        <is>
          <t>082254603790</t>
        </is>
      </c>
      <c r="D128" t="inlineStr">
        <is>
          <t>persadacvputera@gmail.com</t>
        </is>
      </c>
      <c r="E128" t="inlineStr">
        <is>
          <t>https://lpjk.pu.go.id/search-badan-usaha-detail/dnZRelI3Y0hITjZ5c0Y3R2lmSStxUT09</t>
        </is>
      </c>
      <c r="F128" t="n">
        <v>1</v>
      </c>
      <c r="G128" t="inlineStr">
        <is>
          <t>BG001</t>
        </is>
      </c>
      <c r="H128" t="inlineStr">
        <is>
          <t>29 Agustus 2022</t>
        </is>
      </c>
      <c r="I128" s="2" t="n">
        <v>46300</v>
      </c>
      <c r="J128" t="inlineStr">
        <is>
          <t>Disetujui</t>
        </is>
      </c>
      <c r="K128" t="n">
        <v>90</v>
      </c>
      <c r="L128" t="inlineStr">
        <is>
          <t>5 Oktober 2026</t>
        </is>
      </c>
      <c r="M128" t="inlineStr">
        <is>
          <t>Konstruksi Gedung Hunian</t>
        </is>
      </c>
      <c r="N128" t="inlineStr">
        <is>
          <t>K</t>
        </is>
      </c>
      <c r="O128" t="inlineStr">
        <is>
          <t>20231005</t>
        </is>
      </c>
      <c r="P128" t="inlineStr">
        <is>
          <t>Kalimantan Selatan</t>
        </is>
      </c>
      <c r="Q128" t="inlineStr"/>
    </row>
    <row r="129">
      <c r="A129" t="inlineStr">
        <is>
          <t>PUTRA AGUNG</t>
        </is>
      </c>
      <c r="B129" t="inlineStr">
        <is>
          <t>Kab. Subang</t>
        </is>
      </c>
      <c r="C129" t="inlineStr">
        <is>
          <t>081394815809</t>
        </is>
      </c>
      <c r="D129" t="inlineStr">
        <is>
          <t>putraagungcv51@gmail.com</t>
        </is>
      </c>
      <c r="E129" t="inlineStr">
        <is>
          <t>https://lpjk.pu.go.id/search-badan-usaha-detail/TGR5ekdBd0VoTEp2Q2RoOVdWTlVVQT09</t>
        </is>
      </c>
      <c r="F129" t="n">
        <v>1</v>
      </c>
      <c r="G129" t="inlineStr">
        <is>
          <t>BG006</t>
        </is>
      </c>
      <c r="H129" t="inlineStr">
        <is>
          <t>1 Juni 1979</t>
        </is>
      </c>
      <c r="I129" s="2" t="n">
        <v>46300</v>
      </c>
      <c r="J129" t="inlineStr">
        <is>
          <t>Disetujui</t>
        </is>
      </c>
      <c r="K129" t="n">
        <v>90</v>
      </c>
      <c r="L129" t="inlineStr">
        <is>
          <t>5 Oktober 2026</t>
        </is>
      </c>
      <c r="M129" t="inlineStr">
        <is>
          <t>Konstruksi Gedung Pendidikan</t>
        </is>
      </c>
      <c r="N129" t="inlineStr">
        <is>
          <t>K</t>
        </is>
      </c>
      <c r="O129" t="inlineStr">
        <is>
          <t>20230927</t>
        </is>
      </c>
      <c r="P129" t="inlineStr">
        <is>
          <t>Jawa Barat</t>
        </is>
      </c>
      <c r="Q129" t="inlineStr"/>
    </row>
    <row r="130">
      <c r="A130" t="inlineStr">
        <is>
          <t>PUTRA BUNGSU</t>
        </is>
      </c>
      <c r="B130" t="inlineStr">
        <is>
          <t>Kab. Demak</t>
        </is>
      </c>
      <c r="C130" t="inlineStr">
        <is>
          <t>0895359869671</t>
        </is>
      </c>
      <c r="D130" t="inlineStr">
        <is>
          <t>putrabungsu.d21@gmail.com</t>
        </is>
      </c>
      <c r="E130" t="inlineStr">
        <is>
          <t>https://lpjk.pu.go.id/search-badan-usaha-detail/Z2pMaytZQWtjZFVHYzZiOUx6RWtEdz09</t>
        </is>
      </c>
      <c r="F130" t="n">
        <v>3</v>
      </c>
      <c r="G130" t="inlineStr">
        <is>
          <t>BG002, BG006, BG009</t>
        </is>
      </c>
      <c r="H130" t="inlineStr">
        <is>
          <t>14 November 2003</t>
        </is>
      </c>
      <c r="I130" s="2" t="n">
        <v>46300</v>
      </c>
      <c r="J130" t="inlineStr">
        <is>
          <t>Disetujui</t>
        </is>
      </c>
      <c r="K130" t="n">
        <v>90</v>
      </c>
      <c r="L130" t="inlineStr">
        <is>
          <t>5 Oktober 2026</t>
        </is>
      </c>
      <c r="M130" t="inlineStr">
        <is>
          <t>Konstruksi Gedung Lainnya, Konstruksi Gedung Pendidikan, Konstruksi Gedung Perkantoran</t>
        </is>
      </c>
      <c r="N130" t="inlineStr">
        <is>
          <t>K</t>
        </is>
      </c>
      <c r="O130" t="inlineStr">
        <is>
          <t>20231004, 20231005</t>
        </is>
      </c>
      <c r="P130" t="inlineStr">
        <is>
          <t>Jawa Tengah</t>
        </is>
      </c>
      <c r="Q130" t="inlineStr"/>
    </row>
    <row r="131">
      <c r="A131" t="inlineStr">
        <is>
          <t>PUTRA JAYA</t>
        </is>
      </c>
      <c r="B131" t="inlineStr">
        <is>
          <t>Kab. Sukoharjo</t>
        </is>
      </c>
      <c r="C131" t="inlineStr">
        <is>
          <t>087736027703</t>
        </is>
      </c>
      <c r="D131" t="inlineStr">
        <is>
          <t>putrajaya.tin@gmail.com</t>
        </is>
      </c>
      <c r="E131" t="inlineStr">
        <is>
          <t>https://lpjk.pu.go.id/search-badan-usaha-detail/ZmxnYXNaT2tKSVdEZm84QXZWNnFEQT09</t>
        </is>
      </c>
      <c r="F131" t="n">
        <v>2</v>
      </c>
      <c r="G131" t="inlineStr">
        <is>
          <t>BS001, BS004</t>
        </is>
      </c>
      <c r="H131" t="inlineStr">
        <is>
          <t>19 Maret 2009</t>
        </is>
      </c>
      <c r="I131" s="2" t="n">
        <v>46300</v>
      </c>
      <c r="J131" t="inlineStr">
        <is>
          <t>Disetujui</t>
        </is>
      </c>
      <c r="K131" t="n">
        <v>90</v>
      </c>
      <c r="L131" t="inlineStr">
        <is>
          <t>5 Oktober 2026</t>
        </is>
      </c>
      <c r="M131" t="inlineStr">
        <is>
          <t>Konstruksi Bangunan Sipil Jalan, Konstruksi Jaringan Irigasi dan Drainase</t>
        </is>
      </c>
      <c r="N131" t="inlineStr">
        <is>
          <t>K</t>
        </is>
      </c>
      <c r="O131" t="inlineStr">
        <is>
          <t>20231002</t>
        </is>
      </c>
      <c r="P131" t="inlineStr">
        <is>
          <t>Jawa Tengah</t>
        </is>
      </c>
      <c r="Q131" t="inlineStr"/>
    </row>
    <row r="132">
      <c r="A132" t="inlineStr">
        <is>
          <t>PUTRA PEMBANGUNAN</t>
        </is>
      </c>
      <c r="B132" t="inlineStr">
        <is>
          <t>Kab. Cirebon</t>
        </is>
      </c>
      <c r="C132" t="inlineStr">
        <is>
          <t>0812120929449</t>
        </is>
      </c>
      <c r="D132" t="inlineStr">
        <is>
          <t>cv.putrapembangunan@yahoo.com</t>
        </is>
      </c>
      <c r="E132" t="inlineStr">
        <is>
          <t>https://lpjk.pu.go.id/search-badan-usaha-detail/cm15bzJOdGJCRkFQNWN2eE9FSSs0UT09</t>
        </is>
      </c>
      <c r="F132" t="n">
        <v>1</v>
      </c>
      <c r="G132" t="inlineStr">
        <is>
          <t>BS001</t>
        </is>
      </c>
      <c r="H132" t="inlineStr">
        <is>
          <t>11 November 2016</t>
        </is>
      </c>
      <c r="I132" s="2" t="n">
        <v>46300</v>
      </c>
      <c r="J132" t="inlineStr">
        <is>
          <t>Disetujui</t>
        </is>
      </c>
      <c r="K132" t="n">
        <v>90</v>
      </c>
      <c r="L132" t="inlineStr">
        <is>
          <t>5 Oktober 2026</t>
        </is>
      </c>
      <c r="M132" t="inlineStr">
        <is>
          <t>Konstruksi Bangunan Sipil Jalan</t>
        </is>
      </c>
      <c r="N132" t="inlineStr">
        <is>
          <t>K</t>
        </is>
      </c>
      <c r="O132" t="inlineStr">
        <is>
          <t>20231004</t>
        </is>
      </c>
      <c r="P132" t="inlineStr">
        <is>
          <t>Jawa Barat</t>
        </is>
      </c>
      <c r="Q132" t="inlineStr"/>
    </row>
    <row r="133">
      <c r="A133" t="inlineStr">
        <is>
          <t>PUTRA PURNAWARMAN SELATAN</t>
        </is>
      </c>
      <c r="B133" t="inlineStr">
        <is>
          <t>Kab. Purwakarta</t>
        </is>
      </c>
      <c r="C133" t="inlineStr">
        <is>
          <t>081804072473</t>
        </is>
      </c>
      <c r="D133" t="inlineStr">
        <is>
          <t>cv.putrapurnawarmanselatan@gmail.com</t>
        </is>
      </c>
      <c r="E133" t="inlineStr">
        <is>
          <t>https://lpjk.pu.go.id/search-badan-usaha-detail/SkpTRmJQd1M4UnR5dlNpTnhsTDJDUT09</t>
        </is>
      </c>
      <c r="F133" t="n">
        <v>1</v>
      </c>
      <c r="G133" t="inlineStr">
        <is>
          <t>BS005</t>
        </is>
      </c>
      <c r="H133" t="inlineStr">
        <is>
          <t>21 Agustus 2023</t>
        </is>
      </c>
      <c r="I133" s="2" t="n">
        <v>46300</v>
      </c>
      <c r="J133" t="inlineStr">
        <is>
          <t>Disetujui</t>
        </is>
      </c>
      <c r="K133" t="n">
        <v>90</v>
      </c>
      <c r="L133" t="inlineStr">
        <is>
          <t>5 Oktober 2026</t>
        </is>
      </c>
      <c r="M133" t="inlineStr">
        <is>
          <t>Konstruksi Bangunan Sipil Pengolahan Air Bersih</t>
        </is>
      </c>
      <c r="N133" t="inlineStr">
        <is>
          <t>K</t>
        </is>
      </c>
      <c r="O133" t="inlineStr">
        <is>
          <t>20230929</t>
        </is>
      </c>
      <c r="P133" t="inlineStr">
        <is>
          <t>Jawa Barat</t>
        </is>
      </c>
      <c r="Q133" t="inlineStr"/>
    </row>
    <row r="134">
      <c r="A134" t="inlineStr">
        <is>
          <t>PUTRI ICHA LESTARI</t>
        </is>
      </c>
      <c r="B134" t="inlineStr">
        <is>
          <t>Kab. Muaro Jambi</t>
        </is>
      </c>
      <c r="C134" t="inlineStr">
        <is>
          <t>081274251111</t>
        </is>
      </c>
      <c r="D134" t="inlineStr">
        <is>
          <t>puristar.pil@gmail.com</t>
        </is>
      </c>
      <c r="E134" t="inlineStr">
        <is>
          <t>https://lpjk.pu.go.id/search-badan-usaha-detail/ZUpFVWpDdm13RlNRZ25CQXJyUVJZQT09</t>
        </is>
      </c>
      <c r="F134" t="n">
        <v>4</v>
      </c>
      <c r="G134" t="inlineStr">
        <is>
          <t>BG002, BG006, BG009, BS001</t>
        </is>
      </c>
      <c r="H134" t="inlineStr">
        <is>
          <t>7 Februari 2001</t>
        </is>
      </c>
      <c r="I134" s="2" t="n">
        <v>46300</v>
      </c>
      <c r="J134" t="inlineStr">
        <is>
          <t>Disetujui</t>
        </is>
      </c>
      <c r="K134" t="n">
        <v>90</v>
      </c>
      <c r="L134" t="inlineStr">
        <is>
          <t>5 Oktober 2026</t>
        </is>
      </c>
      <c r="M134" t="inlineStr">
        <is>
          <t>Konstruksi Bangunan Sipil Jalan, Konstruksi Gedung Lainnya, Konstruksi Gedung Pendidikan, Konstruksi Gedung Perkantoran</t>
        </is>
      </c>
      <c r="N134" t="inlineStr">
        <is>
          <t>K</t>
        </is>
      </c>
      <c r="O134" t="inlineStr">
        <is>
          <t>20231002</t>
        </is>
      </c>
      <c r="P134" t="inlineStr">
        <is>
          <t>Jambi</t>
        </is>
      </c>
      <c r="Q134" t="inlineStr"/>
    </row>
    <row r="135">
      <c r="A135" t="inlineStr">
        <is>
          <t>PUTRI NEISHA</t>
        </is>
      </c>
      <c r="B135" t="inlineStr">
        <is>
          <t>Kab. Bone</t>
        </is>
      </c>
      <c r="C135" t="inlineStr">
        <is>
          <t>081258485107</t>
        </is>
      </c>
      <c r="D135" t="inlineStr">
        <is>
          <t>putrineis43@gmail.com</t>
        </is>
      </c>
      <c r="E135" t="inlineStr">
        <is>
          <t>https://lpjk.pu.go.id/search-badan-usaha-detail/TlZzcUpHWnpUNEZHZVMwRzVkWko5QT09</t>
        </is>
      </c>
      <c r="F135" t="n">
        <v>2</v>
      </c>
      <c r="G135" t="inlineStr">
        <is>
          <t>BG005, BG009</t>
        </is>
      </c>
      <c r="H135" t="inlineStr">
        <is>
          <t>24 Juni 2022</t>
        </is>
      </c>
      <c r="I135" s="2" t="n">
        <v>46300</v>
      </c>
      <c r="J135" t="inlineStr">
        <is>
          <t>Disetujui</t>
        </is>
      </c>
      <c r="K135" t="n">
        <v>90</v>
      </c>
      <c r="L135" t="inlineStr">
        <is>
          <t>5 Oktober 2026</t>
        </is>
      </c>
      <c r="M135" t="inlineStr">
        <is>
          <t>Konstruksi Gedung Kesehatan, Konstruksi Gedung Lainnya</t>
        </is>
      </c>
      <c r="N135" t="inlineStr">
        <is>
          <t>K</t>
        </is>
      </c>
      <c r="O135" t="inlineStr">
        <is>
          <t>20230930, 20231001</t>
        </is>
      </c>
      <c r="P135" t="inlineStr">
        <is>
          <t>Sulawesi Selatan</t>
        </is>
      </c>
      <c r="Q135" t="inlineStr"/>
    </row>
    <row r="136">
      <c r="A136" t="inlineStr">
        <is>
          <t>RAFFASYA KONTRUKSI</t>
        </is>
      </c>
      <c r="B136" t="inlineStr">
        <is>
          <t>Kab. Aceh Barat Daya</t>
        </is>
      </c>
      <c r="C136" t="inlineStr">
        <is>
          <t>82262259748</t>
        </is>
      </c>
      <c r="D136" t="inlineStr">
        <is>
          <t>cvrafasyakontruksi@gmail.com</t>
        </is>
      </c>
      <c r="E136" t="inlineStr">
        <is>
          <t>https://lpjk.pu.go.id/search-badan-usaha-detail/T0pKeHdyanBlMGRQT3loUmRaSmh0UT09</t>
        </is>
      </c>
      <c r="F136" t="n">
        <v>8</v>
      </c>
      <c r="G136" t="inlineStr">
        <is>
          <t>BG002, BG004, BG005, BG009</t>
        </is>
      </c>
      <c r="H136" t="inlineStr">
        <is>
          <t>30 Mei 2018</t>
        </is>
      </c>
      <c r="I136" s="2" t="n">
        <v>46300</v>
      </c>
      <c r="J136" t="inlineStr">
        <is>
          <t>Disetujui</t>
        </is>
      </c>
      <c r="K136" t="n">
        <v>90</v>
      </c>
      <c r="L136" t="inlineStr">
        <is>
          <t>5 Oktober 2026</t>
        </is>
      </c>
      <c r="M136" t="inlineStr">
        <is>
          <t>Konstruksi Gedung Kesehatan, Konstruksi Gedung Lainnya, Konstruksi Gedung Perbelanjaan, Konstruksi Gedung Perkantoran</t>
        </is>
      </c>
      <c r="N136" t="inlineStr">
        <is>
          <t>K</t>
        </is>
      </c>
      <c r="O136" t="inlineStr">
        <is>
          <t>20230117, 20230811, 20230830</t>
        </is>
      </c>
      <c r="P136" t="inlineStr">
        <is>
          <t>Aceh</t>
        </is>
      </c>
      <c r="Q136" t="inlineStr"/>
    </row>
    <row r="137">
      <c r="A137" t="inlineStr">
        <is>
          <t>RAJA JAYA MANDIRI</t>
        </is>
      </c>
      <c r="B137" t="inlineStr">
        <is>
          <t>Kota Bandung</t>
        </is>
      </c>
      <c r="C137" t="inlineStr">
        <is>
          <t>081312097372</t>
        </is>
      </c>
      <c r="D137" t="inlineStr">
        <is>
          <t>rajajayamandiri78@gmail.com</t>
        </is>
      </c>
      <c r="E137" t="inlineStr">
        <is>
          <t>https://lpjk.pu.go.id/search-badan-usaha-detail/bXMzU2ZBaDc0V0NnUEx0MlppVDJIZz09</t>
        </is>
      </c>
      <c r="F137" t="n">
        <v>2</v>
      </c>
      <c r="G137" t="inlineStr">
        <is>
          <t>BG005, BG009</t>
        </is>
      </c>
      <c r="H137" t="inlineStr">
        <is>
          <t>14 Oktober 2021</t>
        </is>
      </c>
      <c r="I137" s="2" t="n">
        <v>46300</v>
      </c>
      <c r="J137" t="inlineStr">
        <is>
          <t>Disetujui</t>
        </is>
      </c>
      <c r="K137" t="n">
        <v>90</v>
      </c>
      <c r="L137" t="inlineStr">
        <is>
          <t>5 Oktober 2026</t>
        </is>
      </c>
      <c r="M137" t="inlineStr">
        <is>
          <t>Konstruksi Gedung Kesehatan, Konstruksi Gedung Lainnya</t>
        </is>
      </c>
      <c r="N137" t="inlineStr">
        <is>
          <t>K</t>
        </is>
      </c>
      <c r="O137" t="inlineStr">
        <is>
          <t>20231003</t>
        </is>
      </c>
      <c r="P137" t="inlineStr">
        <is>
          <t>Jawa Barat</t>
        </is>
      </c>
      <c r="Q137" t="inlineStr"/>
    </row>
    <row r="138">
      <c r="A138" t="inlineStr">
        <is>
          <t>RAJA MAS</t>
        </is>
      </c>
      <c r="B138" t="inlineStr">
        <is>
          <t>Kab. Lombok Barat</t>
        </is>
      </c>
      <c r="C138" t="inlineStr">
        <is>
          <t>081907222233</t>
        </is>
      </c>
      <c r="D138" t="inlineStr">
        <is>
          <t>cvrajamas0@gmail.com</t>
        </is>
      </c>
      <c r="E138" t="inlineStr">
        <is>
          <t>https://lpjk.pu.go.id/search-badan-usaha-detail/K3VvL0Q0Z2tBQkZwaTdYckJRRVVYZz09</t>
        </is>
      </c>
      <c r="F138" t="n">
        <v>1</v>
      </c>
      <c r="G138" t="inlineStr">
        <is>
          <t>BG009</t>
        </is>
      </c>
      <c r="H138" t="inlineStr">
        <is>
          <t>6 Oktober 2011</t>
        </is>
      </c>
      <c r="I138" s="2" t="n">
        <v>46300</v>
      </c>
      <c r="J138" t="inlineStr">
        <is>
          <t>Pencabutan</t>
        </is>
      </c>
      <c r="K138" t="n">
        <v>90</v>
      </c>
      <c r="L138" t="inlineStr">
        <is>
          <t>5 Oktober 2026</t>
        </is>
      </c>
      <c r="M138" t="inlineStr">
        <is>
          <t>Konstruksi Gedung Lainnya</t>
        </is>
      </c>
      <c r="N138" t="inlineStr">
        <is>
          <t>K</t>
        </is>
      </c>
      <c r="O138" t="inlineStr">
        <is>
          <t>20231002</t>
        </is>
      </c>
      <c r="P138" t="inlineStr">
        <is>
          <t>Nusa Tenggara Barat</t>
        </is>
      </c>
      <c r="Q138" t="inlineStr"/>
    </row>
    <row r="139">
      <c r="A139" t="inlineStr">
        <is>
          <t>REFALS</t>
        </is>
      </c>
      <c r="B139" t="inlineStr">
        <is>
          <t>Kota Sawahlunto</t>
        </is>
      </c>
      <c r="C139" t="inlineStr">
        <is>
          <t>081374057992</t>
        </is>
      </c>
      <c r="D139" t="inlineStr">
        <is>
          <t>cv.refalsrefals@gmail.com</t>
        </is>
      </c>
      <c r="E139" t="inlineStr">
        <is>
          <t>https://lpjk.pu.go.id/search-badan-usaha-detail/R2VOWGVrS1dSVUY4cHh0aWVMcHVNZz09</t>
        </is>
      </c>
      <c r="F139" t="n">
        <v>2</v>
      </c>
      <c r="G139" t="inlineStr">
        <is>
          <t>BS001</t>
        </is>
      </c>
      <c r="H139" t="inlineStr">
        <is>
          <t>28 November 2014</t>
        </is>
      </c>
      <c r="I139" s="2" t="n">
        <v>46300</v>
      </c>
      <c r="J139" t="inlineStr">
        <is>
          <t>Pencabutan</t>
        </is>
      </c>
      <c r="K139" t="n">
        <v>90</v>
      </c>
      <c r="L139" t="inlineStr">
        <is>
          <t>5 Oktober 2026</t>
        </is>
      </c>
      <c r="M139" t="inlineStr">
        <is>
          <t>Konstruksi Bangunan Sipil Jalan</t>
        </is>
      </c>
      <c r="N139" t="inlineStr">
        <is>
          <t>K</t>
        </is>
      </c>
      <c r="O139" t="inlineStr">
        <is>
          <t>20230717</t>
        </is>
      </c>
      <c r="P139" t="inlineStr">
        <is>
          <t>Sumatera Barat</t>
        </is>
      </c>
      <c r="Q139" t="inlineStr"/>
    </row>
    <row r="140">
      <c r="A140" t="inlineStr">
        <is>
          <t>REJEKI PUTRA SASMITA</t>
        </is>
      </c>
      <c r="B140" t="inlineStr">
        <is>
          <t>Kab. Jember</t>
        </is>
      </c>
      <c r="C140" t="inlineStr">
        <is>
          <t>081234528888</t>
        </is>
      </c>
      <c r="D140" t="inlineStr">
        <is>
          <t>rputrasasmita9@gmail.com</t>
        </is>
      </c>
      <c r="E140" t="inlineStr">
        <is>
          <t>https://lpjk.pu.go.id/search-badan-usaha-detail/RG81bForQVJFeDI4bkk1VXVwTGVwZz09</t>
        </is>
      </c>
      <c r="F140" t="n">
        <v>1</v>
      </c>
      <c r="G140" t="inlineStr">
        <is>
          <t>BS004</t>
        </is>
      </c>
      <c r="H140" t="inlineStr">
        <is>
          <t>2 Februari 2022</t>
        </is>
      </c>
      <c r="I140" s="2" t="n">
        <v>46300</v>
      </c>
      <c r="J140" t="inlineStr">
        <is>
          <t>Pencabutan</t>
        </is>
      </c>
      <c r="K140" t="n">
        <v>90</v>
      </c>
      <c r="L140" t="inlineStr">
        <is>
          <t>5 Oktober 2026</t>
        </is>
      </c>
      <c r="M140" t="inlineStr">
        <is>
          <t>Konstruksi Jaringan Irigasi dan Drainase</t>
        </is>
      </c>
      <c r="N140" t="inlineStr">
        <is>
          <t>K</t>
        </is>
      </c>
      <c r="O140" t="inlineStr">
        <is>
          <t>20230929</t>
        </is>
      </c>
      <c r="P140" t="inlineStr">
        <is>
          <t>Jawa Timur</t>
        </is>
      </c>
      <c r="Q140" t="inlineStr"/>
    </row>
    <row r="141">
      <c r="A141" t="inlineStr">
        <is>
          <t>RIFATUL</t>
        </is>
      </c>
      <c r="B141" t="inlineStr">
        <is>
          <t>Kab. Agam</t>
        </is>
      </c>
      <c r="C141" t="inlineStr">
        <is>
          <t>081266262627</t>
        </is>
      </c>
      <c r="D141" t="inlineStr">
        <is>
          <t>cvrifatul@gmail.com</t>
        </is>
      </c>
      <c r="E141" t="inlineStr">
        <is>
          <t>https://lpjk.pu.go.id/search-badan-usaha-detail/V21vTGE2SjRtQzJpUEFBNVlsbzZjQT09</t>
        </is>
      </c>
      <c r="F141" t="n">
        <v>1</v>
      </c>
      <c r="G141" t="inlineStr">
        <is>
          <t>BS002</t>
        </is>
      </c>
      <c r="H141" t="inlineStr">
        <is>
          <t>21 Februari 2017</t>
        </is>
      </c>
      <c r="I141" s="2" t="n">
        <v>46300</v>
      </c>
      <c r="J141" t="inlineStr">
        <is>
          <t>Disetujui</t>
        </is>
      </c>
      <c r="K141" t="n">
        <v>90</v>
      </c>
      <c r="L141" t="inlineStr">
        <is>
          <t>5 Oktober 2026</t>
        </is>
      </c>
      <c r="M141" t="inlineStr">
        <is>
          <t>Bangunan Sipil Jembatan, Jalan Layang, Fly Over, dan Underpass</t>
        </is>
      </c>
      <c r="N141" t="inlineStr">
        <is>
          <t>K</t>
        </is>
      </c>
      <c r="O141" t="inlineStr">
        <is>
          <t>20231006</t>
        </is>
      </c>
      <c r="P141" t="inlineStr">
        <is>
          <t>Sumatera Barat</t>
        </is>
      </c>
      <c r="Q141" t="inlineStr"/>
    </row>
    <row r="142">
      <c r="A142" t="inlineStr">
        <is>
          <t>RIZKI MULIA</t>
        </is>
      </c>
      <c r="B142" t="inlineStr">
        <is>
          <t>Kab. Sleman</t>
        </is>
      </c>
      <c r="C142" t="inlineStr">
        <is>
          <t>081328045145</t>
        </is>
      </c>
      <c r="D142" t="inlineStr">
        <is>
          <t>rizkimulia.cv@gmail.com</t>
        </is>
      </c>
      <c r="E142" t="inlineStr">
        <is>
          <t>https://lpjk.pu.go.id/search-badan-usaha-detail/UjVoZ1VPM1czZm5SanNPdjBCVkpkZz09</t>
        </is>
      </c>
      <c r="F142" t="n">
        <v>1</v>
      </c>
      <c r="G142" t="inlineStr">
        <is>
          <t>BG006</t>
        </is>
      </c>
      <c r="H142" t="inlineStr">
        <is>
          <t>14 September 2003</t>
        </is>
      </c>
      <c r="I142" s="2" t="n">
        <v>46300</v>
      </c>
      <c r="J142" t="inlineStr">
        <is>
          <t>Disetujui</t>
        </is>
      </c>
      <c r="K142" t="n">
        <v>90</v>
      </c>
      <c r="L142" t="inlineStr">
        <is>
          <t>5 Oktober 2026</t>
        </is>
      </c>
      <c r="M142" t="inlineStr">
        <is>
          <t>Konstruksi Gedung Pendidikan</t>
        </is>
      </c>
      <c r="N142" t="inlineStr">
        <is>
          <t>K</t>
        </is>
      </c>
      <c r="O142" t="inlineStr">
        <is>
          <t>20231004</t>
        </is>
      </c>
      <c r="P142" t="inlineStr">
        <is>
          <t>DI Yogyakarta</t>
        </is>
      </c>
      <c r="Q142" t="inlineStr"/>
    </row>
    <row r="143">
      <c r="A143" t="inlineStr">
        <is>
          <t>RIZKY ALAM PRATAMA</t>
        </is>
      </c>
      <c r="B143" t="inlineStr">
        <is>
          <t>Kab. Boyolali</t>
        </is>
      </c>
      <c r="C143" t="inlineStr">
        <is>
          <t>081332697462</t>
        </is>
      </c>
      <c r="D143" t="inlineStr">
        <is>
          <t>rizkyalampratama21@gmail.com</t>
        </is>
      </c>
      <c r="E143" t="inlineStr">
        <is>
          <t>https://lpjk.pu.go.id/search-badan-usaha-detail/dkVTQzZMMW1MZ3BiMmFNcjJwUHljUT09</t>
        </is>
      </c>
      <c r="F143" t="n">
        <v>1</v>
      </c>
      <c r="G143" t="inlineStr">
        <is>
          <t>BG009</t>
        </is>
      </c>
      <c r="H143" t="inlineStr">
        <is>
          <t>4 November 2022</t>
        </is>
      </c>
      <c r="I143" s="2" t="n">
        <v>46300</v>
      </c>
      <c r="J143" t="inlineStr">
        <is>
          <t>Disetujui</t>
        </is>
      </c>
      <c r="K143" t="n">
        <v>90</v>
      </c>
      <c r="L143" t="inlineStr">
        <is>
          <t>5 Oktober 2026</t>
        </is>
      </c>
      <c r="M143" t="inlineStr">
        <is>
          <t>Konstruksi Gedung Lainnya</t>
        </is>
      </c>
      <c r="N143" t="inlineStr">
        <is>
          <t>K</t>
        </is>
      </c>
      <c r="O143" t="inlineStr">
        <is>
          <t>20231006</t>
        </is>
      </c>
      <c r="P143" t="inlineStr">
        <is>
          <t>Jawa Tengah</t>
        </is>
      </c>
      <c r="Q143" t="inlineStr"/>
    </row>
    <row r="144">
      <c r="A144" t="inlineStr">
        <is>
          <t>SADA NAULI PERKASA</t>
        </is>
      </c>
      <c r="B144" t="inlineStr">
        <is>
          <t>Kota Surabaya</t>
        </is>
      </c>
      <c r="C144" t="inlineStr">
        <is>
          <t>085733317765</t>
        </is>
      </c>
      <c r="D144" t="inlineStr">
        <is>
          <t>cvsadanauliperkasa@gmail.com</t>
        </is>
      </c>
      <c r="E144" t="inlineStr">
        <is>
          <t>https://lpjk.pu.go.id/search-badan-usaha-detail/WDZEYWc0OUc4eU1EV1dHa05JVUJYQT09</t>
        </is>
      </c>
      <c r="F144" t="n">
        <v>1</v>
      </c>
      <c r="G144" t="inlineStr">
        <is>
          <t>BS016</t>
        </is>
      </c>
      <c r="H144" t="inlineStr">
        <is>
          <t>30 November 2021</t>
        </is>
      </c>
      <c r="I144" s="2" t="n">
        <v>46300</v>
      </c>
      <c r="J144" t="inlineStr">
        <is>
          <t>Disetujui</t>
        </is>
      </c>
      <c r="K144" t="n">
        <v>90</v>
      </c>
      <c r="L144" t="inlineStr">
        <is>
          <t>5 Oktober 2026</t>
        </is>
      </c>
      <c r="M144" t="inlineStr">
        <is>
          <t>Konstruksi Bangunan Sipil Fasilitas Olah Raga</t>
        </is>
      </c>
      <c r="N144" t="inlineStr">
        <is>
          <t>K</t>
        </is>
      </c>
      <c r="O144" t="inlineStr">
        <is>
          <t>20231003</t>
        </is>
      </c>
      <c r="P144" t="inlineStr">
        <is>
          <t>Jawa Timur</t>
        </is>
      </c>
      <c r="Q144" t="inlineStr"/>
    </row>
    <row r="145">
      <c r="A145" t="inlineStr">
        <is>
          <t>SATRIA LANGGENG PERKASA</t>
        </is>
      </c>
      <c r="B145" t="inlineStr">
        <is>
          <t>Kab. Sanggau</t>
        </is>
      </c>
      <c r="C145" t="inlineStr">
        <is>
          <t>081257256061</t>
        </is>
      </c>
      <c r="D145" t="inlineStr">
        <is>
          <t>slanggengperkasa@gmail.com</t>
        </is>
      </c>
      <c r="E145" t="inlineStr">
        <is>
          <t>https://lpjk.pu.go.id/search-badan-usaha-detail/a1dpaW0vNGQ3ajhxem5UZEpPam9XUT09</t>
        </is>
      </c>
      <c r="F145" t="n">
        <v>3</v>
      </c>
      <c r="G145" t="inlineStr">
        <is>
          <t>BG001, BG002, BG009</t>
        </is>
      </c>
      <c r="H145" t="inlineStr">
        <is>
          <t>22 Januari 2022</t>
        </is>
      </c>
      <c r="I145" s="2" t="n">
        <v>46300</v>
      </c>
      <c r="J145" t="inlineStr">
        <is>
          <t>Pencabutan</t>
        </is>
      </c>
      <c r="K145" t="n">
        <v>90</v>
      </c>
      <c r="L145" t="inlineStr">
        <is>
          <t>5 Oktober 2026</t>
        </is>
      </c>
      <c r="M145" t="inlineStr">
        <is>
          <t>Konstruksi Gedung Hunian, Konstruksi Gedung Lainnya, Konstruksi Gedung Perkantoran</t>
        </is>
      </c>
      <c r="N145" t="inlineStr">
        <is>
          <t>K</t>
        </is>
      </c>
      <c r="O145" t="inlineStr">
        <is>
          <t>20231004, 20231005</t>
        </is>
      </c>
      <c r="P145" t="inlineStr">
        <is>
          <t>Kalimantan Barat</t>
        </is>
      </c>
      <c r="Q145" t="inlineStr"/>
    </row>
    <row r="146">
      <c r="A146" t="inlineStr">
        <is>
          <t>SEMERU SAKTI KONSTRUKSI</t>
        </is>
      </c>
      <c r="B146" t="inlineStr">
        <is>
          <t>Kab. Jember</t>
        </is>
      </c>
      <c r="C146" t="inlineStr">
        <is>
          <t>089652258487</t>
        </is>
      </c>
      <c r="D146" t="inlineStr">
        <is>
          <t>Semeru.konstruksi@gmail.com</t>
        </is>
      </c>
      <c r="E146" t="inlineStr">
        <is>
          <t>https://lpjk.pu.go.id/search-badan-usaha-detail/NmF2eDhZQ3B4RUx0Wk1UN250OTdQZz09</t>
        </is>
      </c>
      <c r="F146" t="n">
        <v>1</v>
      </c>
      <c r="G146" t="inlineStr">
        <is>
          <t>BS001</t>
        </is>
      </c>
      <c r="H146" t="inlineStr">
        <is>
          <t>18 April 2023</t>
        </is>
      </c>
      <c r="I146" s="2" t="n">
        <v>46300</v>
      </c>
      <c r="J146" t="inlineStr">
        <is>
          <t>Disetujui</t>
        </is>
      </c>
      <c r="K146" t="n">
        <v>90</v>
      </c>
      <c r="L146" t="inlineStr">
        <is>
          <t>5 Oktober 2026</t>
        </is>
      </c>
      <c r="M146" t="inlineStr">
        <is>
          <t>Konstruksi Bangunan Sipil Jalan</t>
        </is>
      </c>
      <c r="N146" t="inlineStr">
        <is>
          <t>K</t>
        </is>
      </c>
      <c r="O146" t="inlineStr">
        <is>
          <t>20231005</t>
        </is>
      </c>
      <c r="P146" t="inlineStr">
        <is>
          <t>Jawa Timur</t>
        </is>
      </c>
      <c r="Q146" t="inlineStr"/>
    </row>
    <row r="147">
      <c r="A147" t="inlineStr">
        <is>
          <t>SENAMBAH PUTRA</t>
        </is>
      </c>
      <c r="B147" t="inlineStr">
        <is>
          <t>Kota Samarinda</t>
        </is>
      </c>
      <c r="C147" t="inlineStr">
        <is>
          <t>08115590774</t>
        </is>
      </c>
      <c r="D147" t="inlineStr">
        <is>
          <t>cv_senambahputra@yahoo.com</t>
        </is>
      </c>
      <c r="E147" t="inlineStr">
        <is>
          <t>https://lpjk.pu.go.id/search-badan-usaha-detail/WWNuekxESGV5RkxzNlhUWTJBdWxGdz09</t>
        </is>
      </c>
      <c r="F147" t="n">
        <v>1</v>
      </c>
      <c r="G147" t="inlineStr">
        <is>
          <t>BS004</t>
        </is>
      </c>
      <c r="H147" t="inlineStr">
        <is>
          <t>27 Februari 1982</t>
        </is>
      </c>
      <c r="I147" s="2" t="n">
        <v>46300</v>
      </c>
      <c r="J147" t="inlineStr">
        <is>
          <t>Disetujui</t>
        </is>
      </c>
      <c r="K147" t="n">
        <v>90</v>
      </c>
      <c r="L147" t="inlineStr">
        <is>
          <t>5 Oktober 2026</t>
        </is>
      </c>
      <c r="M147" t="inlineStr">
        <is>
          <t>Konstruksi Jaringan Irigasi dan Drainase</t>
        </is>
      </c>
      <c r="N147" t="inlineStr">
        <is>
          <t>K</t>
        </is>
      </c>
      <c r="O147" t="inlineStr">
        <is>
          <t>20231003</t>
        </is>
      </c>
      <c r="P147" t="inlineStr">
        <is>
          <t>Kalimantan Timur</t>
        </is>
      </c>
      <c r="Q147" t="inlineStr"/>
    </row>
    <row r="148">
      <c r="A148" t="inlineStr">
        <is>
          <t>SHAKA</t>
        </is>
      </c>
      <c r="B148" t="inlineStr">
        <is>
          <t>Kab. Blitar</t>
        </is>
      </c>
      <c r="C148" t="inlineStr">
        <is>
          <t>085735376299</t>
        </is>
      </c>
      <c r="D148" t="inlineStr">
        <is>
          <t>cvshaka@gmail.com</t>
        </is>
      </c>
      <c r="E148" t="inlineStr">
        <is>
          <t>https://lpjk.pu.go.id/search-badan-usaha-detail/SXlCdHRnYkhkTE85VDlTV0hzdEg0UT09</t>
        </is>
      </c>
      <c r="F148" t="n">
        <v>1</v>
      </c>
      <c r="G148" t="inlineStr">
        <is>
          <t>BG009</t>
        </is>
      </c>
      <c r="H148" t="inlineStr">
        <is>
          <t>6 Januari 2017</t>
        </is>
      </c>
      <c r="I148" s="2" t="n">
        <v>46300</v>
      </c>
      <c r="J148" t="inlineStr">
        <is>
          <t>Disetujui</t>
        </is>
      </c>
      <c r="K148" t="n">
        <v>90</v>
      </c>
      <c r="L148" t="inlineStr">
        <is>
          <t>5 Oktober 2026</t>
        </is>
      </c>
      <c r="M148" t="inlineStr">
        <is>
          <t>Konstruksi Gedung Lainnya</t>
        </is>
      </c>
      <c r="N148" t="inlineStr">
        <is>
          <t>K</t>
        </is>
      </c>
      <c r="O148" t="inlineStr">
        <is>
          <t>20231002</t>
        </is>
      </c>
      <c r="P148" t="inlineStr">
        <is>
          <t>Jawa Timur</t>
        </is>
      </c>
      <c r="Q148" t="inlineStr"/>
    </row>
    <row r="149">
      <c r="A149" t="inlineStr">
        <is>
          <t>SILIWANGI</t>
        </is>
      </c>
      <c r="B149" t="inlineStr">
        <is>
          <t>Kab. Kubu Raya</t>
        </is>
      </c>
      <c r="C149" t="inlineStr">
        <is>
          <t>082148066020</t>
        </is>
      </c>
      <c r="D149" t="inlineStr">
        <is>
          <t>cv_siliwangi@yahoo.com</t>
        </is>
      </c>
      <c r="E149" t="inlineStr">
        <is>
          <t>https://lpjk.pu.go.id/search-badan-usaha-detail/RkszcitYenVyOG85RHZCaHlySTE5QT09</t>
        </is>
      </c>
      <c r="F149" t="n">
        <v>10</v>
      </c>
      <c r="G149" t="inlineStr">
        <is>
          <t>BG002, BG004, BG005, BG006, BG009</t>
        </is>
      </c>
      <c r="H149" t="inlineStr">
        <is>
          <t>24 Oktober 1985</t>
        </is>
      </c>
      <c r="I149" s="2" t="n">
        <v>46300</v>
      </c>
      <c r="J149" t="inlineStr">
        <is>
          <t>Disetujui</t>
        </is>
      </c>
      <c r="K149" t="n">
        <v>90</v>
      </c>
      <c r="L149" t="inlineStr">
        <is>
          <t>5 Oktober 2026</t>
        </is>
      </c>
      <c r="M149" t="inlineStr">
        <is>
          <t>Konstruksi Gedung Kesehatan, Konstruksi Gedung Lainnya, Konstruksi Gedung Pendidikan, Konstruksi Gedung Perbelanjaan, Konstruksi Gedung Perkantoran</t>
        </is>
      </c>
      <c r="N149" t="inlineStr">
        <is>
          <t>K</t>
        </is>
      </c>
      <c r="O149" t="inlineStr">
        <is>
          <t>20230803, 20231003</t>
        </is>
      </c>
      <c r="P149" t="inlineStr">
        <is>
          <t>Kalimantan Barat</t>
        </is>
      </c>
      <c r="Q149" t="inlineStr"/>
    </row>
    <row r="150">
      <c r="A150" t="inlineStr">
        <is>
          <t>SINAR DUNIA PERKASA</t>
        </is>
      </c>
      <c r="B150" t="inlineStr">
        <is>
          <t>Kota Kendari</t>
        </is>
      </c>
      <c r="C150" t="inlineStr">
        <is>
          <t>085399977000</t>
        </is>
      </c>
      <c r="D150" t="inlineStr">
        <is>
          <t>alliefadel@yahoo.com</t>
        </is>
      </c>
      <c r="E150" t="inlineStr">
        <is>
          <t>https://lpjk.pu.go.id/search-badan-usaha-detail/TmNGRGZQdHhOVFRqZDRuZURvQkUrUT09</t>
        </is>
      </c>
      <c r="F150" t="n">
        <v>3</v>
      </c>
      <c r="G150" t="inlineStr">
        <is>
          <t>BG002, BS001, BS005</t>
        </is>
      </c>
      <c r="H150" t="inlineStr">
        <is>
          <t>31 Januari 2007</t>
        </is>
      </c>
      <c r="I150" s="2" t="n">
        <v>46300</v>
      </c>
      <c r="J150" t="inlineStr">
        <is>
          <t>Disetujui</t>
        </is>
      </c>
      <c r="K150" t="n">
        <v>90</v>
      </c>
      <c r="L150" t="inlineStr">
        <is>
          <t>5 Oktober 2026</t>
        </is>
      </c>
      <c r="M150" t="inlineStr">
        <is>
          <t>Konstruksi Bangunan Sipil Jalan, Konstruksi Bangunan Sipil Pengolahan Air Bersih, Konstruksi Gedung Perkantoran</t>
        </is>
      </c>
      <c r="N150" t="inlineStr">
        <is>
          <t>K</t>
        </is>
      </c>
      <c r="O150" t="inlineStr">
        <is>
          <t>20230227, 20230927, 20231003</t>
        </is>
      </c>
      <c r="P150" t="inlineStr">
        <is>
          <t>Sulawesi Tenggara</t>
        </is>
      </c>
      <c r="Q150" t="inlineStr"/>
    </row>
    <row r="151">
      <c r="A151" t="inlineStr">
        <is>
          <t>SINAR GARUDA PERKASA</t>
        </is>
      </c>
      <c r="B151" t="inlineStr">
        <is>
          <t>Kota Tarakan</t>
        </is>
      </c>
      <c r="C151" t="inlineStr">
        <is>
          <t>081348614036</t>
        </is>
      </c>
      <c r="D151" t="inlineStr">
        <is>
          <t>sinargarudaperkasa@gmail.com</t>
        </is>
      </c>
      <c r="E151" t="inlineStr">
        <is>
          <t>https://lpjk.pu.go.id/search-badan-usaha-detail/V09haXVMdjZoMUs2Q2JYVTRxc0tKUT09</t>
        </is>
      </c>
      <c r="F151" t="n">
        <v>1</v>
      </c>
      <c r="G151" t="inlineStr">
        <is>
          <t>BG009</t>
        </is>
      </c>
      <c r="H151" t="inlineStr">
        <is>
          <t>24 Juli 2021</t>
        </is>
      </c>
      <c r="I151" s="2" t="n">
        <v>46300</v>
      </c>
      <c r="J151" t="inlineStr">
        <is>
          <t>Pencabutan</t>
        </is>
      </c>
      <c r="K151" t="n">
        <v>90</v>
      </c>
      <c r="L151" t="inlineStr">
        <is>
          <t>5 Oktober 2026</t>
        </is>
      </c>
      <c r="M151" t="inlineStr">
        <is>
          <t>Konstruksi Gedung Lainnya</t>
        </is>
      </c>
      <c r="N151" t="inlineStr">
        <is>
          <t>K</t>
        </is>
      </c>
      <c r="O151" t="inlineStr">
        <is>
          <t>20220629</t>
        </is>
      </c>
      <c r="P151" t="inlineStr">
        <is>
          <t>Kalimantan Utara</t>
        </is>
      </c>
      <c r="Q151" t="inlineStr"/>
    </row>
    <row r="152">
      <c r="A152" t="inlineStr">
        <is>
          <t>SINAR TIRTA CEMERLANG</t>
        </is>
      </c>
      <c r="B152" t="inlineStr">
        <is>
          <t>Kab. Tanah Bumbu</t>
        </is>
      </c>
      <c r="C152" t="inlineStr">
        <is>
          <t>082251863867</t>
        </is>
      </c>
      <c r="D152" t="inlineStr">
        <is>
          <t>cv.sinartirtacemerlang@gmail.com</t>
        </is>
      </c>
      <c r="E152" t="inlineStr">
        <is>
          <t>https://lpjk.pu.go.id/search-badan-usaha-detail/dmVuNGdiQ3pZT3RvWjJZL1RraTYyUT09</t>
        </is>
      </c>
      <c r="F152" t="n">
        <v>1</v>
      </c>
      <c r="G152" t="inlineStr">
        <is>
          <t>BG009</t>
        </is>
      </c>
      <c r="H152" t="inlineStr">
        <is>
          <t>8 November 2021</t>
        </is>
      </c>
      <c r="I152" s="2" t="n">
        <v>46300</v>
      </c>
      <c r="J152" t="inlineStr">
        <is>
          <t>Disetujui</t>
        </is>
      </c>
      <c r="K152" t="n">
        <v>90</v>
      </c>
      <c r="L152" t="inlineStr">
        <is>
          <t>5 Oktober 2026</t>
        </is>
      </c>
      <c r="M152" t="inlineStr">
        <is>
          <t>Konstruksi Gedung Lainnya</t>
        </is>
      </c>
      <c r="N152" t="inlineStr">
        <is>
          <t>K</t>
        </is>
      </c>
      <c r="O152" t="inlineStr">
        <is>
          <t>20231006</t>
        </is>
      </c>
      <c r="P152" t="inlineStr">
        <is>
          <t>Kalimantan Selatan</t>
        </is>
      </c>
      <c r="Q152" t="inlineStr"/>
    </row>
    <row r="153">
      <c r="A153" t="inlineStr">
        <is>
          <t>SKALA UTAMA</t>
        </is>
      </c>
      <c r="B153" t="inlineStr">
        <is>
          <t>Kab. Gowa</t>
        </is>
      </c>
      <c r="C153" t="inlineStr">
        <is>
          <t>085331322917</t>
        </is>
      </c>
      <c r="D153" t="inlineStr">
        <is>
          <t>wati99519@gmail.com</t>
        </is>
      </c>
      <c r="E153" t="inlineStr">
        <is>
          <t>https://lpjk.pu.go.id/search-badan-usaha-detail/UUxtZldXK2YvQThnb2tWM2NHb1BTQT09</t>
        </is>
      </c>
      <c r="F153" t="n">
        <v>1</v>
      </c>
      <c r="G153" t="inlineStr">
        <is>
          <t>BG006</t>
        </is>
      </c>
      <c r="H153" t="inlineStr">
        <is>
          <t>28 Oktober 1993</t>
        </is>
      </c>
      <c r="I153" s="2" t="n">
        <v>46300</v>
      </c>
      <c r="J153" t="inlineStr">
        <is>
          <t>Disetujui</t>
        </is>
      </c>
      <c r="K153" t="n">
        <v>90</v>
      </c>
      <c r="L153" t="inlineStr">
        <is>
          <t>5 Oktober 2026</t>
        </is>
      </c>
      <c r="M153" t="inlineStr">
        <is>
          <t>Konstruksi Gedung Pendidikan</t>
        </is>
      </c>
      <c r="N153" t="inlineStr">
        <is>
          <t>K</t>
        </is>
      </c>
      <c r="O153" t="inlineStr">
        <is>
          <t>20230706</t>
        </is>
      </c>
      <c r="P153" t="inlineStr">
        <is>
          <t>Sulawesi Selatan</t>
        </is>
      </c>
      <c r="Q153" t="inlineStr"/>
    </row>
    <row r="154">
      <c r="A154" t="inlineStr">
        <is>
          <t>SULTAN HN</t>
        </is>
      </c>
      <c r="B154" t="inlineStr">
        <is>
          <t>Kab. Kutai Timur</t>
        </is>
      </c>
      <c r="C154" t="inlineStr">
        <is>
          <t>085345227604</t>
        </is>
      </c>
      <c r="D154" t="inlineStr">
        <is>
          <t>cv.sultanhn@gmail.com</t>
        </is>
      </c>
      <c r="E154" t="inlineStr">
        <is>
          <t>https://lpjk.pu.go.id/search-badan-usaha-detail/Y3hPN0RJdDBIUVd6bEdSQk1ReVpKUT09</t>
        </is>
      </c>
      <c r="F154" t="n">
        <v>1</v>
      </c>
      <c r="G154" t="inlineStr">
        <is>
          <t>BG009</t>
        </is>
      </c>
      <c r="H154" t="inlineStr">
        <is>
          <t>11 Januari 2023</t>
        </is>
      </c>
      <c r="I154" s="2" t="n">
        <v>46300</v>
      </c>
      <c r="J154" t="inlineStr">
        <is>
          <t>Disetujui</t>
        </is>
      </c>
      <c r="K154" t="n">
        <v>90</v>
      </c>
      <c r="L154" t="inlineStr">
        <is>
          <t>5 Oktober 2026</t>
        </is>
      </c>
      <c r="M154" t="inlineStr">
        <is>
          <t>Konstruksi Gedung Lainnya</t>
        </is>
      </c>
      <c r="N154" t="inlineStr">
        <is>
          <t>K</t>
        </is>
      </c>
      <c r="O154" t="inlineStr">
        <is>
          <t>20230926</t>
        </is>
      </c>
      <c r="P154" t="inlineStr">
        <is>
          <t>Kalimantan Timur</t>
        </is>
      </c>
      <c r="Q154" t="inlineStr"/>
    </row>
    <row r="155">
      <c r="A155" t="inlineStr">
        <is>
          <t>SURYA CIPTA KARYA</t>
        </is>
      </c>
      <c r="B155" t="inlineStr">
        <is>
          <t>Kab. Klungkung</t>
        </is>
      </c>
      <c r="C155" t="inlineStr">
        <is>
          <t>0361248967</t>
        </is>
      </c>
      <c r="D155" t="inlineStr">
        <is>
          <t>cvsuryaciptakarya@gmail.com</t>
        </is>
      </c>
      <c r="E155" t="inlineStr">
        <is>
          <t>https://lpjk.pu.go.id/search-badan-usaha-detail/WGRMTE53d3JkcUFPckVFVmxlM3RIUT09</t>
        </is>
      </c>
      <c r="F155" t="n">
        <v>1</v>
      </c>
      <c r="G155" t="inlineStr">
        <is>
          <t>BS010</t>
        </is>
      </c>
      <c r="H155" t="inlineStr">
        <is>
          <t>26 Oktober 1992</t>
        </is>
      </c>
      <c r="I155" s="2" t="n">
        <v>46300</v>
      </c>
      <c r="J155" t="inlineStr">
        <is>
          <t>Disetujui</t>
        </is>
      </c>
      <c r="K155" t="n">
        <v>90</v>
      </c>
      <c r="L155" t="inlineStr">
        <is>
          <t>5 Oktober 2026</t>
        </is>
      </c>
      <c r="M155" t="inlineStr">
        <is>
          <t>Konstruksi Bangunan Prasarana Sumber Daya Air</t>
        </is>
      </c>
      <c r="N155" t="inlineStr">
        <is>
          <t>K</t>
        </is>
      </c>
      <c r="O155" t="inlineStr">
        <is>
          <t>20230920</t>
        </is>
      </c>
      <c r="P155" t="inlineStr">
        <is>
          <t>Bali</t>
        </is>
      </c>
      <c r="Q155" t="inlineStr"/>
    </row>
    <row r="156">
      <c r="A156" t="inlineStr">
        <is>
          <t>TEAMS BERKAH KONSTRUKSI</t>
        </is>
      </c>
      <c r="B156" t="inlineStr">
        <is>
          <t>Kota Makassar</t>
        </is>
      </c>
      <c r="C156" t="inlineStr">
        <is>
          <t>082293413222</t>
        </is>
      </c>
      <c r="D156" t="inlineStr">
        <is>
          <t>Cv.teamsberkahkonstruksi@gmail.com</t>
        </is>
      </c>
      <c r="E156" t="inlineStr">
        <is>
          <t>https://lpjk.pu.go.id/search-badan-usaha-detail/YWQzWmR4NjEybVhtVE1WelhZSmx2dz09</t>
        </is>
      </c>
      <c r="F156" t="n">
        <v>2</v>
      </c>
      <c r="G156" t="inlineStr">
        <is>
          <t>BS001, BS004</t>
        </is>
      </c>
      <c r="H156" t="inlineStr">
        <is>
          <t>5 Desember 2022</t>
        </is>
      </c>
      <c r="I156" s="2" t="n">
        <v>46300</v>
      </c>
      <c r="J156" t="inlineStr">
        <is>
          <t>Disetujui</t>
        </is>
      </c>
      <c r="K156" t="n">
        <v>90</v>
      </c>
      <c r="L156" t="inlineStr">
        <is>
          <t>5 Oktober 2026</t>
        </is>
      </c>
      <c r="M156" t="inlineStr">
        <is>
          <t>Konstruksi Bangunan Sipil Jalan, Konstruksi Jaringan Irigasi dan Drainase</t>
        </is>
      </c>
      <c r="N156" t="inlineStr">
        <is>
          <t>K</t>
        </is>
      </c>
      <c r="O156" t="inlineStr">
        <is>
          <t>20230926</t>
        </is>
      </c>
      <c r="P156" t="inlineStr">
        <is>
          <t>Sulawesi Selatan</t>
        </is>
      </c>
      <c r="Q156" t="inlineStr"/>
    </row>
    <row r="157">
      <c r="A157" t="inlineStr">
        <is>
          <t>TIGA PUTERA BANUA</t>
        </is>
      </c>
      <c r="B157" t="inlineStr">
        <is>
          <t>Kota Banjarmasin</t>
        </is>
      </c>
      <c r="C157" t="inlineStr">
        <is>
          <t>085249383717</t>
        </is>
      </c>
      <c r="D157" t="inlineStr">
        <is>
          <t>putera_banua@yahoo.com</t>
        </is>
      </c>
      <c r="E157" t="inlineStr">
        <is>
          <t>https://lpjk.pu.go.id/search-badan-usaha-detail/eDZIc2k3UjgxQ0RoNEVveEN6WERhdz09</t>
        </is>
      </c>
      <c r="F157" t="n">
        <v>1</v>
      </c>
      <c r="G157" t="inlineStr">
        <is>
          <t>BS004</t>
        </is>
      </c>
      <c r="H157" t="inlineStr">
        <is>
          <t>19 Juli 2010</t>
        </is>
      </c>
      <c r="I157" s="2" t="n">
        <v>46300</v>
      </c>
      <c r="J157" t="inlineStr">
        <is>
          <t>Disetujui</t>
        </is>
      </c>
      <c r="K157" t="n">
        <v>90</v>
      </c>
      <c r="L157" t="inlineStr">
        <is>
          <t>5 Oktober 2026</t>
        </is>
      </c>
      <c r="M157" t="inlineStr">
        <is>
          <t>Konstruksi Jaringan Irigasi dan Drainase</t>
        </is>
      </c>
      <c r="N157" t="inlineStr">
        <is>
          <t>K</t>
        </is>
      </c>
      <c r="O157" t="inlineStr">
        <is>
          <t>20231005</t>
        </is>
      </c>
      <c r="P157" t="inlineStr">
        <is>
          <t>Kalimantan Selatan</t>
        </is>
      </c>
      <c r="Q157" t="inlineStr"/>
    </row>
    <row r="158">
      <c r="A158" t="inlineStr">
        <is>
          <t>TIRTA KARYA KENCANA</t>
        </is>
      </c>
      <c r="B158" t="inlineStr">
        <is>
          <t>Kab. Kubu Raya</t>
        </is>
      </c>
      <c r="C158" t="inlineStr">
        <is>
          <t>081349390903</t>
        </is>
      </c>
      <c r="D158" t="inlineStr">
        <is>
          <t>tirtakaryakencana@gmail.com</t>
        </is>
      </c>
      <c r="E158" t="inlineStr">
        <is>
          <t>https://lpjk.pu.go.id/search-badan-usaha-detail/UXVoWCtHN3NTZVVMdllQR2lQMHdIUT09</t>
        </is>
      </c>
      <c r="F158" t="n">
        <v>1</v>
      </c>
      <c r="G158" t="inlineStr">
        <is>
          <t>BS001</t>
        </is>
      </c>
      <c r="H158" t="inlineStr">
        <is>
          <t>22 Februari 2006</t>
        </is>
      </c>
      <c r="I158" s="2" t="n">
        <v>46300</v>
      </c>
      <c r="J158" t="inlineStr">
        <is>
          <t>Disetujui</t>
        </is>
      </c>
      <c r="K158" t="n">
        <v>90</v>
      </c>
      <c r="L158" t="inlineStr">
        <is>
          <t>5 Oktober 2026</t>
        </is>
      </c>
      <c r="M158" t="inlineStr">
        <is>
          <t>Konstruksi Bangunan Sipil Jalan</t>
        </is>
      </c>
      <c r="N158" t="inlineStr">
        <is>
          <t>K</t>
        </is>
      </c>
      <c r="O158" t="inlineStr">
        <is>
          <t>20231004</t>
        </is>
      </c>
      <c r="P158" t="inlineStr">
        <is>
          <t>Kalimantan Barat</t>
        </is>
      </c>
      <c r="Q158" t="inlineStr"/>
    </row>
    <row r="159">
      <c r="A159" t="inlineStr">
        <is>
          <t>TOTAL DAYA UTAMA</t>
        </is>
      </c>
      <c r="B159" t="inlineStr">
        <is>
          <t>Kab. Sumedang</t>
        </is>
      </c>
      <c r="C159" t="inlineStr">
        <is>
          <t>0816737145</t>
        </is>
      </c>
      <c r="D159" t="inlineStr">
        <is>
          <t>total.dayautama@gmail.com</t>
        </is>
      </c>
      <c r="E159" t="inlineStr">
        <is>
          <t>https://lpjk.pu.go.id/search-badan-usaha-detail/bWtRUmU5T1pCRG1NWDBmS2lqcTVTZ0NGMWYwOGNXN1AxSUpYclJXOFpTcz0</t>
        </is>
      </c>
      <c r="F159" t="n">
        <v>1</v>
      </c>
      <c r="G159" t="inlineStr">
        <is>
          <t>BG002</t>
        </is>
      </c>
      <c r="H159" t="inlineStr">
        <is>
          <t>25 Mei 2022</t>
        </is>
      </c>
      <c r="I159" s="2" t="n">
        <v>46300</v>
      </c>
      <c r="J159" t="inlineStr">
        <is>
          <t>Disetujui</t>
        </is>
      </c>
      <c r="K159" t="n">
        <v>90</v>
      </c>
      <c r="L159" t="inlineStr">
        <is>
          <t>5 Oktober 2026</t>
        </is>
      </c>
      <c r="M159" t="inlineStr">
        <is>
          <t>Konstruksi Gedung Perkantoran</t>
        </is>
      </c>
      <c r="N159" t="inlineStr">
        <is>
          <t>K</t>
        </is>
      </c>
      <c r="O159" t="inlineStr">
        <is>
          <t>20231005</t>
        </is>
      </c>
      <c r="P159" t="inlineStr">
        <is>
          <t>Jawa Barat</t>
        </is>
      </c>
      <c r="Q159" t="inlineStr"/>
    </row>
    <row r="160">
      <c r="A160" t="inlineStr">
        <is>
          <t>TRI INDAH MULYA</t>
        </is>
      </c>
      <c r="B160" t="inlineStr">
        <is>
          <t>Kab. Tangerang</t>
        </is>
      </c>
      <c r="C160" t="inlineStr">
        <is>
          <t>081310361722</t>
        </is>
      </c>
      <c r="D160" t="inlineStr">
        <is>
          <t>pt.triindahmulya@gmail.com</t>
        </is>
      </c>
      <c r="E160" t="inlineStr">
        <is>
          <t>https://lpjk.pu.go.id/search-badan-usaha-detail/OVZYaEJWMjd5T0U1bmxRbFROL2pvUT09</t>
        </is>
      </c>
      <c r="F160" t="n">
        <v>1</v>
      </c>
      <c r="G160" t="inlineStr">
        <is>
          <t>BS011</t>
        </is>
      </c>
      <c r="H160" t="inlineStr">
        <is>
          <t>4 Mei 2017</t>
        </is>
      </c>
      <c r="I160" s="2" t="n">
        <v>46300</v>
      </c>
      <c r="J160" t="inlineStr">
        <is>
          <t>Disetujui</t>
        </is>
      </c>
      <c r="K160" t="n">
        <v>90</v>
      </c>
      <c r="L160" t="inlineStr">
        <is>
          <t>5 Oktober 2026</t>
        </is>
      </c>
      <c r="M160" t="inlineStr">
        <is>
          <t>Konstruksi Bangunan Pelabuhan Bukan Perikanan</t>
        </is>
      </c>
      <c r="N160" t="inlineStr">
        <is>
          <t>K</t>
        </is>
      </c>
      <c r="O160" t="inlineStr">
        <is>
          <t>20230822</t>
        </is>
      </c>
      <c r="P160" t="inlineStr">
        <is>
          <t>Banten</t>
        </is>
      </c>
      <c r="Q160" t="inlineStr"/>
    </row>
    <row r="161">
      <c r="A161" t="inlineStr">
        <is>
          <t>TRI MATRA DISAIN</t>
        </is>
      </c>
      <c r="B161" t="inlineStr">
        <is>
          <t>Kota Denpasar</t>
        </is>
      </c>
      <c r="C161" t="inlineStr">
        <is>
          <t>03618449784</t>
        </is>
      </c>
      <c r="D161" t="inlineStr">
        <is>
          <t>trimatradisain@yahoo.co.id</t>
        </is>
      </c>
      <c r="E161" t="inlineStr">
        <is>
          <t>https://lpjk.pu.go.id/search-badan-usaha-detail/aXhXeG54WitLZXpXQ3BSaDBhRkZNUT09</t>
        </is>
      </c>
      <c r="F161" t="n">
        <v>4</v>
      </c>
      <c r="G161" t="inlineStr">
        <is>
          <t>AL002, AR001, AR002, RK002</t>
        </is>
      </c>
      <c r="H161" t="inlineStr">
        <is>
          <t>16 November 1991</t>
        </is>
      </c>
      <c r="I161" s="2" t="n">
        <v>46300</v>
      </c>
      <c r="J161" t="inlineStr">
        <is>
          <t>Disetujui</t>
        </is>
      </c>
      <c r="K161" t="n">
        <v>90</v>
      </c>
      <c r="L161" t="inlineStr">
        <is>
          <t>5 Oktober 2026</t>
        </is>
      </c>
      <c r="M161" t="inlineStr">
        <is>
          <t>Jasa Arsitektural Bangunan Gedung Hunian dan Non Hunian, Jasa Arsitektural Lainnya, Jasa Pengembangan Wilayah, Jasa Rekayasa Pekerjaan Teknik Sipil Sumber Daya Air</t>
        </is>
      </c>
      <c r="N161" t="inlineStr">
        <is>
          <t>K</t>
        </is>
      </c>
      <c r="O161" t="inlineStr">
        <is>
          <t>20230927</t>
        </is>
      </c>
      <c r="P161" t="inlineStr">
        <is>
          <t>Bali</t>
        </is>
      </c>
      <c r="Q161" t="inlineStr"/>
    </row>
    <row r="162">
      <c r="A162" t="inlineStr">
        <is>
          <t>TRIARTHA NUSA ENGINEERING</t>
        </is>
      </c>
      <c r="B162" t="inlineStr">
        <is>
          <t>Kota Padang</t>
        </is>
      </c>
      <c r="C162" t="inlineStr">
        <is>
          <t>0751443932</t>
        </is>
      </c>
      <c r="D162" t="inlineStr">
        <is>
          <t>TRIARTHANUSA_PT@YMAIL.COM</t>
        </is>
      </c>
      <c r="E162" t="inlineStr">
        <is>
          <t>https://lpjk.pu.go.id/search-badan-usaha-detail/YmtoZklha3ZZdkhnbUgvSGlCaG1rZz09</t>
        </is>
      </c>
      <c r="F162" t="n">
        <v>1</v>
      </c>
      <c r="G162" t="inlineStr">
        <is>
          <t>RK003</t>
        </is>
      </c>
      <c r="H162" t="inlineStr">
        <is>
          <t>24 Januari 2007</t>
        </is>
      </c>
      <c r="I162" s="2" t="n">
        <v>46300</v>
      </c>
      <c r="J162" t="inlineStr">
        <is>
          <t>Disetujui</t>
        </is>
      </c>
      <c r="K162" t="n">
        <v>90</v>
      </c>
      <c r="L162" t="inlineStr">
        <is>
          <t>5 Oktober 2026</t>
        </is>
      </c>
      <c r="M162" t="inlineStr">
        <is>
          <t>Jasa Rekayasa Pekerjaan Teknik Sipil Transportasi</t>
        </is>
      </c>
      <c r="N162" t="inlineStr">
        <is>
          <t>M</t>
        </is>
      </c>
      <c r="O162" t="inlineStr">
        <is>
          <t>20230921</t>
        </is>
      </c>
      <c r="P162" t="inlineStr">
        <is>
          <t>Sumatera Barat</t>
        </is>
      </c>
      <c r="Q162" t="inlineStr"/>
    </row>
    <row r="163">
      <c r="A163" t="inlineStr">
        <is>
          <t>TRIKASARI MAKMUR JAYA</t>
        </is>
      </c>
      <c r="B163" t="inlineStr">
        <is>
          <t>Kab. Boyolali</t>
        </is>
      </c>
      <c r="C163" t="inlineStr">
        <is>
          <t>085156420965</t>
        </is>
      </c>
      <c r="D163" t="inlineStr">
        <is>
          <t>trikasarimakmurjaya@gmail.com</t>
        </is>
      </c>
      <c r="E163" t="inlineStr">
        <is>
          <t>https://lpjk.pu.go.id/search-badan-usaha-detail/cnY0N0hKamhmL2ZkUXBRMk9GZi9TZz09</t>
        </is>
      </c>
      <c r="F163" t="n">
        <v>1</v>
      </c>
      <c r="G163" t="inlineStr">
        <is>
          <t>BS002</t>
        </is>
      </c>
      <c r="H163" t="inlineStr">
        <is>
          <t>20 Mei 2023</t>
        </is>
      </c>
      <c r="I163" s="2" t="n">
        <v>46300</v>
      </c>
      <c r="J163" t="inlineStr">
        <is>
          <t>Pencabutan</t>
        </is>
      </c>
      <c r="K163" t="n">
        <v>90</v>
      </c>
      <c r="L163" t="inlineStr">
        <is>
          <t>5 Oktober 2026</t>
        </is>
      </c>
      <c r="M163" t="inlineStr">
        <is>
          <t>Bangunan Sipil Jembatan, Jalan Layang, Fly Over, dan Underpass</t>
        </is>
      </c>
      <c r="N163" t="inlineStr">
        <is>
          <t>K</t>
        </is>
      </c>
      <c r="O163" t="inlineStr">
        <is>
          <t>20231003</t>
        </is>
      </c>
      <c r="P163" t="inlineStr">
        <is>
          <t>Jawa Tengah</t>
        </is>
      </c>
      <c r="Q163" t="inlineStr"/>
    </row>
    <row r="164">
      <c r="A164" t="inlineStr">
        <is>
          <t>TSABIT JAYA TAMA</t>
        </is>
      </c>
      <c r="B164" t="inlineStr">
        <is>
          <t>Kota Samarinda</t>
        </is>
      </c>
      <c r="C164" t="inlineStr">
        <is>
          <t>081250383828</t>
        </is>
      </c>
      <c r="D164" t="inlineStr">
        <is>
          <t>tsabitjayatama@gmail.com</t>
        </is>
      </c>
      <c r="E164" t="inlineStr">
        <is>
          <t>https://lpjk.pu.go.id/search-badan-usaha-detail/bmZYelpkNUFsNVUvaVB6WUFsV1g0QT09</t>
        </is>
      </c>
      <c r="F164" t="n">
        <v>1</v>
      </c>
      <c r="G164" t="inlineStr">
        <is>
          <t>BS001</t>
        </is>
      </c>
      <c r="H164" t="inlineStr">
        <is>
          <t>20 September 2013</t>
        </is>
      </c>
      <c r="I164" s="2" t="n">
        <v>46300</v>
      </c>
      <c r="J164" t="inlineStr">
        <is>
          <t>Permohonan Perubahan Non Asesmen</t>
        </is>
      </c>
      <c r="K164" t="n">
        <v>90</v>
      </c>
      <c r="L164" t="inlineStr">
        <is>
          <t>5 Oktober 2026</t>
        </is>
      </c>
      <c r="M164" t="inlineStr">
        <is>
          <t>Konstruksi Bangunan Sipil Jalan</t>
        </is>
      </c>
      <c r="N164" t="inlineStr">
        <is>
          <t>M</t>
        </is>
      </c>
      <c r="O164" t="inlineStr">
        <is>
          <t>20231005</t>
        </is>
      </c>
      <c r="P164" t="inlineStr">
        <is>
          <t>Kalimantan Timur</t>
        </is>
      </c>
      <c r="Q164" t="inlineStr"/>
    </row>
    <row r="165">
      <c r="A165" t="inlineStr">
        <is>
          <t>TUJUH ANUGRAH</t>
        </is>
      </c>
      <c r="B165" t="inlineStr">
        <is>
          <t>Kab. Rejang Lebong</t>
        </is>
      </c>
      <c r="C165" t="inlineStr">
        <is>
          <t>082225844997</t>
        </is>
      </c>
      <c r="D165" t="inlineStr">
        <is>
          <t>cv.tujuhanugra@gmail.com</t>
        </is>
      </c>
      <c r="E165" t="inlineStr">
        <is>
          <t>https://lpjk.pu.go.id/search-badan-usaha-detail/QllVMklsM0dyZGthUGFoRHhqQnZqZz09</t>
        </is>
      </c>
      <c r="F165" t="n">
        <v>1</v>
      </c>
      <c r="G165" t="inlineStr">
        <is>
          <t>BS001</t>
        </is>
      </c>
      <c r="H165" t="inlineStr">
        <is>
          <t>4 Februari 2020</t>
        </is>
      </c>
      <c r="I165" s="2" t="n">
        <v>46300</v>
      </c>
      <c r="J165" t="inlineStr">
        <is>
          <t>Disetujui</t>
        </is>
      </c>
      <c r="K165" t="n">
        <v>90</v>
      </c>
      <c r="L165" t="inlineStr">
        <is>
          <t>5 Oktober 2026</t>
        </is>
      </c>
      <c r="M165" t="inlineStr">
        <is>
          <t>Konstruksi Bangunan Sipil Jalan</t>
        </is>
      </c>
      <c r="N165" t="inlineStr">
        <is>
          <t>K</t>
        </is>
      </c>
      <c r="O165" t="inlineStr">
        <is>
          <t>20231004</t>
        </is>
      </c>
      <c r="P165" t="inlineStr">
        <is>
          <t>Bengkulu</t>
        </is>
      </c>
      <c r="Q165" t="inlineStr"/>
    </row>
    <row r="166">
      <c r="A166" t="inlineStr">
        <is>
          <t>UTARA JAYA USAHA</t>
        </is>
      </c>
      <c r="B166" t="inlineStr">
        <is>
          <t>Kab. Kutai Timur</t>
        </is>
      </c>
      <c r="C166" t="inlineStr">
        <is>
          <t>082110681414</t>
        </is>
      </c>
      <c r="D166" t="inlineStr">
        <is>
          <t>utarajayausaha@gmail.com</t>
        </is>
      </c>
      <c r="E166" t="inlineStr">
        <is>
          <t>https://lpjk.pu.go.id/search-badan-usaha-detail/RFdtN2xNeFMvaUxRUnhDQnRWZ0w4dz09</t>
        </is>
      </c>
      <c r="F166" t="n">
        <v>1</v>
      </c>
      <c r="G166" t="inlineStr">
        <is>
          <t>BG008</t>
        </is>
      </c>
      <c r="H166" t="inlineStr">
        <is>
          <t>9 Juni 2017</t>
        </is>
      </c>
      <c r="I166" s="2" t="n">
        <v>46300</v>
      </c>
      <c r="J166" t="inlineStr">
        <is>
          <t>Disetujui</t>
        </is>
      </c>
      <c r="K166" t="n">
        <v>90</v>
      </c>
      <c r="L166" t="inlineStr">
        <is>
          <t>5 Oktober 2026</t>
        </is>
      </c>
      <c r="M166" t="inlineStr">
        <is>
          <t>Konstruksi Gedung Tempat Hiburan dan Olahraga</t>
        </is>
      </c>
      <c r="N166" t="inlineStr">
        <is>
          <t>K</t>
        </is>
      </c>
      <c r="O166" t="inlineStr">
        <is>
          <t>20231005</t>
        </is>
      </c>
      <c r="P166" t="inlineStr">
        <is>
          <t>Kalimantan Timur</t>
        </is>
      </c>
      <c r="Q166" t="inlineStr"/>
    </row>
    <row r="167">
      <c r="A167" t="inlineStr">
        <is>
          <t>WAHANA SULAWESI</t>
        </is>
      </c>
      <c r="B167" t="inlineStr">
        <is>
          <t>Kota Palu</t>
        </is>
      </c>
      <c r="C167" t="inlineStr">
        <is>
          <t>085230135325</t>
        </is>
      </c>
      <c r="D167" t="inlineStr">
        <is>
          <t>wahana_sulawesi@yahoo.co.id</t>
        </is>
      </c>
      <c r="E167" t="inlineStr">
        <is>
          <t>https://lpjk.pu.go.id/search-badan-usaha-detail/akVTYklrYXRQNnZydFZRUmY3Ni9Kdz09</t>
        </is>
      </c>
      <c r="F167" t="n">
        <v>1</v>
      </c>
      <c r="G167" t="inlineStr">
        <is>
          <t>BG002</t>
        </is>
      </c>
      <c r="H167" t="inlineStr">
        <is>
          <t>25 Juni 1997</t>
        </is>
      </c>
      <c r="I167" s="2" t="n">
        <v>46300</v>
      </c>
      <c r="J167" t="inlineStr">
        <is>
          <t>Disetujui</t>
        </is>
      </c>
      <c r="K167" t="n">
        <v>90</v>
      </c>
      <c r="L167" t="inlineStr">
        <is>
          <t>5 Oktober 2026</t>
        </is>
      </c>
      <c r="M167" t="inlineStr">
        <is>
          <t>Konstruksi Gedung Perkantoran</t>
        </is>
      </c>
      <c r="N167" t="inlineStr">
        <is>
          <t>K</t>
        </is>
      </c>
      <c r="O167" t="inlineStr">
        <is>
          <t>20230918</t>
        </is>
      </c>
      <c r="P167" t="inlineStr">
        <is>
          <t>Sulawesi Tengah</t>
        </is>
      </c>
      <c r="Q167" t="inlineStr"/>
    </row>
    <row r="168">
      <c r="A168" t="inlineStr">
        <is>
          <t>WIRA KARYA TEHNIKA</t>
        </is>
      </c>
      <c r="B168" t="inlineStr">
        <is>
          <t>Kab. Tuban</t>
        </is>
      </c>
      <c r="C168" t="inlineStr">
        <is>
          <t>085732453166</t>
        </is>
      </c>
      <c r="D168" t="inlineStr">
        <is>
          <t>wirakaryatehnika45@gmail.com</t>
        </is>
      </c>
      <c r="E168" t="inlineStr">
        <is>
          <t>https://lpjk.pu.go.id/search-badan-usaha-detail/VE9JYWRzQ1o4QlZMOUlKRmtKOXFKUT09</t>
        </is>
      </c>
      <c r="F168" t="n">
        <v>1</v>
      </c>
      <c r="G168" t="inlineStr">
        <is>
          <t>BS001</t>
        </is>
      </c>
      <c r="H168" t="inlineStr">
        <is>
          <t>29 Desember 2014</t>
        </is>
      </c>
      <c r="I168" s="2" t="n">
        <v>46300</v>
      </c>
      <c r="J168" t="inlineStr">
        <is>
          <t>Disetujui</t>
        </is>
      </c>
      <c r="K168" t="n">
        <v>90</v>
      </c>
      <c r="L168" t="inlineStr">
        <is>
          <t>5 Oktober 2026</t>
        </is>
      </c>
      <c r="M168" t="inlineStr">
        <is>
          <t>Konstruksi Bangunan Sipil Jalan</t>
        </is>
      </c>
      <c r="N168" t="inlineStr">
        <is>
          <t>M</t>
        </is>
      </c>
      <c r="O168" t="inlineStr">
        <is>
          <t>20231005</t>
        </is>
      </c>
      <c r="P168" t="inlineStr">
        <is>
          <t>Jawa Timur</t>
        </is>
      </c>
      <c r="Q168" t="inlineStr"/>
    </row>
    <row r="169">
      <c r="A169" t="inlineStr">
        <is>
          <t>YUNIAR ABADI</t>
        </is>
      </c>
      <c r="B169" t="inlineStr">
        <is>
          <t>Kab. Bojonegoro</t>
        </is>
      </c>
      <c r="C169" t="inlineStr">
        <is>
          <t>085230490907</t>
        </is>
      </c>
      <c r="D169" t="inlineStr">
        <is>
          <t>yuniarabadi.cv@gmail.com</t>
        </is>
      </c>
      <c r="E169" t="inlineStr">
        <is>
          <t>https://lpjk.pu.go.id/search-badan-usaha-detail/L292OXdlL3VBVjFnMUZ5SW9IdnlNQT09</t>
        </is>
      </c>
      <c r="F169" t="n">
        <v>3</v>
      </c>
      <c r="G169" t="inlineStr">
        <is>
          <t>BG001, BG006, BS001</t>
        </is>
      </c>
      <c r="H169" t="inlineStr">
        <is>
          <t>11 September 2023</t>
        </is>
      </c>
      <c r="I169" s="2" t="n">
        <v>46300</v>
      </c>
      <c r="J169" t="inlineStr">
        <is>
          <t>Disetujui</t>
        </is>
      </c>
      <c r="K169" t="n">
        <v>90</v>
      </c>
      <c r="L169" t="inlineStr">
        <is>
          <t>5 Oktober 2026</t>
        </is>
      </c>
      <c r="M169" t="inlineStr">
        <is>
          <t>Konstruksi Bangunan Sipil Jalan, Konstruksi Gedung Hunian, Konstruksi Gedung Pendidikan</t>
        </is>
      </c>
      <c r="N169" t="inlineStr">
        <is>
          <t>K</t>
        </is>
      </c>
      <c r="O169" t="inlineStr">
        <is>
          <t>20230916, 20231003</t>
        </is>
      </c>
      <c r="P169" t="inlineStr">
        <is>
          <t>Jawa Timur</t>
        </is>
      </c>
      <c r="Q1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9"/>
  <sheetViews>
    <sheetView workbookViewId="0">
      <selection activeCell="A1" sqref="A1"/>
    </sheetView>
  </sheetViews>
  <sheetFormatPr baseColWidth="8" defaultRowHeight="15"/>
  <cols>
    <col width="49" customWidth="1" min="1" max="1"/>
    <col width="27" customWidth="1" min="2" max="2"/>
    <col width="16" customWidth="1" min="3" max="3"/>
    <col width="39"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BANGUN BAJA CIPTA MANDIRI</t>
        </is>
      </c>
      <c r="B2" t="inlineStr">
        <is>
          <t>Kota Bekasi</t>
        </is>
      </c>
      <c r="C2" t="inlineStr">
        <is>
          <t>0218853621</t>
        </is>
      </c>
      <c r="D2" t="inlineStr">
        <is>
          <t>henri.bbcm@gmail.com</t>
        </is>
      </c>
      <c r="E2" t="inlineStr">
        <is>
          <t>https://lpjk.pu.go.id/search-badan-usaha-detail/OTdrMnZhMWlmQmpYNG5IcUpaSjJxUT09</t>
        </is>
      </c>
      <c r="F2" t="n">
        <v>2</v>
      </c>
      <c r="G2" t="inlineStr">
        <is>
          <t>BG009</t>
        </is>
      </c>
      <c r="H2" t="inlineStr">
        <is>
          <t>13 Oktober 1997</t>
        </is>
      </c>
      <c r="I2" s="2" t="n">
        <v>46270</v>
      </c>
      <c r="J2" t="inlineStr">
        <is>
          <t>Disetujui</t>
        </is>
      </c>
      <c r="K2" t="n">
        <v>60</v>
      </c>
      <c r="L2" t="inlineStr">
        <is>
          <t>5 September 2026</t>
        </is>
      </c>
      <c r="M2" t="inlineStr">
        <is>
          <t>Konstruksi Gedung Lainnya</t>
        </is>
      </c>
      <c r="N2" t="inlineStr">
        <is>
          <t>K</t>
        </is>
      </c>
      <c r="O2" t="inlineStr">
        <is>
          <t>20230831</t>
        </is>
      </c>
      <c r="P2" t="inlineStr">
        <is>
          <t>Jawa Barat</t>
        </is>
      </c>
      <c r="Q2" t="inlineStr"/>
    </row>
    <row r="3">
      <c r="A3" t="inlineStr">
        <is>
          <t>BINTANG ARSHAKA MANDIRI</t>
        </is>
      </c>
      <c r="B3" t="inlineStr">
        <is>
          <t>Kab. Bekasi</t>
        </is>
      </c>
      <c r="C3" t="inlineStr">
        <is>
          <t>089643739938</t>
        </is>
      </c>
      <c r="D3" t="inlineStr">
        <is>
          <t>cv.bintangarshakamandiri@gmail.com</t>
        </is>
      </c>
      <c r="E3" t="inlineStr">
        <is>
          <t>https://lpjk.pu.go.id/search-badan-usaha-detail/WUY4K2hiemplNjBQSEI4NmFWbXptdz09</t>
        </is>
      </c>
      <c r="F3" t="n">
        <v>2</v>
      </c>
      <c r="G3" t="inlineStr">
        <is>
          <t>BS016</t>
        </is>
      </c>
      <c r="H3" t="inlineStr">
        <is>
          <t>5 Februari 2021</t>
        </is>
      </c>
      <c r="I3" s="2" t="n">
        <v>46270</v>
      </c>
      <c r="J3" t="inlineStr">
        <is>
          <t>Disetujui</t>
        </is>
      </c>
      <c r="K3" t="n">
        <v>60</v>
      </c>
      <c r="L3" t="inlineStr">
        <is>
          <t>5 September 2026</t>
        </is>
      </c>
      <c r="M3" t="inlineStr">
        <is>
          <t>Konstruksi Bangunan Sipil Fasilitas Olah Raga</t>
        </is>
      </c>
      <c r="N3" t="inlineStr">
        <is>
          <t>K</t>
        </is>
      </c>
      <c r="O3" t="inlineStr">
        <is>
          <t>20230905</t>
        </is>
      </c>
      <c r="P3" t="inlineStr">
        <is>
          <t>Jawa Barat</t>
        </is>
      </c>
      <c r="Q3" s="3">
        <f>HYPERLINK("https://wa.me/6289643739938?text=*[PENGINGAT MASA BERLAKU SBU BINTANG ARSHAKA MANDIRI]*%0A%0AYth. Pimpinan BINTANG ARSHAKA MANDIRI,%0AMohon izin menginformasikan status SBU Anda di sistem LPJK:%0A%0A📄 SBU: BS016%0A📅 Expired: 5 September 2026 (60 Hari Lagi)%0A%0AKami tim PT. ESDEA Assistance Management siap men-support proses perpanjangan segera agar administrasi proyek tidak terhambat%0A%0AApakah boleh saya bantu siapkan estimasi biaya dan waktu pengerjaannya?.", "Hubungi")</f>
        <v/>
      </c>
    </row>
    <row r="4">
      <c r="A4" t="inlineStr">
        <is>
          <t>BREBES KARYA PERDANA</t>
        </is>
      </c>
      <c r="B4" t="inlineStr">
        <is>
          <t>Kota Bekasi</t>
        </is>
      </c>
      <c r="C4" t="inlineStr">
        <is>
          <t>081296578873</t>
        </is>
      </c>
      <c r="D4" t="inlineStr">
        <is>
          <t>brebeskaryaperdana2020@gmail.com</t>
        </is>
      </c>
      <c r="E4" t="inlineStr">
        <is>
          <t>https://lpjk.pu.go.id/search-badan-usaha-detail/ZnpvSzlNZStjN1A3RzB5ZS9aV3FBUT09</t>
        </is>
      </c>
      <c r="F4" t="n">
        <v>1</v>
      </c>
      <c r="G4" t="inlineStr">
        <is>
          <t>BG001</t>
        </is>
      </c>
      <c r="H4" t="inlineStr">
        <is>
          <t>29 November 2021</t>
        </is>
      </c>
      <c r="I4" s="2" t="n">
        <v>46270</v>
      </c>
      <c r="J4" t="inlineStr">
        <is>
          <t>Disetujui</t>
        </is>
      </c>
      <c r="K4" t="n">
        <v>60</v>
      </c>
      <c r="L4" t="inlineStr">
        <is>
          <t>5 September 2026</t>
        </is>
      </c>
      <c r="M4" t="inlineStr">
        <is>
          <t>Konstruksi Gedung Hunian</t>
        </is>
      </c>
      <c r="N4" t="inlineStr">
        <is>
          <t>K</t>
        </is>
      </c>
      <c r="O4" t="inlineStr">
        <is>
          <t>20230823</t>
        </is>
      </c>
      <c r="P4" t="inlineStr">
        <is>
          <t>Jawa Barat</t>
        </is>
      </c>
      <c r="Q4" s="3">
        <f>HYPERLINK("https://wa.me/6281296578873?text=*[PENGINGAT MASA BERLAKU SBU BREBES KARYA PERDANA]*%0A%0AYth. Pimpinan BREBES KARYA PERDANA,%0AMohon izin menginformasikan status SBU Anda di sistem LPJK:%0A%0A📄 SBU: BG001%0A📅 Expired: 5 September 2026 (60 Hari Lagi)%0A%0AKami tim PT. ESDEA Assistance Management siap men-support proses perpanjangan segera agar administrasi proyek tidak terhambat%0A%0AApakah boleh saya bantu siapkan estimasi biaya dan waktu pengerjaannya?.", "Hubungi")</f>
        <v/>
      </c>
    </row>
    <row r="5">
      <c r="A5" t="inlineStr">
        <is>
          <t>BRILIAN CEMERLANG</t>
        </is>
      </c>
      <c r="B5" t="inlineStr">
        <is>
          <t>Kota Depok</t>
        </is>
      </c>
      <c r="C5" t="inlineStr">
        <is>
          <t>081283271716</t>
        </is>
      </c>
      <c r="D5" t="inlineStr">
        <is>
          <t>cv.briliancemerlang@gmail.com</t>
        </is>
      </c>
      <c r="E5" t="inlineStr">
        <is>
          <t>https://lpjk.pu.go.id/search-badan-usaha-detail/YzNJZXFVbUdJOUw3L2Q3bE9yZlBpZz09</t>
        </is>
      </c>
      <c r="F5" t="n">
        <v>1</v>
      </c>
      <c r="G5" t="inlineStr">
        <is>
          <t>BG006</t>
        </is>
      </c>
      <c r="H5" t="inlineStr">
        <is>
          <t>26 Maret 2018</t>
        </is>
      </c>
      <c r="I5" s="2" t="n">
        <v>46270</v>
      </c>
      <c r="J5" t="inlineStr">
        <is>
          <t>Disetujui</t>
        </is>
      </c>
      <c r="K5" t="n">
        <v>60</v>
      </c>
      <c r="L5" t="inlineStr">
        <is>
          <t>5 September 2026</t>
        </is>
      </c>
      <c r="M5" t="inlineStr">
        <is>
          <t>Konstruksi Gedung Pendidikan</t>
        </is>
      </c>
      <c r="N5" t="inlineStr">
        <is>
          <t>K</t>
        </is>
      </c>
      <c r="O5" t="inlineStr">
        <is>
          <t>20230901</t>
        </is>
      </c>
      <c r="P5" t="inlineStr">
        <is>
          <t>Jawa Barat</t>
        </is>
      </c>
      <c r="Q5" s="3">
        <f>HYPERLINK("https://wa.me/6281283271716?text=*[PENGINGAT MASA BERLAKU SBU BRILIAN CEMERLANG]*%0A%0AYth. Pimpinan BRILIAN CEMERLANG,%0AMohon izin menginformasikan status SBU Anda di sistem LPJK:%0A%0A📄 SBU: BG006%0A📅 Expired: 5 September 2026 (60 Hari Lagi)%0A%0AKami tim PT. ESDEA Assistance Management siap men-support proses perpanjangan segera agar administrasi proyek tidak terhambat%0A%0AApakah boleh saya bantu siapkan estimasi biaya dan waktu pengerjaannya?.", "Hubungi")</f>
        <v/>
      </c>
    </row>
    <row r="6">
      <c r="A6" t="inlineStr">
        <is>
          <t>BUKIT MAS</t>
        </is>
      </c>
      <c r="B6" t="inlineStr">
        <is>
          <t>Kota Adm. Jakarta Timur</t>
        </is>
      </c>
      <c r="C6" t="inlineStr">
        <is>
          <t>02186615469</t>
        </is>
      </c>
      <c r="D6" t="inlineStr">
        <is>
          <t>bukit.mas98@gmail.com</t>
        </is>
      </c>
      <c r="E6" t="inlineStr">
        <is>
          <t>https://lpjk.pu.go.id/search-badan-usaha-detail/TGVBdTJBTURaeHNzdVZFV0s5VldXdz09</t>
        </is>
      </c>
      <c r="F6" t="n">
        <v>2</v>
      </c>
      <c r="G6" t="inlineStr">
        <is>
          <t>BG002, BG003</t>
        </is>
      </c>
      <c r="H6" t="inlineStr">
        <is>
          <t>27 September 2018</t>
        </is>
      </c>
      <c r="I6" s="2" t="n">
        <v>46270</v>
      </c>
      <c r="J6" t="inlineStr">
        <is>
          <t>Disetujui</t>
        </is>
      </c>
      <c r="K6" t="n">
        <v>60</v>
      </c>
      <c r="L6" t="inlineStr">
        <is>
          <t>5 September 2026</t>
        </is>
      </c>
      <c r="M6" t="inlineStr">
        <is>
          <t>Konstruksi Gedung Industri, Konstruksi Gedung Perkantoran</t>
        </is>
      </c>
      <c r="N6" t="inlineStr">
        <is>
          <t>K</t>
        </is>
      </c>
      <c r="O6" t="inlineStr">
        <is>
          <t>20230831</t>
        </is>
      </c>
      <c r="P6" t="inlineStr">
        <is>
          <t>DKI Jakarta</t>
        </is>
      </c>
      <c r="Q6" t="inlineStr"/>
    </row>
    <row r="7">
      <c r="A7" t="inlineStr">
        <is>
          <t>CAHYA ARIF SAMUDRA</t>
        </is>
      </c>
      <c r="B7" t="inlineStr">
        <is>
          <t>Kota Bekasi</t>
        </is>
      </c>
      <c r="C7" t="inlineStr">
        <is>
          <t>081215557381</t>
        </is>
      </c>
      <c r="D7" t="inlineStr">
        <is>
          <t>cahyaarifsamudra@gmail.com</t>
        </is>
      </c>
      <c r="E7" t="inlineStr">
        <is>
          <t>https://lpjk.pu.go.id/search-badan-usaha-detail/SExQbkdTNEFZVGZQRDE4WW0vZDBFdz09</t>
        </is>
      </c>
      <c r="F7" t="n">
        <v>3</v>
      </c>
      <c r="G7" t="inlineStr">
        <is>
          <t>BG005, BG006, BG009</t>
        </is>
      </c>
      <c r="H7" t="inlineStr">
        <is>
          <t>2 September 2021</t>
        </is>
      </c>
      <c r="I7" s="2" t="n">
        <v>46270</v>
      </c>
      <c r="J7" t="inlineStr">
        <is>
          <t>Pencabutan</t>
        </is>
      </c>
      <c r="K7" t="n">
        <v>60</v>
      </c>
      <c r="L7" t="inlineStr">
        <is>
          <t>5 September 2026</t>
        </is>
      </c>
      <c r="M7" t="inlineStr">
        <is>
          <t>Konstruksi Gedung Kesehatan, Konstruksi Gedung Lainnya, Konstruksi Gedung Pendidikan</t>
        </is>
      </c>
      <c r="N7" t="inlineStr">
        <is>
          <t>K</t>
        </is>
      </c>
      <c r="O7" t="inlineStr">
        <is>
          <t>20230718</t>
        </is>
      </c>
      <c r="P7" t="inlineStr">
        <is>
          <t>Jawa Barat</t>
        </is>
      </c>
      <c r="Q7" s="3">
        <f>HYPERLINK("https://wa.me/6281215557381?text=*[PENGINGAT MASA BERLAKU SBU CAHYA ARIF SAMUDRA]*%0A%0AYth. Pimpinan CAHYA ARIF SAMUDRA,%0AMohon izin menginformasikan status SBU Anda di sistem LPJK:%0A%0A📄 SBU: BG005, BG006, BG009%0A📅 Expired: 5 September 2026 (60 Hari Lagi)%0A%0AKami tim PT. ESDEA Assistance Management siap men-support proses perpanjangan segera agar administrasi proyek tidak terhambat%0A%0AApakah boleh saya bantu siapkan estimasi biaya dan waktu pengerjaannya?.", "Hubungi")</f>
        <v/>
      </c>
    </row>
    <row r="8">
      <c r="A8" t="inlineStr">
        <is>
          <t>GALAS MANDIRI JAYA</t>
        </is>
      </c>
      <c r="B8" t="inlineStr">
        <is>
          <t>Kab. Bekasi</t>
        </is>
      </c>
      <c r="C8" t="inlineStr">
        <is>
          <t>-</t>
        </is>
      </c>
      <c r="D8" t="inlineStr">
        <is>
          <t>galas.mandiri7@gmail.com</t>
        </is>
      </c>
      <c r="E8" t="inlineStr">
        <is>
          <t>https://lpjk.pu.go.id/search-badan-usaha-detail/L2lmQVRQU0s2RjFwSWRxcUNSVXRXZz09</t>
        </is>
      </c>
      <c r="F8" t="n">
        <v>4</v>
      </c>
      <c r="G8" t="inlineStr">
        <is>
          <t>BG009, BS001, BS002, BS004</t>
        </is>
      </c>
      <c r="H8" t="inlineStr">
        <is>
          <t>23 April 2021</t>
        </is>
      </c>
      <c r="I8" s="2" t="n">
        <v>46270</v>
      </c>
      <c r="J8" t="inlineStr">
        <is>
          <t>Pencabutan</t>
        </is>
      </c>
      <c r="K8" t="n">
        <v>60</v>
      </c>
      <c r="L8" t="inlineStr">
        <is>
          <t>5 September 2026</t>
        </is>
      </c>
      <c r="M8" t="inlineStr">
        <is>
          <t>Bangunan Sipil Jembatan, Jalan Layang, Fly Over, dan Underpass, Konstruksi Bangunan Sipil Jalan, Konstruksi Gedung Lainnya, Konstruksi Jaringan Irigasi dan Drainase</t>
        </is>
      </c>
      <c r="N8" t="inlineStr">
        <is>
          <t>K</t>
        </is>
      </c>
      <c r="O8" t="inlineStr">
        <is>
          <t>20230830, 20230831</t>
        </is>
      </c>
      <c r="P8" t="inlineStr">
        <is>
          <t>Jawa Barat</t>
        </is>
      </c>
      <c r="Q8" t="inlineStr"/>
    </row>
    <row r="9">
      <c r="A9" t="inlineStr">
        <is>
          <t>MATAHARI</t>
        </is>
      </c>
      <c r="B9" t="inlineStr">
        <is>
          <t>Kab. Bekasi</t>
        </is>
      </c>
      <c r="C9" t="inlineStr">
        <is>
          <t>082111444416</t>
        </is>
      </c>
      <c r="D9" t="inlineStr">
        <is>
          <t>matahari_cikarang@yahoo.com</t>
        </is>
      </c>
      <c r="E9" t="inlineStr">
        <is>
          <t>https://lpjk.pu.go.id/search-badan-usaha-detail/SHV0NTdlOFN1eWtvOWJwbUtzZTd6QT09</t>
        </is>
      </c>
      <c r="F9" t="n">
        <v>2</v>
      </c>
      <c r="G9" t="inlineStr">
        <is>
          <t>BS002</t>
        </is>
      </c>
      <c r="H9" t="inlineStr">
        <is>
          <t>13 Januari 1982</t>
        </is>
      </c>
      <c r="I9" s="2" t="n">
        <v>46270</v>
      </c>
      <c r="J9" t="inlineStr">
        <is>
          <t>Disetujui</t>
        </is>
      </c>
      <c r="K9" t="n">
        <v>60</v>
      </c>
      <c r="L9" t="inlineStr">
        <is>
          <t>5 September 2026</t>
        </is>
      </c>
      <c r="M9" t="inlineStr">
        <is>
          <t>Bangunan Sipil Jembatan, Jalan Layang, Fly Over, dan Underpass</t>
        </is>
      </c>
      <c r="N9" t="inlineStr">
        <is>
          <t>K</t>
        </is>
      </c>
      <c r="O9" t="inlineStr">
        <is>
          <t>20230726</t>
        </is>
      </c>
      <c r="P9" t="inlineStr">
        <is>
          <t>Jawa Barat</t>
        </is>
      </c>
      <c r="Q9" s="3">
        <f>HYPERLINK("https://wa.me/6282111444416?text=*[PENGINGAT MASA BERLAKU SBU MATAHARI]*%0A%0AYth. Pimpinan MATAHARI,%0AMohon izin menginformasikan status SBU Anda di sistem LPJK:%0A%0A📄 SBU: BS002%0A📅 Expired: 5 September 2026 (60 Hari Lagi)%0A%0AKami tim PT. ESDEA Assistance Management siap men-support proses perpanjangan segera agar administrasi proyek tidak terhambat%0A%0AApakah boleh saya bantu siapkan estimasi biaya dan waktu pengerjaannya?.", "Hubungi")</f>
        <v/>
      </c>
    </row>
    <row r="10">
      <c r="A10" t="inlineStr">
        <is>
          <t>MEGA MUSTIKA KONSTRUKSI</t>
        </is>
      </c>
      <c r="B10" t="inlineStr">
        <is>
          <t>Kota Adm. Jakarta Timur</t>
        </is>
      </c>
      <c r="C10" t="inlineStr">
        <is>
          <t>02186615177</t>
        </is>
      </c>
      <c r="D10" t="inlineStr">
        <is>
          <t>megamustikakonstruksi@gmail.com</t>
        </is>
      </c>
      <c r="E10" t="inlineStr">
        <is>
          <t>https://lpjk.pu.go.id/search-badan-usaha-detail/K2JVdExVY1dKUmxBRUk4eXNXaklFUT09</t>
        </is>
      </c>
      <c r="F10" t="n">
        <v>1</v>
      </c>
      <c r="G10" t="inlineStr">
        <is>
          <t>BS001</t>
        </is>
      </c>
      <c r="H10" t="inlineStr">
        <is>
          <t>30 Oktober 2018</t>
        </is>
      </c>
      <c r="I10" s="2" t="n">
        <v>46270</v>
      </c>
      <c r="J10" t="inlineStr">
        <is>
          <t>Disetujui</t>
        </is>
      </c>
      <c r="K10" t="n">
        <v>60</v>
      </c>
      <c r="L10" t="inlineStr">
        <is>
          <t>5 September 2026</t>
        </is>
      </c>
      <c r="M10" t="inlineStr">
        <is>
          <t>Konstruksi Bangunan Sipil Jalan</t>
        </is>
      </c>
      <c r="N10" t="inlineStr">
        <is>
          <t>K</t>
        </is>
      </c>
      <c r="O10" t="inlineStr">
        <is>
          <t>20230905</t>
        </is>
      </c>
      <c r="P10" t="inlineStr">
        <is>
          <t>DKI Jakarta</t>
        </is>
      </c>
      <c r="Q10" t="inlineStr"/>
    </row>
    <row r="11">
      <c r="A11" t="inlineStr">
        <is>
          <t>MITRA LANGGENG INDONESIA</t>
        </is>
      </c>
      <c r="B11" t="inlineStr">
        <is>
          <t>Kab. Bogor</t>
        </is>
      </c>
      <c r="C11" t="inlineStr">
        <is>
          <t>085695391160</t>
        </is>
      </c>
      <c r="D11" t="inlineStr">
        <is>
          <t>pt.mitralanggengindonesia@gmail.com</t>
        </is>
      </c>
      <c r="E11" t="inlineStr">
        <is>
          <t>https://lpjk.pu.go.id/search-badan-usaha-detail/OXcyYk9CNXJKUE05dUJ2d1Q3VytjZz09</t>
        </is>
      </c>
      <c r="F11" t="n">
        <v>1</v>
      </c>
      <c r="G11" t="inlineStr">
        <is>
          <t>IN011</t>
        </is>
      </c>
      <c r="H11" t="inlineStr">
        <is>
          <t>27 April 2022</t>
        </is>
      </c>
      <c r="I11" s="2" t="n">
        <v>46270</v>
      </c>
      <c r="J11" t="inlineStr">
        <is>
          <t>Pembekuan</t>
        </is>
      </c>
      <c r="K11" t="n">
        <v>60</v>
      </c>
      <c r="L11" t="inlineStr">
        <is>
          <t>5 September 2026</t>
        </is>
      </c>
      <c r="M11" t="inlineStr">
        <is>
          <t>Instalasi Sinyal dan Rambu-rambu Jalan Raya</t>
        </is>
      </c>
      <c r="N11" t="inlineStr">
        <is>
          <t>Spesialis</t>
        </is>
      </c>
      <c r="O11" t="inlineStr">
        <is>
          <t>20230904</t>
        </is>
      </c>
      <c r="P11" t="inlineStr">
        <is>
          <t>Jawa Barat</t>
        </is>
      </c>
      <c r="Q11" s="3">
        <f>HYPERLINK("https://wa.me/6285695391160?text=*[PENGINGAT MASA BERLAKU SBU MITRA LANGGENG INDONESIA]*%0A%0AYth. Pimpinan MITRA LANGGENG INDONESIA,%0AMohon izin menginformasikan status SBU Anda di sistem LPJK:%0A%0A📄 SBU: IN011%0A📅 Expired: 5 September 2026 (60 Hari Lagi)%0A%0AKami tim PT. ESDEA Assistance Management siap men-support proses perpanjangan segera agar administrasi proyek tidak terhambat%0A%0AApakah boleh saya bantu siapkan estimasi biaya dan waktu pengerjaannya?.", "Hubungi")</f>
        <v/>
      </c>
    </row>
    <row r="12">
      <c r="A12" t="inlineStr">
        <is>
          <t>NARADA ANDALAN JAYA</t>
        </is>
      </c>
      <c r="B12" t="inlineStr">
        <is>
          <t>Kota Adm. Jakarta Timur</t>
        </is>
      </c>
      <c r="C12" t="inlineStr">
        <is>
          <t>08158202265</t>
        </is>
      </c>
      <c r="D12" t="inlineStr">
        <is>
          <t>naradaandalanjaya.pt@gmail.com</t>
        </is>
      </c>
      <c r="E12" t="inlineStr">
        <is>
          <t>https://lpjk.pu.go.id/search-badan-usaha-detail/L2EyU3FvOEdyWnhJc2lZNUdlOHI0dz09</t>
        </is>
      </c>
      <c r="F12" t="n">
        <v>2</v>
      </c>
      <c r="G12" t="inlineStr">
        <is>
          <t>BG003, BG009</t>
        </is>
      </c>
      <c r="H12" t="inlineStr">
        <is>
          <t>14 Februari 2020</t>
        </is>
      </c>
      <c r="I12" s="2" t="n">
        <v>46270</v>
      </c>
      <c r="J12" t="inlineStr">
        <is>
          <t>Disetujui</t>
        </is>
      </c>
      <c r="K12" t="n">
        <v>60</v>
      </c>
      <c r="L12" t="inlineStr">
        <is>
          <t>5 September 2026</t>
        </is>
      </c>
      <c r="M12" t="inlineStr">
        <is>
          <t>Konstruksi Gedung Industri, Konstruksi Gedung Lainnya</t>
        </is>
      </c>
      <c r="N12" t="inlineStr">
        <is>
          <t>K</t>
        </is>
      </c>
      <c r="O12" t="inlineStr">
        <is>
          <t>20230906</t>
        </is>
      </c>
      <c r="P12" t="inlineStr">
        <is>
          <t>DKI Jakarta</t>
        </is>
      </c>
      <c r="Q12" s="3">
        <f>HYPERLINK("https://wa.me/628158202265?text=*[PENGINGAT MASA BERLAKU SBU NARADA ANDALAN JAYA]*%0A%0AYth. Pimpinan NARADA ANDALAN JAYA,%0AMohon izin menginformasikan status SBU Anda di sistem LPJK:%0A%0A📄 SBU: BG003, BG009%0A📅 Expired: 5 September 2026 (60 Hari Lagi)%0A%0AKami tim PT. ESDEA Assistance Management siap men-support proses perpanjangan segera agar administrasi proyek tidak terhambat%0A%0AApakah boleh saya bantu siapkan estimasi biaya dan waktu pengerjaannya?.", "Hubungi")</f>
        <v/>
      </c>
    </row>
    <row r="13">
      <c r="A13" t="inlineStr">
        <is>
          <t>PERUSAHAAN PERSEROAN (PERSERO) PT. HUTAMA KARYA</t>
        </is>
      </c>
      <c r="B13" t="inlineStr">
        <is>
          <t>Kota Adm. Jakarta Timur</t>
        </is>
      </c>
      <c r="C13" t="inlineStr">
        <is>
          <t>0218193708</t>
        </is>
      </c>
      <c r="D13" t="inlineStr">
        <is>
          <t>pthk@hutamakarya.com</t>
        </is>
      </c>
      <c r="E13" t="inlineStr">
        <is>
          <t>https://lpjk.pu.go.id/search-badan-usaha-detail/TE1nYjBDd0dtOWR1MTRtTjcwVFgrdz09</t>
        </is>
      </c>
      <c r="F13" t="n">
        <v>1</v>
      </c>
      <c r="G13" t="inlineStr">
        <is>
          <t>BG003</t>
        </is>
      </c>
      <c r="H13" t="inlineStr">
        <is>
          <t>5 Maret 1973</t>
        </is>
      </c>
      <c r="I13" s="2" t="n">
        <v>46270</v>
      </c>
      <c r="J13" t="inlineStr">
        <is>
          <t>Disetujui</t>
        </is>
      </c>
      <c r="K13" t="n">
        <v>60</v>
      </c>
      <c r="L13" t="inlineStr">
        <is>
          <t>5 September 2026</t>
        </is>
      </c>
      <c r="M13" t="inlineStr">
        <is>
          <t>Konstruksi Gedung Industri</t>
        </is>
      </c>
      <c r="N13" t="inlineStr">
        <is>
          <t>B</t>
        </is>
      </c>
      <c r="O13" t="inlineStr">
        <is>
          <t>20230530</t>
        </is>
      </c>
      <c r="P13" t="inlineStr">
        <is>
          <t>DKI Jakarta</t>
        </is>
      </c>
      <c r="Q13" t="inlineStr"/>
    </row>
    <row r="14">
      <c r="A14" t="inlineStr">
        <is>
          <t>PLASTIKATAMA TEKNOLOGI INDUSTRI</t>
        </is>
      </c>
      <c r="B14" t="inlineStr">
        <is>
          <t>Kab. Bekasi</t>
        </is>
      </c>
      <c r="C14" t="inlineStr">
        <is>
          <t>081317934511</t>
        </is>
      </c>
      <c r="D14" t="inlineStr">
        <is>
          <t>zuraida0601@gmail.com</t>
        </is>
      </c>
      <c r="E14" t="inlineStr">
        <is>
          <t>https://lpjk.pu.go.id/search-badan-usaha-detail/bTIrMjJUdUtNc0E0SGdDbU9oeGEwQT09</t>
        </is>
      </c>
      <c r="F14" t="n">
        <v>1</v>
      </c>
      <c r="G14" t="inlineStr">
        <is>
          <t>IN001</t>
        </is>
      </c>
      <c r="H14" t="inlineStr">
        <is>
          <t>10 Januari 2002</t>
        </is>
      </c>
      <c r="I14" s="2" t="n">
        <v>46270</v>
      </c>
      <c r="J14" t="inlineStr">
        <is>
          <t>Pembekuan</t>
        </is>
      </c>
      <c r="K14" t="n">
        <v>60</v>
      </c>
      <c r="L14" t="inlineStr">
        <is>
          <t>5 September 2026</t>
        </is>
      </c>
      <c r="M14" t="inlineStr">
        <is>
          <t>Instalasi Mekanikal</t>
        </is>
      </c>
      <c r="N14" t="inlineStr">
        <is>
          <t>Spesialis</t>
        </is>
      </c>
      <c r="O14" t="inlineStr">
        <is>
          <t>20230905</t>
        </is>
      </c>
      <c r="P14" t="inlineStr">
        <is>
          <t>Jawa Barat</t>
        </is>
      </c>
      <c r="Q14" s="3">
        <f>HYPERLINK("https://wa.me/6281317934511?text=*[PENGINGAT MASA BERLAKU SBU PLASTIKATAMA TEKNOLOGI INDUSTRI]*%0A%0AYth. Pimpinan PLASTIKATAMA TEKNOLOGI INDUSTRI,%0AMohon izin menginformasikan status SBU Anda di sistem LPJK:%0A%0A📄 SBU: IN001%0A📅 Expired: 5 September 2026 (60 Hari Lagi)%0A%0AKami tim PT. ESDEA Assistance Management siap men-support proses perpanjangan segera agar administrasi proyek tidak terhambat%0A%0AApakah boleh saya bantu siapkan estimasi biaya dan waktu pengerjaannya?.", "Hubungi")</f>
        <v/>
      </c>
    </row>
    <row r="15">
      <c r="A15" t="inlineStr">
        <is>
          <t>SATIA JAYA UNGGUL</t>
        </is>
      </c>
      <c r="B15" t="inlineStr">
        <is>
          <t>Kota Bekasi</t>
        </is>
      </c>
      <c r="C15" t="inlineStr">
        <is>
          <t>08156051991</t>
        </is>
      </c>
      <c r="D15" t="inlineStr">
        <is>
          <t>sjuroof2015@gmail.com</t>
        </is>
      </c>
      <c r="E15" t="inlineStr">
        <is>
          <t>https://lpjk.pu.go.id/search-badan-usaha-detail/djhDQlBnWlpkQzNVTGs2aXJ6WTVhZz09</t>
        </is>
      </c>
      <c r="F15" t="n">
        <v>5</v>
      </c>
      <c r="G15" t="inlineStr">
        <is>
          <t>BG001, BG002, BG006, BG008, BG009</t>
        </is>
      </c>
      <c r="H15" t="inlineStr">
        <is>
          <t>16 Januari 2015</t>
        </is>
      </c>
      <c r="I15" s="2" t="n">
        <v>46270</v>
      </c>
      <c r="J15" t="inlineStr">
        <is>
          <t>Disetujui</t>
        </is>
      </c>
      <c r="K15" t="n">
        <v>60</v>
      </c>
      <c r="L15" t="inlineStr">
        <is>
          <t>5 September 2026</t>
        </is>
      </c>
      <c r="M15" t="inlineStr">
        <is>
          <t>Konstruksi Gedung Hunian, Konstruksi Gedung Lainnya, Konstruksi Gedung Pendidikan, Konstruksi Gedung Perkantoran, Konstruksi Gedung Tempat Hiburan dan Olahraga</t>
        </is>
      </c>
      <c r="N15" t="inlineStr">
        <is>
          <t>K</t>
        </is>
      </c>
      <c r="O15" t="inlineStr">
        <is>
          <t>20230823</t>
        </is>
      </c>
      <c r="P15" t="inlineStr">
        <is>
          <t>Jawa Barat</t>
        </is>
      </c>
      <c r="Q15" s="3">
        <f>HYPERLINK("https://wa.me/628156051991?text=*[PENGINGAT MASA BERLAKU SBU SATIA JAYA UNGGUL]*%0A%0AYth. Pimpinan SATIA JAYA UNGGUL,%0AMohon izin menginformasikan status SBU Anda di sistem LPJK:%0A%0A📄 SBU: BG001, BG002, BG006, BG008, BG009%0A📅 Expired: 5 September 2026 (60 Hari Lagi)%0A%0AKami tim PT. ESDEA Assistance Management siap men-support proses perpanjangan segera agar administrasi proyek tidak terhambat%0A%0AApakah boleh saya bantu siapkan estimasi biaya dan waktu pengerjaannya?.", "Hubungi")</f>
        <v/>
      </c>
    </row>
    <row r="16">
      <c r="A16" t="inlineStr">
        <is>
          <t>SEKAWAN SENANTIASA SEJAHTERA ENGINEERING</t>
        </is>
      </c>
      <c r="B16" t="inlineStr">
        <is>
          <t>Kota Depok</t>
        </is>
      </c>
      <c r="C16" t="inlineStr">
        <is>
          <t>02129836915</t>
        </is>
      </c>
      <c r="D16" t="inlineStr">
        <is>
          <t>3se.legal@gmail.com</t>
        </is>
      </c>
      <c r="E16" t="inlineStr">
        <is>
          <t>https://lpjk.pu.go.id/search-badan-usaha-detail/SU9XR3R1TkF2YUNubkFPSWFLcVIxdz09</t>
        </is>
      </c>
      <c r="F16" t="n">
        <v>2</v>
      </c>
      <c r="G16" t="inlineStr">
        <is>
          <t>RT003</t>
        </is>
      </c>
      <c r="H16" t="inlineStr">
        <is>
          <t>3 Mei 2016</t>
        </is>
      </c>
      <c r="I16" s="2" t="n">
        <v>46270</v>
      </c>
      <c r="J16" t="inlineStr">
        <is>
          <t>Disetujui</t>
        </is>
      </c>
      <c r="K16" t="n">
        <v>60</v>
      </c>
      <c r="L16" t="inlineStr">
        <is>
          <t>5 September 2026</t>
        </is>
      </c>
      <c r="M16" t="inlineStr">
        <is>
          <t>Jasa Rekayasa Konstruksi Proses Industrial, Produksi, dan Fasilitas Produksi</t>
        </is>
      </c>
      <c r="N16" t="inlineStr">
        <is>
          <t>M</t>
        </is>
      </c>
      <c r="O16" t="inlineStr">
        <is>
          <t>20230704</t>
        </is>
      </c>
      <c r="P16" t="inlineStr">
        <is>
          <t>Jawa Barat</t>
        </is>
      </c>
      <c r="Q16" t="inlineStr"/>
    </row>
    <row r="17">
      <c r="A17" t="inlineStr">
        <is>
          <t>SROJA INTI PERSADA</t>
        </is>
      </c>
      <c r="B17" t="inlineStr">
        <is>
          <t>Kota Depok</t>
        </is>
      </c>
      <c r="C17" t="inlineStr">
        <is>
          <t>082311331973</t>
        </is>
      </c>
      <c r="D17" t="inlineStr">
        <is>
          <t>cvsrojaintipersada@gmail.com</t>
        </is>
      </c>
      <c r="E17" t="inlineStr">
        <is>
          <t>https://lpjk.pu.go.id/search-badan-usaha-detail/cHdzOHhneWVwMTVrMGVCb1hSYmZPdz09</t>
        </is>
      </c>
      <c r="F17" t="n">
        <v>4</v>
      </c>
      <c r="G17" t="inlineStr">
        <is>
          <t>BG001, BG004, BG006, BG009</t>
        </is>
      </c>
      <c r="H17" t="inlineStr">
        <is>
          <t>26 Januari 2015</t>
        </is>
      </c>
      <c r="I17" s="2" t="n">
        <v>46270</v>
      </c>
      <c r="J17" t="inlineStr">
        <is>
          <t>Disetujui</t>
        </is>
      </c>
      <c r="K17" t="n">
        <v>60</v>
      </c>
      <c r="L17" t="inlineStr">
        <is>
          <t>5 September 2026</t>
        </is>
      </c>
      <c r="M17" t="inlineStr">
        <is>
          <t>Konstruksi Gedung Hunian, Konstruksi Gedung Lainnya, Konstruksi Gedung Pendidikan, Konstruksi Gedung Perbelanjaan</t>
        </is>
      </c>
      <c r="N17" t="inlineStr">
        <is>
          <t>K</t>
        </is>
      </c>
      <c r="O17" t="inlineStr">
        <is>
          <t>20230905, 20230906</t>
        </is>
      </c>
      <c r="P17" t="inlineStr">
        <is>
          <t>Jawa Barat</t>
        </is>
      </c>
      <c r="Q17" s="3">
        <f>HYPERLINK("https://wa.me/6282311331973?text=*[PENGINGAT MASA BERLAKU SBU SROJA INTI PERSADA]*%0A%0AYth. Pimpinan SROJA INTI PERSADA,%0AMohon izin menginformasikan status SBU Anda di sistem LPJK:%0A%0A📄 SBU: BG001, BG004, BG006, BG009%0A📅 Expired: 5 September 2026 (60 Hari Lagi)%0A%0AKami tim PT. ESDEA Assistance Management siap men-support proses perpanjangan segera agar administrasi proyek tidak terhambat%0A%0AApakah boleh saya bantu siapkan estimasi biaya dan waktu pengerjaannya?.", "Hubungi")</f>
        <v/>
      </c>
    </row>
    <row r="18">
      <c r="A18" t="inlineStr">
        <is>
          <t>TEGAR</t>
        </is>
      </c>
      <c r="B18" t="inlineStr">
        <is>
          <t>Kab. Bogor</t>
        </is>
      </c>
      <c r="C18" t="inlineStr">
        <is>
          <t>081317070273</t>
        </is>
      </c>
      <c r="D18" t="inlineStr">
        <is>
          <t>cvtegar.21@gmail.com</t>
        </is>
      </c>
      <c r="E18" t="inlineStr">
        <is>
          <t>https://lpjk.pu.go.id/search-badan-usaha-detail/YWVzZXFFWklkclZ5d2paU2RTUUFGZz09</t>
        </is>
      </c>
      <c r="F18" t="n">
        <v>2</v>
      </c>
      <c r="G18" t="inlineStr">
        <is>
          <t>BG006, BS004</t>
        </is>
      </c>
      <c r="H18" t="inlineStr">
        <is>
          <t>30 Maret 2012</t>
        </is>
      </c>
      <c r="I18" s="2" t="n">
        <v>46270</v>
      </c>
      <c r="J18" t="inlineStr">
        <is>
          <t>Disetujui</t>
        </is>
      </c>
      <c r="K18" t="n">
        <v>60</v>
      </c>
      <c r="L18" t="inlineStr">
        <is>
          <t>5 September 2026</t>
        </is>
      </c>
      <c r="M18" t="inlineStr">
        <is>
          <t>Konstruksi Gedung Pendidikan, Konstruksi Jaringan Irigasi dan Drainase</t>
        </is>
      </c>
      <c r="N18" t="inlineStr">
        <is>
          <t>K</t>
        </is>
      </c>
      <c r="O18" t="inlineStr">
        <is>
          <t>20230831</t>
        </is>
      </c>
      <c r="P18" t="inlineStr">
        <is>
          <t>Jawa Barat</t>
        </is>
      </c>
      <c r="Q18" s="3">
        <f>HYPERLINK("https://wa.me/6281317070273?text=*[PENGINGAT MASA BERLAKU SBU TEGAR]*%0A%0AYth. Pimpinan TEGAR,%0AMohon izin menginformasikan status SBU Anda di sistem LPJK:%0A%0A📄 SBU: BG006, BS004%0A📅 Expired: 5 September 2026 (60 Hari Lagi)%0A%0AKami tim PT. ESDEA Assistance Management siap men-support proses perpanjangan segera agar administrasi proyek tidak terhambat%0A%0AApakah boleh saya bantu siapkan estimasi biaya dan waktu pengerjaannya?.", "Hubungi")</f>
        <v/>
      </c>
    </row>
    <row r="19">
      <c r="A19" t="inlineStr">
        <is>
          <t>TEKNO MAJU JAKARTA</t>
        </is>
      </c>
      <c r="B19" t="inlineStr">
        <is>
          <t>Kota Adm. Jakarta Timur</t>
        </is>
      </c>
      <c r="C19" t="inlineStr">
        <is>
          <t>082272439207</t>
        </is>
      </c>
      <c r="D19" t="inlineStr">
        <is>
          <t>pt.teknomajujakarta@gmail.com</t>
        </is>
      </c>
      <c r="E19" t="inlineStr">
        <is>
          <t>https://lpjk.pu.go.id/search-badan-usaha-detail/OXhjU1gyN1V1c21ndjAvWnNKUGxOUT09</t>
        </is>
      </c>
      <c r="F19" t="n">
        <v>1</v>
      </c>
      <c r="G19" t="inlineStr">
        <is>
          <t>BG009</t>
        </is>
      </c>
      <c r="H19" t="inlineStr">
        <is>
          <t>20 Maret 2019</t>
        </is>
      </c>
      <c r="I19" s="2" t="n">
        <v>46270</v>
      </c>
      <c r="J19" t="inlineStr">
        <is>
          <t>Disetujui</t>
        </is>
      </c>
      <c r="K19" t="n">
        <v>60</v>
      </c>
      <c r="L19" t="inlineStr">
        <is>
          <t>5 September 2026</t>
        </is>
      </c>
      <c r="M19" t="inlineStr">
        <is>
          <t>Konstruksi Gedung Lainnya</t>
        </is>
      </c>
      <c r="N19" t="inlineStr">
        <is>
          <t>K</t>
        </is>
      </c>
      <c r="O19" t="inlineStr">
        <is>
          <t>20230904</t>
        </is>
      </c>
      <c r="P19" t="inlineStr">
        <is>
          <t>DKI Jakarta</t>
        </is>
      </c>
      <c r="Q19" s="3">
        <f>HYPERLINK("https://wa.me/6282272439207?text=*[PENGINGAT MASA BERLAKU SBU TEKNO MAJU JAKARTA]*%0A%0AYth. Pimpinan TEKNO MAJU JAKARTA,%0AMohon izin menginformasikan status SBU Anda di sistem LPJK:%0A%0A📄 SBU: BG009%0A📅 Expired: 5 September 2026 (60 Hari Lagi)%0A%0AKami tim PT. ESDEA Assistance Management siap men-support proses perpanjangan segera agar administrasi proyek tidak terhambat%0A%0AApakah boleh saya bantu siapkan estimasi biaya dan waktu pengerjaannya?.", "Hubungi")</f>
        <v/>
      </c>
    </row>
    <row r="20">
      <c r="A20" t="inlineStr">
        <is>
          <t>TELAGA INSAN MULIA</t>
        </is>
      </c>
      <c r="B20" t="inlineStr">
        <is>
          <t>Kota Adm. Jakarta Timur</t>
        </is>
      </c>
      <c r="C20" t="inlineStr">
        <is>
          <t>081295083550</t>
        </is>
      </c>
      <c r="D20" t="inlineStr">
        <is>
          <t>telagainsanmulia@gmail.com</t>
        </is>
      </c>
      <c r="E20" t="inlineStr">
        <is>
          <t>https://lpjk.pu.go.id/search-badan-usaha-detail/VVRPNmV5M01XZUUydzFQNnp4Rzg3Zz09</t>
        </is>
      </c>
      <c r="F20" t="n">
        <v>1</v>
      </c>
      <c r="G20" t="inlineStr">
        <is>
          <t>BG006</t>
        </is>
      </c>
      <c r="H20" t="inlineStr">
        <is>
          <t>4 Mei 2023</t>
        </is>
      </c>
      <c r="I20" s="2" t="n">
        <v>46270</v>
      </c>
      <c r="J20" t="inlineStr">
        <is>
          <t>Disetujui</t>
        </is>
      </c>
      <c r="K20" t="n">
        <v>60</v>
      </c>
      <c r="L20" t="inlineStr">
        <is>
          <t>5 September 2026</t>
        </is>
      </c>
      <c r="M20" t="inlineStr">
        <is>
          <t>Konstruksi Gedung Pendidikan</t>
        </is>
      </c>
      <c r="N20" t="inlineStr">
        <is>
          <t>K</t>
        </is>
      </c>
      <c r="O20" t="inlineStr">
        <is>
          <t>20230904</t>
        </is>
      </c>
      <c r="P20" t="inlineStr">
        <is>
          <t>DKI Jakarta</t>
        </is>
      </c>
      <c r="Q20" s="3">
        <f>HYPERLINK("https://wa.me/6281295083550?text=*[PENGINGAT MASA BERLAKU SBU TELAGA INSAN MULIA]*%0A%0AYth. Pimpinan TELAGA INSAN MULIA,%0AMohon izin menginformasikan status SBU Anda di sistem LPJK:%0A%0A📄 SBU: BG006%0A📅 Expired: 5 September 2026 (60 Hari Lagi)%0A%0AKami tim PT. ESDEA Assistance Management siap men-support proses perpanjangan segera agar administrasi proyek tidak terhambat%0A%0AApakah boleh saya bantu siapkan estimasi biaya dan waktu pengerjaannya?.", "Hubungi")</f>
        <v/>
      </c>
    </row>
    <row r="21">
      <c r="A21" t="inlineStr">
        <is>
          <t>WASA MITRA ENGINEERING</t>
        </is>
      </c>
      <c r="B21" t="inlineStr">
        <is>
          <t>Kota Adm. Jakarta Timur</t>
        </is>
      </c>
      <c r="C21" t="inlineStr">
        <is>
          <t>0214604968</t>
        </is>
      </c>
      <c r="D21" t="inlineStr">
        <is>
          <t>wme@wasamitra.co.id</t>
        </is>
      </c>
      <c r="E21" t="inlineStr">
        <is>
          <t>https://lpjk.pu.go.id/search-badan-usaha-detail/eURPTTh6bG56L1VQenBGOTZUZTZEZz09</t>
        </is>
      </c>
      <c r="F21" t="n">
        <v>1</v>
      </c>
      <c r="G21" t="inlineStr">
        <is>
          <t>BG003</t>
        </is>
      </c>
      <c r="H21" t="inlineStr">
        <is>
          <t>25 September 1975</t>
        </is>
      </c>
      <c r="I21" s="2" t="n">
        <v>46270</v>
      </c>
      <c r="J21" t="inlineStr">
        <is>
          <t>Disetujui</t>
        </is>
      </c>
      <c r="K21" t="n">
        <v>60</v>
      </c>
      <c r="L21" t="inlineStr">
        <is>
          <t>5 September 2026</t>
        </is>
      </c>
      <c r="M21" t="inlineStr">
        <is>
          <t>Konstruksi Gedung Industri</t>
        </is>
      </c>
      <c r="N21" t="inlineStr">
        <is>
          <t>K</t>
        </is>
      </c>
      <c r="O21" t="inlineStr">
        <is>
          <t>20230801</t>
        </is>
      </c>
      <c r="P21" t="inlineStr">
        <is>
          <t>DKI Jakarta</t>
        </is>
      </c>
      <c r="Q21" t="inlineStr"/>
    </row>
    <row r="22">
      <c r="A22" t="inlineStr">
        <is>
          <t>ABBASY DAYATAMA</t>
        </is>
      </c>
      <c r="B22" t="inlineStr">
        <is>
          <t>Kab. Natuna</t>
        </is>
      </c>
      <c r="C22" t="inlineStr">
        <is>
          <t>082283413232</t>
        </is>
      </c>
      <c r="D22" t="inlineStr">
        <is>
          <t>abbasydayatama@gmail.com</t>
        </is>
      </c>
      <c r="E22" t="inlineStr">
        <is>
          <t>https://lpjk.pu.go.id/search-badan-usaha-detail/OS9VVzF0Y00vVDFmamV6NlZCOGJoZz09</t>
        </is>
      </c>
      <c r="F22" t="n">
        <v>4</v>
      </c>
      <c r="G22" t="inlineStr">
        <is>
          <t>RK001, RK003</t>
        </is>
      </c>
      <c r="H22" t="inlineStr">
        <is>
          <t>15 Januari 2019</t>
        </is>
      </c>
      <c r="I22" s="2" t="n">
        <v>46270</v>
      </c>
      <c r="J22" t="inlineStr">
        <is>
          <t>Disetujui</t>
        </is>
      </c>
      <c r="K22" t="n">
        <v>60</v>
      </c>
      <c r="L22" t="inlineStr">
        <is>
          <t>5 September 2026</t>
        </is>
      </c>
      <c r="M22" t="inlineStr">
        <is>
          <t>Jasa Rekayasa Konstruksi Bangunan Gedung Hunian dan Non Hunian, Jasa Rekayasa Pekerjaan Teknik Sipil Transportasi</t>
        </is>
      </c>
      <c r="N22" t="inlineStr">
        <is>
          <t>K</t>
        </is>
      </c>
      <c r="O22" t="inlineStr">
        <is>
          <t>20230816</t>
        </is>
      </c>
      <c r="P22" t="inlineStr">
        <is>
          <t>Kepulauan Riau</t>
        </is>
      </c>
      <c r="Q22" t="inlineStr"/>
    </row>
    <row r="23">
      <c r="A23" t="inlineStr">
        <is>
          <t>ABYAKTA KONSULTAN</t>
        </is>
      </c>
      <c r="B23" t="inlineStr">
        <is>
          <t>Kota Tasikmalaya</t>
        </is>
      </c>
      <c r="C23" t="inlineStr">
        <is>
          <t>082319228797</t>
        </is>
      </c>
      <c r="D23" t="inlineStr">
        <is>
          <t>cv.abyakta_konsultan@outlook.com</t>
        </is>
      </c>
      <c r="E23" t="inlineStr">
        <is>
          <t>https://lpjk.pu.go.id/search-badan-usaha-detail/ajgrM29lekpDMnhPMEpJM281NWFjZz09</t>
        </is>
      </c>
      <c r="F23" t="n">
        <v>3</v>
      </c>
      <c r="G23" t="inlineStr">
        <is>
          <t>AR001, AR002, AR003</t>
        </is>
      </c>
      <c r="H23" t="inlineStr">
        <is>
          <t>2 Juli 2019</t>
        </is>
      </c>
      <c r="I23" s="2" t="n">
        <v>46270</v>
      </c>
      <c r="J23" t="inlineStr">
        <is>
          <t>Pencabutan</t>
        </is>
      </c>
      <c r="K23" t="n">
        <v>60</v>
      </c>
      <c r="L23" t="inlineStr">
        <is>
          <t>5 September 2026</t>
        </is>
      </c>
      <c r="M23" t="inlineStr">
        <is>
          <t>Jasa Arsitektural Bangunan Gedung Hunian dan Non Hunian, Jasa Arsitektural Lainnya, Jasa Desain Interior pada Bangunan Gedung dan Bangunan Sipil</t>
        </is>
      </c>
      <c r="N23" t="inlineStr">
        <is>
          <t>K</t>
        </is>
      </c>
      <c r="O23" t="inlineStr">
        <is>
          <t>20230829</t>
        </is>
      </c>
      <c r="P23" t="inlineStr">
        <is>
          <t>Jawa Barat</t>
        </is>
      </c>
      <c r="Q23" t="inlineStr"/>
    </row>
    <row r="24">
      <c r="A24" t="inlineStr">
        <is>
          <t>ADE MITRA PRIMAH JAYA</t>
        </is>
      </c>
      <c r="B24" t="inlineStr">
        <is>
          <t>Kab. Pelalawan</t>
        </is>
      </c>
      <c r="C24" t="inlineStr">
        <is>
          <t>081363858101</t>
        </is>
      </c>
      <c r="D24" t="inlineStr">
        <is>
          <t>ptademitraprimahjaya@gmail.com</t>
        </is>
      </c>
      <c r="E24" t="inlineStr">
        <is>
          <t>https://lpjk.pu.go.id/search-badan-usaha-detail/YU9jVDRGaTR2eHFtcHZvdm9QTlU1Zz09</t>
        </is>
      </c>
      <c r="F24" t="n">
        <v>2</v>
      </c>
      <c r="G24" t="inlineStr">
        <is>
          <t>BG002, BG003</t>
        </is>
      </c>
      <c r="H24" t="inlineStr">
        <is>
          <t>9 Agustus 2021</t>
        </is>
      </c>
      <c r="I24" s="2" t="n">
        <v>46270</v>
      </c>
      <c r="J24" t="inlineStr">
        <is>
          <t>Disetujui</t>
        </is>
      </c>
      <c r="K24" t="n">
        <v>60</v>
      </c>
      <c r="L24" t="inlineStr">
        <is>
          <t>5 September 2026</t>
        </is>
      </c>
      <c r="M24" t="inlineStr">
        <is>
          <t>Konstruksi Gedung Industri, Konstruksi Gedung Perkantoran</t>
        </is>
      </c>
      <c r="N24" t="inlineStr">
        <is>
          <t>K</t>
        </is>
      </c>
      <c r="O24" t="inlineStr">
        <is>
          <t>20230901</t>
        </is>
      </c>
      <c r="P24" t="inlineStr">
        <is>
          <t>Riau</t>
        </is>
      </c>
      <c r="Q24" t="inlineStr"/>
    </row>
    <row r="25">
      <c r="A25" t="inlineStr">
        <is>
          <t>ADHIKARYA MULTI KREASI</t>
        </is>
      </c>
      <c r="B25" t="inlineStr">
        <is>
          <t>Kab. Banjar</t>
        </is>
      </c>
      <c r="C25" t="inlineStr">
        <is>
          <t>085349489677</t>
        </is>
      </c>
      <c r="D25" t="inlineStr">
        <is>
          <t>yurisamaulita@yahoo.co.id</t>
        </is>
      </c>
      <c r="E25" t="inlineStr">
        <is>
          <t>https://lpjk.pu.go.id/search-badan-usaha-detail/MFZ1aGUzdk5UdmI3cEU3OGlJNEYvZz09</t>
        </is>
      </c>
      <c r="F25" t="n">
        <v>3</v>
      </c>
      <c r="G25" t="inlineStr">
        <is>
          <t>RK003</t>
        </is>
      </c>
      <c r="H25" t="inlineStr">
        <is>
          <t>11 Januari 2019</t>
        </is>
      </c>
      <c r="I25" s="2" t="n">
        <v>46270</v>
      </c>
      <c r="J25" t="inlineStr">
        <is>
          <t>Disetujui</t>
        </is>
      </c>
      <c r="K25" t="n">
        <v>60</v>
      </c>
      <c r="L25" t="inlineStr">
        <is>
          <t>5 September 2026</t>
        </is>
      </c>
      <c r="M25" t="inlineStr">
        <is>
          <t>Jasa Rekayasa Pekerjaan Teknik Sipil Transportasi</t>
        </is>
      </c>
      <c r="N25" t="inlineStr">
        <is>
          <t>K</t>
        </is>
      </c>
      <c r="O25" t="inlineStr">
        <is>
          <t>20230822</t>
        </is>
      </c>
      <c r="P25" t="inlineStr">
        <is>
          <t>Kalimantan Selatan</t>
        </is>
      </c>
      <c r="Q25" t="inlineStr"/>
    </row>
    <row r="26">
      <c r="A26" t="inlineStr">
        <is>
          <t>ADRIAN &amp; SONS</t>
        </is>
      </c>
      <c r="B26" t="inlineStr">
        <is>
          <t>Kab. Bireuen</t>
        </is>
      </c>
      <c r="C26" t="inlineStr">
        <is>
          <t>081278544967</t>
        </is>
      </c>
      <c r="D26" t="inlineStr">
        <is>
          <t>cv.adrianandsons@gmail.com</t>
        </is>
      </c>
      <c r="E26" t="inlineStr">
        <is>
          <t>https://lpjk.pu.go.id/search-badan-usaha-detail/c2o4dGNOVGxoQndBQmdodkpsSVpSZz09</t>
        </is>
      </c>
      <c r="F26" t="n">
        <v>3</v>
      </c>
      <c r="G26" t="inlineStr">
        <is>
          <t>PB003, PB004, PL005</t>
        </is>
      </c>
      <c r="H26" t="inlineStr">
        <is>
          <t>25 September 2010</t>
        </is>
      </c>
      <c r="I26" s="2" t="n">
        <v>46270</v>
      </c>
      <c r="J26" t="inlineStr">
        <is>
          <t>Disetujui</t>
        </is>
      </c>
      <c r="K26" t="n">
        <v>60</v>
      </c>
      <c r="L26" t="inlineStr">
        <is>
          <t>5 September 2026</t>
        </is>
      </c>
      <c r="M26" t="inlineStr">
        <is>
          <t>Dekorasi Interior, Pembuatan/Pengeboran Sumur Air Tanah, Pengerjaan Lantai, Dinding, Peralatan Saniter dan Plafon</t>
        </is>
      </c>
      <c r="N26" t="inlineStr">
        <is>
          <t>Spesialis</t>
        </is>
      </c>
      <c r="O26" t="inlineStr">
        <is>
          <t>20230904, 20230906</t>
        </is>
      </c>
      <c r="P26" t="inlineStr">
        <is>
          <t>Aceh</t>
        </is>
      </c>
      <c r="Q26" t="inlineStr"/>
    </row>
    <row r="27">
      <c r="A27" t="inlineStr">
        <is>
          <t>ALASKA PUTRA TAMBORA</t>
        </is>
      </c>
      <c r="B27" t="inlineStr">
        <is>
          <t>Kota Adm. Jakarta Barat</t>
        </is>
      </c>
      <c r="C27" t="inlineStr">
        <is>
          <t>02122520512</t>
        </is>
      </c>
      <c r="D27" t="inlineStr">
        <is>
          <t>alaskaputratambora123@gmail.com</t>
        </is>
      </c>
      <c r="E27" t="inlineStr">
        <is>
          <t>https://lpjk.pu.go.id/search-badan-usaha-detail/ZDRBY1ZtKzVPR0w4VCtNaW03dEwrQT09</t>
        </is>
      </c>
      <c r="F27" t="n">
        <v>8</v>
      </c>
      <c r="G27" t="inlineStr">
        <is>
          <t>BG001, BG005, BG007, BG009</t>
        </is>
      </c>
      <c r="H27" t="inlineStr">
        <is>
          <t>12 Desember 2018</t>
        </is>
      </c>
      <c r="I27" s="2" t="n">
        <v>46270</v>
      </c>
      <c r="J27" t="inlineStr">
        <is>
          <t>Disetujui</t>
        </is>
      </c>
      <c r="K27" t="n">
        <v>60</v>
      </c>
      <c r="L27" t="inlineStr">
        <is>
          <t>5 September 2026</t>
        </is>
      </c>
      <c r="M27" t="inlineStr">
        <is>
          <t>Konstruksi Gedung Hunian, Konstruksi Gedung Kesehatan, Konstruksi Gedung Lainnya, Konstruksi Gedung Penginapan</t>
        </is>
      </c>
      <c r="N27" t="inlineStr">
        <is>
          <t>K</t>
        </is>
      </c>
      <c r="O27" t="inlineStr">
        <is>
          <t>20230905</t>
        </is>
      </c>
      <c r="P27" t="inlineStr">
        <is>
          <t>DKI Jakarta</t>
        </is>
      </c>
      <c r="Q27" t="inlineStr"/>
    </row>
    <row r="28">
      <c r="A28" t="inlineStr">
        <is>
          <t>ALBYTAMA BANGUN NUSA</t>
        </is>
      </c>
      <c r="B28" t="inlineStr">
        <is>
          <t>Kota Pekalongan</t>
        </is>
      </c>
      <c r="C28" t="inlineStr">
        <is>
          <t>081775012496</t>
        </is>
      </c>
      <c r="D28" t="inlineStr">
        <is>
          <t>pt.albytama@gmail.com</t>
        </is>
      </c>
      <c r="E28" t="inlineStr">
        <is>
          <t>https://lpjk.pu.go.id/search-badan-usaha-detail/MTdjSTlJeG1nRVFrZHpmL2VrSWNEdz09</t>
        </is>
      </c>
      <c r="F28" t="n">
        <v>2</v>
      </c>
      <c r="G28" t="inlineStr">
        <is>
          <t>BG006, BS001</t>
        </is>
      </c>
      <c r="H28" t="inlineStr">
        <is>
          <t>6 Agustus 2022</t>
        </is>
      </c>
      <c r="I28" s="2" t="n">
        <v>46270</v>
      </c>
      <c r="J28" t="inlineStr">
        <is>
          <t>Disetujui</t>
        </is>
      </c>
      <c r="K28" t="n">
        <v>60</v>
      </c>
      <c r="L28" t="inlineStr">
        <is>
          <t>5 September 2026</t>
        </is>
      </c>
      <c r="M28" t="inlineStr">
        <is>
          <t>Konstruksi Bangunan Sipil Jalan, Konstruksi Gedung Pendidikan</t>
        </is>
      </c>
      <c r="N28" t="inlineStr">
        <is>
          <t>K</t>
        </is>
      </c>
      <c r="O28" t="inlineStr">
        <is>
          <t>20230810</t>
        </is>
      </c>
      <c r="P28" t="inlineStr">
        <is>
          <t>Jawa Tengah</t>
        </is>
      </c>
      <c r="Q28" t="inlineStr"/>
    </row>
    <row r="29">
      <c r="A29" t="inlineStr">
        <is>
          <t>ALFATA</t>
        </is>
      </c>
      <c r="B29" t="inlineStr">
        <is>
          <t>Kab. Blitar</t>
        </is>
      </c>
      <c r="C29" t="inlineStr">
        <is>
          <t>081233579981</t>
        </is>
      </c>
      <c r="D29" t="inlineStr">
        <is>
          <t>alfata.cv@gmail.com</t>
        </is>
      </c>
      <c r="E29" t="inlineStr">
        <is>
          <t>https://lpjk.pu.go.id/search-badan-usaha-detail/SkRzRFFuS053cHJsRjVpUk9MTVE0UT09</t>
        </is>
      </c>
      <c r="F29" t="n">
        <v>2</v>
      </c>
      <c r="G29" t="inlineStr">
        <is>
          <t>BG009</t>
        </is>
      </c>
      <c r="H29" t="inlineStr">
        <is>
          <t>17 Januari 2018</t>
        </is>
      </c>
      <c r="I29" s="2" t="n">
        <v>46270</v>
      </c>
      <c r="J29" t="inlineStr">
        <is>
          <t>Disetujui</t>
        </is>
      </c>
      <c r="K29" t="n">
        <v>60</v>
      </c>
      <c r="L29" t="inlineStr">
        <is>
          <t>5 September 2026</t>
        </is>
      </c>
      <c r="M29" t="inlineStr">
        <is>
          <t>Konstruksi Gedung Lainnya</t>
        </is>
      </c>
      <c r="N29" t="inlineStr">
        <is>
          <t>K</t>
        </is>
      </c>
      <c r="O29" t="inlineStr">
        <is>
          <t>20230831</t>
        </is>
      </c>
      <c r="P29" t="inlineStr">
        <is>
          <t>Jawa Timur</t>
        </is>
      </c>
      <c r="Q29" t="inlineStr"/>
    </row>
    <row r="30">
      <c r="A30" t="inlineStr">
        <is>
          <t>AMANAH</t>
        </is>
      </c>
      <c r="B30" t="inlineStr">
        <is>
          <t>Kab. Banyuwangi</t>
        </is>
      </c>
      <c r="C30" t="inlineStr">
        <is>
          <t>0852 5704 9546</t>
        </is>
      </c>
      <c r="D30" t="inlineStr">
        <is>
          <t>cvamanah.2019@gmail.com</t>
        </is>
      </c>
      <c r="E30" t="inlineStr">
        <is>
          <t>https://lpjk.pu.go.id/search-badan-usaha-detail/cjdUTE1RTWdUMU5OWHp0TjBEeWxJZz09</t>
        </is>
      </c>
      <c r="F30" t="n">
        <v>3</v>
      </c>
      <c r="G30" t="inlineStr">
        <is>
          <t>BS001</t>
        </is>
      </c>
      <c r="H30" t="inlineStr">
        <is>
          <t>3 Juni 2016</t>
        </is>
      </c>
      <c r="I30" s="2" t="n">
        <v>46270</v>
      </c>
      <c r="J30" t="inlineStr">
        <is>
          <t>Pencabutan</t>
        </is>
      </c>
      <c r="K30" t="n">
        <v>60</v>
      </c>
      <c r="L30" t="inlineStr">
        <is>
          <t>5 September 2026</t>
        </is>
      </c>
      <c r="M30" t="inlineStr">
        <is>
          <t>Konstruksi Bangunan Sipil Jalan</t>
        </is>
      </c>
      <c r="N30" t="inlineStr">
        <is>
          <t>K</t>
        </is>
      </c>
      <c r="O30" t="inlineStr">
        <is>
          <t>20230902</t>
        </is>
      </c>
      <c r="P30" t="inlineStr">
        <is>
          <t>Jawa Timur</t>
        </is>
      </c>
      <c r="Q30" t="inlineStr"/>
    </row>
    <row r="31">
      <c r="A31" t="inlineStr">
        <is>
          <t>AMANAH INDONESIA RAYA</t>
        </is>
      </c>
      <c r="B31" t="inlineStr">
        <is>
          <t>Kota Adm. Jakarta Pusat</t>
        </is>
      </c>
      <c r="C31" t="inlineStr">
        <is>
          <t>02165704114</t>
        </is>
      </c>
      <c r="D31" t="inlineStr">
        <is>
          <t>amanahari.kem@gmail.com</t>
        </is>
      </c>
      <c r="E31" t="inlineStr">
        <is>
          <t>https://lpjk.pu.go.id/search-badan-usaha-detail/L2Vtd3Q1cGtBUnBQRXFBZGJ5YVJXZz09</t>
        </is>
      </c>
      <c r="F31" t="n">
        <v>9</v>
      </c>
      <c r="G31" t="inlineStr">
        <is>
          <t>BG005, BG006, BG009</t>
        </is>
      </c>
      <c r="H31" t="inlineStr">
        <is>
          <t>19 Mei 2023</t>
        </is>
      </c>
      <c r="I31" s="2" t="n">
        <v>46270</v>
      </c>
      <c r="J31" t="inlineStr">
        <is>
          <t>Pencabutan</t>
        </is>
      </c>
      <c r="K31" t="n">
        <v>60</v>
      </c>
      <c r="L31" t="inlineStr">
        <is>
          <t>5 September 2026</t>
        </is>
      </c>
      <c r="M31" t="inlineStr">
        <is>
          <t>Konstruksi Gedung Kesehatan, Konstruksi Gedung Lainnya, Konstruksi Gedung Pendidikan</t>
        </is>
      </c>
      <c r="N31" t="inlineStr">
        <is>
          <t>K</t>
        </is>
      </c>
      <c r="O31" t="inlineStr">
        <is>
          <t>20230906</t>
        </is>
      </c>
      <c r="P31" t="inlineStr">
        <is>
          <t>DKI Jakarta</t>
        </is>
      </c>
      <c r="Q31" t="inlineStr"/>
    </row>
    <row r="32">
      <c r="A32" t="inlineStr">
        <is>
          <t>ANDISTA</t>
        </is>
      </c>
      <c r="B32" t="inlineStr">
        <is>
          <t>Kab. Purbalingga</t>
        </is>
      </c>
      <c r="C32" t="inlineStr">
        <is>
          <t>08121554340</t>
        </is>
      </c>
      <c r="D32" t="inlineStr">
        <is>
          <t>andistacv07@yahoo.com</t>
        </is>
      </c>
      <c r="E32" t="inlineStr">
        <is>
          <t>https://lpjk.pu.go.id/search-badan-usaha-detail/QktSdXcvZHJZRDNvWTc1V1lQSlg3QT09</t>
        </is>
      </c>
      <c r="F32" t="n">
        <v>2</v>
      </c>
      <c r="G32" t="inlineStr">
        <is>
          <t>BS001</t>
        </is>
      </c>
      <c r="H32" t="inlineStr">
        <is>
          <t>1 Agustus 2007</t>
        </is>
      </c>
      <c r="I32" s="2" t="n">
        <v>46270</v>
      </c>
      <c r="J32" t="inlineStr">
        <is>
          <t>Disetujui</t>
        </is>
      </c>
      <c r="K32" t="n">
        <v>60</v>
      </c>
      <c r="L32" t="inlineStr">
        <is>
          <t>5 September 2026</t>
        </is>
      </c>
      <c r="M32" t="inlineStr">
        <is>
          <t>Konstruksi Bangunan Sipil Jalan</t>
        </is>
      </c>
      <c r="N32" t="inlineStr">
        <is>
          <t>K</t>
        </is>
      </c>
      <c r="O32" t="inlineStr">
        <is>
          <t>20230829</t>
        </is>
      </c>
      <c r="P32" t="inlineStr">
        <is>
          <t>Jawa Tengah</t>
        </is>
      </c>
      <c r="Q32" t="inlineStr"/>
    </row>
    <row r="33">
      <c r="A33" t="inlineStr">
        <is>
          <t>ANGKASA PRIMA JAYA</t>
        </is>
      </c>
      <c r="B33" t="inlineStr">
        <is>
          <t>Kota Adm. Jakarta Barat</t>
        </is>
      </c>
      <c r="C33" t="inlineStr">
        <is>
          <t>08528678376</t>
        </is>
      </c>
      <c r="D33" t="inlineStr">
        <is>
          <t>angkasaprimajaya@gmail.com</t>
        </is>
      </c>
      <c r="E33" t="inlineStr">
        <is>
          <t>https://lpjk.pu.go.id/search-badan-usaha-detail/NFhpY1ZOczhFU2xONU9iOUtTbFZsdz09</t>
        </is>
      </c>
      <c r="F33" t="n">
        <v>2</v>
      </c>
      <c r="G33" t="inlineStr">
        <is>
          <t>BG002</t>
        </is>
      </c>
      <c r="H33" t="inlineStr">
        <is>
          <t>4 Maret 2019</t>
        </is>
      </c>
      <c r="I33" s="2" t="n">
        <v>46270</v>
      </c>
      <c r="J33" t="inlineStr">
        <is>
          <t>Pencabutan</t>
        </is>
      </c>
      <c r="K33" t="n">
        <v>60</v>
      </c>
      <c r="L33" t="inlineStr">
        <is>
          <t>5 September 2026</t>
        </is>
      </c>
      <c r="M33" t="inlineStr">
        <is>
          <t>Konstruksi Gedung Perkantoran</t>
        </is>
      </c>
      <c r="N33" t="inlineStr">
        <is>
          <t>K</t>
        </is>
      </c>
      <c r="O33" t="inlineStr">
        <is>
          <t>20230904</t>
        </is>
      </c>
      <c r="P33" t="inlineStr">
        <is>
          <t>DKI Jakarta</t>
        </is>
      </c>
      <c r="Q33" t="inlineStr"/>
    </row>
    <row r="34">
      <c r="A34" t="inlineStr">
        <is>
          <t>ANNISA PERSADA</t>
        </is>
      </c>
      <c r="B34" t="inlineStr">
        <is>
          <t>Kab. Kutai Timur</t>
        </is>
      </c>
      <c r="C34" t="inlineStr">
        <is>
          <t>081345000067</t>
        </is>
      </c>
      <c r="D34" t="inlineStr">
        <is>
          <t>annisapersada.ap@gmail.com</t>
        </is>
      </c>
      <c r="E34" t="inlineStr">
        <is>
          <t>https://lpjk.pu.go.id/search-badan-usaha-detail/aWluMEhGSGZJL1pFSXZTcmVNbVpOZz09</t>
        </is>
      </c>
      <c r="F34" t="n">
        <v>4</v>
      </c>
      <c r="G34" t="inlineStr">
        <is>
          <t>BG002, BG005, BG006, BG009</t>
        </is>
      </c>
      <c r="H34" t="inlineStr">
        <is>
          <t>12 Januari 2023</t>
        </is>
      </c>
      <c r="I34" s="2" t="n">
        <v>46270</v>
      </c>
      <c r="J34" t="inlineStr">
        <is>
          <t>Disetujui</t>
        </is>
      </c>
      <c r="K34" t="n">
        <v>60</v>
      </c>
      <c r="L34" t="inlineStr">
        <is>
          <t>5 September 2026</t>
        </is>
      </c>
      <c r="M34" t="inlineStr">
        <is>
          <t>Konstruksi Gedung Kesehatan, Konstruksi Gedung Lainnya, Konstruksi Gedung Pendidikan, Konstruksi Gedung Perkantoran</t>
        </is>
      </c>
      <c r="N34" t="inlineStr">
        <is>
          <t>K</t>
        </is>
      </c>
      <c r="O34" t="inlineStr">
        <is>
          <t>20230906</t>
        </is>
      </c>
      <c r="P34" t="inlineStr">
        <is>
          <t>Kalimantan Timur</t>
        </is>
      </c>
      <c r="Q34" t="inlineStr"/>
    </row>
    <row r="35">
      <c r="A35" t="inlineStr">
        <is>
          <t>ANUGRAH KARYA PERDANA</t>
        </is>
      </c>
      <c r="B35" t="inlineStr">
        <is>
          <t>Kota Samarinda</t>
        </is>
      </c>
      <c r="C35" t="inlineStr">
        <is>
          <t>081331952106</t>
        </is>
      </c>
      <c r="D35" t="inlineStr">
        <is>
          <t>anugrahkarya14@gmail.com</t>
        </is>
      </c>
      <c r="E35" t="inlineStr">
        <is>
          <t>https://lpjk.pu.go.id/search-badan-usaha-detail/WXg5YVUyUGFLRlpYajZiRktRZFFiZz09</t>
        </is>
      </c>
      <c r="F35" t="n">
        <v>10</v>
      </c>
      <c r="G35" t="inlineStr">
        <is>
          <t>BG002, BG005, BG006, BS001, BS004</t>
        </is>
      </c>
      <c r="H35" t="inlineStr">
        <is>
          <t>14 Februari 2020</t>
        </is>
      </c>
      <c r="I35" s="2" t="n">
        <v>46270</v>
      </c>
      <c r="J35" t="inlineStr">
        <is>
          <t>Disetujui</t>
        </is>
      </c>
      <c r="K35" t="n">
        <v>60</v>
      </c>
      <c r="L35" t="inlineStr">
        <is>
          <t>5 September 2026</t>
        </is>
      </c>
      <c r="M35" t="inlineStr">
        <is>
          <t>Konstruksi Bangunan Sipil Jalan, Konstruksi Gedung Kesehatan, Konstruksi Gedung Pendidikan, Konstruksi Gedung Perkantoran, Konstruksi Jaringan Irigasi dan Drainase</t>
        </is>
      </c>
      <c r="N35" t="inlineStr">
        <is>
          <t>K</t>
        </is>
      </c>
      <c r="O35" t="inlineStr">
        <is>
          <t>20230906</t>
        </is>
      </c>
      <c r="P35" t="inlineStr">
        <is>
          <t>Kalimantan Timur</t>
        </is>
      </c>
      <c r="Q35" t="inlineStr"/>
    </row>
    <row r="36">
      <c r="A36" t="inlineStr">
        <is>
          <t>ANUGRAH KARYA UTAMA</t>
        </is>
      </c>
      <c r="B36" t="inlineStr">
        <is>
          <t>Kab. Kulon Progo</t>
        </is>
      </c>
      <c r="C36" t="inlineStr">
        <is>
          <t>081227027099</t>
        </is>
      </c>
      <c r="D36" t="inlineStr">
        <is>
          <t>cv.akutama@gmail.com</t>
        </is>
      </c>
      <c r="E36" t="inlineStr">
        <is>
          <t>https://lpjk.pu.go.id/search-badan-usaha-detail/OGNmUm0rR1Yzc1RObnh0T1lBamx3dz09</t>
        </is>
      </c>
      <c r="F36" t="n">
        <v>2</v>
      </c>
      <c r="G36" t="inlineStr">
        <is>
          <t>BG008</t>
        </is>
      </c>
      <c r="H36" t="inlineStr">
        <is>
          <t>12 November 2013</t>
        </is>
      </c>
      <c r="I36" s="2" t="n">
        <v>46270</v>
      </c>
      <c r="J36" t="inlineStr">
        <is>
          <t>Disetujui</t>
        </is>
      </c>
      <c r="K36" t="n">
        <v>60</v>
      </c>
      <c r="L36" t="inlineStr">
        <is>
          <t>5 September 2026</t>
        </is>
      </c>
      <c r="M36" t="inlineStr">
        <is>
          <t>Konstruksi Gedung Tempat Hiburan dan Olahraga</t>
        </is>
      </c>
      <c r="N36" t="inlineStr">
        <is>
          <t>K</t>
        </is>
      </c>
      <c r="O36" t="inlineStr">
        <is>
          <t>20230829</t>
        </is>
      </c>
      <c r="P36" t="inlineStr">
        <is>
          <t>DI Yogyakarta</t>
        </is>
      </c>
      <c r="Q36" t="inlineStr"/>
    </row>
    <row r="37">
      <c r="A37" t="inlineStr">
        <is>
          <t>ARCA MINERAL INDONESIA</t>
        </is>
      </c>
      <c r="B37" t="inlineStr">
        <is>
          <t>Kota Bandung</t>
        </is>
      </c>
      <c r="C37" t="inlineStr">
        <is>
          <t>0227208643</t>
        </is>
      </c>
      <c r="D37" t="inlineStr">
        <is>
          <t>arcamineralindonesia@gmail.com</t>
        </is>
      </c>
      <c r="E37" t="inlineStr">
        <is>
          <t>https://lpjk.pu.go.id/search-badan-usaha-detail/V2RuSVNFOVJQNmxjRTdmMVljVlJoQT09</t>
        </is>
      </c>
      <c r="F37" t="n">
        <v>1</v>
      </c>
      <c r="G37" t="inlineStr">
        <is>
          <t>PL004</t>
        </is>
      </c>
      <c r="H37" t="inlineStr">
        <is>
          <t>22 November 2018</t>
        </is>
      </c>
      <c r="I37" s="2" t="n">
        <v>46270</v>
      </c>
      <c r="J37" t="inlineStr">
        <is>
          <t>Disetujui</t>
        </is>
      </c>
      <c r="K37" t="n">
        <v>60</v>
      </c>
      <c r="L37" t="inlineStr">
        <is>
          <t>5 September 2026</t>
        </is>
      </c>
      <c r="M37" t="inlineStr">
        <is>
          <t>Pekerjaan Tanah</t>
        </is>
      </c>
      <c r="N37" t="inlineStr">
        <is>
          <t>Spesialis</t>
        </is>
      </c>
      <c r="O37" t="inlineStr">
        <is>
          <t>20230904</t>
        </is>
      </c>
      <c r="P37" t="inlineStr">
        <is>
          <t>Jawa Barat</t>
        </is>
      </c>
      <c r="Q37" t="inlineStr"/>
    </row>
    <row r="38">
      <c r="A38" t="inlineStr">
        <is>
          <t>ARIF JAYA KARYA</t>
        </is>
      </c>
      <c r="B38" t="inlineStr">
        <is>
          <t>Kota Semarang</t>
        </is>
      </c>
      <c r="C38" t="inlineStr">
        <is>
          <t>08562652001</t>
        </is>
      </c>
      <c r="D38" t="inlineStr">
        <is>
          <t>arifjayakarya@gmail.com</t>
        </is>
      </c>
      <c r="E38" t="inlineStr">
        <is>
          <t>https://lpjk.pu.go.id/search-badan-usaha-detail/TGZQNFFMR29qaUNCNmR0NjJMVmdCQT09</t>
        </is>
      </c>
      <c r="F38" t="n">
        <v>3</v>
      </c>
      <c r="G38" t="inlineStr">
        <is>
          <t>BG005, BS001, BS004</t>
        </is>
      </c>
      <c r="H38" t="inlineStr">
        <is>
          <t>18 Desember 2013</t>
        </is>
      </c>
      <c r="I38" s="2" t="n">
        <v>46270</v>
      </c>
      <c r="J38" t="inlineStr">
        <is>
          <t>Disetujui</t>
        </is>
      </c>
      <c r="K38" t="n">
        <v>60</v>
      </c>
      <c r="L38" t="inlineStr">
        <is>
          <t>5 September 2026</t>
        </is>
      </c>
      <c r="M38" t="inlineStr">
        <is>
          <t>Konstruksi Bangunan Sipil Jalan, Konstruksi Gedung Kesehatan, Konstruksi Jaringan Irigasi dan Drainase</t>
        </is>
      </c>
      <c r="N38" t="inlineStr">
        <is>
          <t>K</t>
        </is>
      </c>
      <c r="O38" t="inlineStr">
        <is>
          <t>20230714, 20230901</t>
        </is>
      </c>
      <c r="P38" t="inlineStr">
        <is>
          <t>Jawa Tengah</t>
        </is>
      </c>
      <c r="Q38" t="inlineStr"/>
    </row>
    <row r="39">
      <c r="A39" t="inlineStr">
        <is>
          <t>ARJUNA PUTRA LAWA</t>
        </is>
      </c>
      <c r="B39" t="inlineStr">
        <is>
          <t>Kab. Muna Barat</t>
        </is>
      </c>
      <c r="C39" t="inlineStr">
        <is>
          <t>081344652801</t>
        </is>
      </c>
      <c r="D39" t="inlineStr">
        <is>
          <t>arjuna.putralawa@gmail.com</t>
        </is>
      </c>
      <c r="E39" t="inlineStr">
        <is>
          <t>https://lpjk.pu.go.id/search-badan-usaha-detail/eDB6Zks4NFRwVjVxcHlLZVJWKzhVWUZuOWJPclpXMzAzeGhmcW1adThucz0</t>
        </is>
      </c>
      <c r="F39" t="n">
        <v>1</v>
      </c>
      <c r="G39" t="inlineStr">
        <is>
          <t>BG006</t>
        </is>
      </c>
      <c r="H39" t="inlineStr">
        <is>
          <t>27 Februari 2026</t>
        </is>
      </c>
      <c r="I39" s="2" t="n">
        <v>46270</v>
      </c>
      <c r="J39" t="inlineStr">
        <is>
          <t>Disetujui</t>
        </is>
      </c>
      <c r="K39" t="n">
        <v>60</v>
      </c>
      <c r="L39" t="inlineStr">
        <is>
          <t>5 September 2026</t>
        </is>
      </c>
      <c r="M39" t="inlineStr">
        <is>
          <t>Konstruksi Gedung Pendidikan</t>
        </is>
      </c>
      <c r="N39" t="inlineStr">
        <is>
          <t>K</t>
        </is>
      </c>
      <c r="O39" t="inlineStr">
        <is>
          <t>20230901</t>
        </is>
      </c>
      <c r="P39" t="inlineStr">
        <is>
          <t>Sulawesi Tenggara</t>
        </is>
      </c>
      <c r="Q39" t="inlineStr"/>
    </row>
    <row r="40">
      <c r="A40" t="inlineStr">
        <is>
          <t>ARKA KARYA ADIGRAHA</t>
        </is>
      </c>
      <c r="B40" t="inlineStr">
        <is>
          <t>Kota Bandung</t>
        </is>
      </c>
      <c r="C40" t="inlineStr">
        <is>
          <t>0222019676</t>
        </is>
      </c>
      <c r="D40" t="inlineStr">
        <is>
          <t>arkakarya@gmail.com</t>
        </is>
      </c>
      <c r="E40" t="inlineStr">
        <is>
          <t>https://lpjk.pu.go.id/search-badan-usaha-detail/Vm9yTlJjZUtUb28vVmRUaEUyTUNsUT09</t>
        </is>
      </c>
      <c r="F40" t="n">
        <v>2</v>
      </c>
      <c r="G40" t="inlineStr">
        <is>
          <t>BG001, BG007</t>
        </is>
      </c>
      <c r="H40" t="inlineStr">
        <is>
          <t>28 Agustus 2010</t>
        </is>
      </c>
      <c r="I40" s="2" t="n">
        <v>46270</v>
      </c>
      <c r="J40" t="inlineStr">
        <is>
          <t>Disetujui</t>
        </is>
      </c>
      <c r="K40" t="n">
        <v>60</v>
      </c>
      <c r="L40" t="inlineStr">
        <is>
          <t>5 September 2026</t>
        </is>
      </c>
      <c r="M40" t="inlineStr">
        <is>
          <t>Konstruksi Gedung Hunian, Konstruksi Gedung Penginapan</t>
        </is>
      </c>
      <c r="N40" t="inlineStr">
        <is>
          <t>K</t>
        </is>
      </c>
      <c r="O40" t="inlineStr">
        <is>
          <t>20230609, 20230808</t>
        </is>
      </c>
      <c r="P40" t="inlineStr">
        <is>
          <t>Jawa Barat</t>
        </is>
      </c>
      <c r="Q40" t="inlineStr"/>
    </row>
    <row r="41">
      <c r="A41" t="inlineStr">
        <is>
          <t>ARYANA CAKASANA</t>
        </is>
      </c>
      <c r="B41" t="inlineStr">
        <is>
          <t>Kota Surabaya</t>
        </is>
      </c>
      <c r="C41" t="inlineStr">
        <is>
          <t>0315051010</t>
        </is>
      </c>
      <c r="D41" t="inlineStr">
        <is>
          <t>infoaryana23@gmail.com</t>
        </is>
      </c>
      <c r="E41" t="inlineStr">
        <is>
          <t>https://lpjk.pu.go.id/search-badan-usaha-detail/YjltMDN4TnZFWXFpU0dpUm1pL1pOdz09</t>
        </is>
      </c>
      <c r="F41" t="n">
        <v>2</v>
      </c>
      <c r="G41" t="inlineStr">
        <is>
          <t>BG005</t>
        </is>
      </c>
      <c r="H41" t="inlineStr">
        <is>
          <t>20 Maret 1991</t>
        </is>
      </c>
      <c r="I41" s="2" t="n">
        <v>46270</v>
      </c>
      <c r="J41" t="inlineStr">
        <is>
          <t>Disetujui</t>
        </is>
      </c>
      <c r="K41" t="n">
        <v>60</v>
      </c>
      <c r="L41" t="inlineStr">
        <is>
          <t>5 September 2026</t>
        </is>
      </c>
      <c r="M41" t="inlineStr">
        <is>
          <t>Konstruksi Gedung Kesehatan</t>
        </is>
      </c>
      <c r="N41" t="inlineStr">
        <is>
          <t>K</t>
        </is>
      </c>
      <c r="O41" t="inlineStr">
        <is>
          <t>20230831</t>
        </is>
      </c>
      <c r="P41" t="inlineStr">
        <is>
          <t>Jawa Timur</t>
        </is>
      </c>
      <c r="Q41" t="inlineStr"/>
    </row>
    <row r="42">
      <c r="A42" t="inlineStr">
        <is>
          <t>ASRI KARYA</t>
        </is>
      </c>
      <c r="B42" t="inlineStr">
        <is>
          <t>Kab. Sumenep</t>
        </is>
      </c>
      <c r="C42" t="inlineStr">
        <is>
          <t>087730505060</t>
        </is>
      </c>
      <c r="D42" t="inlineStr">
        <is>
          <t>cvasrikarya67@gmail.com</t>
        </is>
      </c>
      <c r="E42" t="inlineStr">
        <is>
          <t>https://lpjk.pu.go.id/search-badan-usaha-detail/UnM2UTRRRWRkYU1pMC9Gb1IvanNVQT09</t>
        </is>
      </c>
      <c r="F42" t="n">
        <v>3</v>
      </c>
      <c r="G42" t="inlineStr">
        <is>
          <t>BG005, BG006, BG009</t>
        </is>
      </c>
      <c r="H42" t="inlineStr">
        <is>
          <t>26 Februari 1985</t>
        </is>
      </c>
      <c r="I42" s="2" t="n">
        <v>46270</v>
      </c>
      <c r="J42" t="inlineStr">
        <is>
          <t>Disetujui</t>
        </is>
      </c>
      <c r="K42" t="n">
        <v>60</v>
      </c>
      <c r="L42" t="inlineStr">
        <is>
          <t>5 September 2026</t>
        </is>
      </c>
      <c r="M42" t="inlineStr">
        <is>
          <t>Konstruksi Gedung Kesehatan, Konstruksi Gedung Lainnya, Konstruksi Gedung Pendidikan</t>
        </is>
      </c>
      <c r="N42" t="inlineStr">
        <is>
          <t>K</t>
        </is>
      </c>
      <c r="O42" t="inlineStr">
        <is>
          <t>20230829</t>
        </is>
      </c>
      <c r="P42" t="inlineStr">
        <is>
          <t>Jawa Timur</t>
        </is>
      </c>
      <c r="Q42" t="inlineStr"/>
    </row>
    <row r="43">
      <c r="A43" t="inlineStr">
        <is>
          <t>ASSALAM UTAMA</t>
        </is>
      </c>
      <c r="B43" t="inlineStr">
        <is>
          <t>Kab. Trenggalek</t>
        </is>
      </c>
      <c r="C43" t="inlineStr">
        <is>
          <t>082143014978</t>
        </is>
      </c>
      <c r="D43" t="inlineStr">
        <is>
          <t>assalamutama57@gmail.com</t>
        </is>
      </c>
      <c r="E43" t="inlineStr">
        <is>
          <t>https://lpjk.pu.go.id/search-badan-usaha-detail/RlpFNnVBbUh2cHlMMTdRY3dEdUV4UT09</t>
        </is>
      </c>
      <c r="F43" t="n">
        <v>2</v>
      </c>
      <c r="G43" t="inlineStr">
        <is>
          <t>BG006</t>
        </is>
      </c>
      <c r="H43" t="inlineStr">
        <is>
          <t>27 Juli 2022</t>
        </is>
      </c>
      <c r="I43" s="2" t="n">
        <v>46270</v>
      </c>
      <c r="J43" t="inlineStr">
        <is>
          <t>Disetujui</t>
        </is>
      </c>
      <c r="K43" t="n">
        <v>60</v>
      </c>
      <c r="L43" t="inlineStr">
        <is>
          <t>5 September 2026</t>
        </is>
      </c>
      <c r="M43" t="inlineStr">
        <is>
          <t>Konstruksi Gedung Pendidikan</t>
        </is>
      </c>
      <c r="N43" t="inlineStr">
        <is>
          <t>K</t>
        </is>
      </c>
      <c r="O43" t="inlineStr">
        <is>
          <t>20230831</t>
        </is>
      </c>
      <c r="P43" t="inlineStr">
        <is>
          <t>Jawa Timur</t>
        </is>
      </c>
      <c r="Q43" t="inlineStr"/>
    </row>
    <row r="44">
      <c r="A44" t="inlineStr">
        <is>
          <t>ASTRI</t>
        </is>
      </c>
      <c r="B44" t="inlineStr">
        <is>
          <t>Kota Tidore Kepulauan</t>
        </is>
      </c>
      <c r="C44" t="inlineStr">
        <is>
          <t>085281813515</t>
        </is>
      </c>
      <c r="D44" t="inlineStr">
        <is>
          <t>cvastridayat@gmail.com</t>
        </is>
      </c>
      <c r="E44" t="inlineStr">
        <is>
          <t>https://lpjk.pu.go.id/search-badan-usaha-detail/QTNrVHJmTFFlM3U3aGllbXNDd3VHZz09</t>
        </is>
      </c>
      <c r="F44" t="n">
        <v>2</v>
      </c>
      <c r="G44" t="inlineStr">
        <is>
          <t>BS010</t>
        </is>
      </c>
      <c r="H44" t="inlineStr">
        <is>
          <t>31 Maret 2008</t>
        </is>
      </c>
      <c r="I44" s="2" t="n">
        <v>46270</v>
      </c>
      <c r="J44" t="inlineStr">
        <is>
          <t>Disetujui</t>
        </is>
      </c>
      <c r="K44" t="n">
        <v>60</v>
      </c>
      <c r="L44" t="inlineStr">
        <is>
          <t>5 September 2026</t>
        </is>
      </c>
      <c r="M44" t="inlineStr">
        <is>
          <t>Konstruksi Bangunan Prasarana Sumber Daya Air</t>
        </is>
      </c>
      <c r="N44" t="inlineStr">
        <is>
          <t>K</t>
        </is>
      </c>
      <c r="O44" t="inlineStr">
        <is>
          <t>20230828</t>
        </is>
      </c>
      <c r="P44" t="inlineStr">
        <is>
          <t>Maluku Utara</t>
        </is>
      </c>
      <c r="Q44" t="inlineStr"/>
    </row>
    <row r="45">
      <c r="A45" t="inlineStr">
        <is>
          <t>AURORA BERKAT BORNEO</t>
        </is>
      </c>
      <c r="B45" t="inlineStr">
        <is>
          <t>Kota Banjarbaru</t>
        </is>
      </c>
      <c r="C45" t="inlineStr">
        <is>
          <t>081255465117</t>
        </is>
      </c>
      <c r="D45" t="inlineStr">
        <is>
          <t>sandroroy079@gmail.com</t>
        </is>
      </c>
      <c r="E45" t="inlineStr">
        <is>
          <t>https://lpjk.pu.go.id/search-badan-usaha-detail/djFEVkxkQ2lRU0QvUnk5UENiV2RoQT09</t>
        </is>
      </c>
      <c r="F45" t="n">
        <v>1</v>
      </c>
      <c r="G45" t="inlineStr">
        <is>
          <t>BG001</t>
        </is>
      </c>
      <c r="H45" t="inlineStr">
        <is>
          <t>19 Maret 2016</t>
        </is>
      </c>
      <c r="I45" s="2" t="n">
        <v>46270</v>
      </c>
      <c r="J45" t="inlineStr">
        <is>
          <t>Disetujui</t>
        </is>
      </c>
      <c r="K45" t="n">
        <v>60</v>
      </c>
      <c r="L45" t="inlineStr">
        <is>
          <t>5 September 2026</t>
        </is>
      </c>
      <c r="M45" t="inlineStr">
        <is>
          <t>Konstruksi Gedung Hunian</t>
        </is>
      </c>
      <c r="N45" t="inlineStr">
        <is>
          <t>K</t>
        </is>
      </c>
      <c r="O45" t="inlineStr">
        <is>
          <t>20220315</t>
        </is>
      </c>
      <c r="P45" t="inlineStr">
        <is>
          <t>Kalimantan Selatan</t>
        </is>
      </c>
      <c r="Q45" t="inlineStr"/>
    </row>
    <row r="46">
      <c r="A46" t="inlineStr">
        <is>
          <t>BAJA TEHNIK PERKASA</t>
        </is>
      </c>
      <c r="B46" t="inlineStr">
        <is>
          <t>Kota Adm. Jakarta Selatan</t>
        </is>
      </c>
      <c r="C46" t="inlineStr">
        <is>
          <t>082210915854</t>
        </is>
      </c>
      <c r="D46" t="inlineStr">
        <is>
          <t>sales@bajatehnikperkasa.co.id</t>
        </is>
      </c>
      <c r="E46" t="inlineStr">
        <is>
          <t>https://lpjk.pu.go.id/search-badan-usaha-detail/OW5OdCswcEN5Rkl3MTF3YnIzb0VvQT09</t>
        </is>
      </c>
      <c r="F46" t="n">
        <v>2</v>
      </c>
      <c r="G46" t="inlineStr">
        <is>
          <t>BG003, BS002</t>
        </is>
      </c>
      <c r="H46" t="inlineStr">
        <is>
          <t>3 April 2019</t>
        </is>
      </c>
      <c r="I46" s="2" t="n">
        <v>46270</v>
      </c>
      <c r="J46" t="inlineStr">
        <is>
          <t>Disetujui</t>
        </is>
      </c>
      <c r="K46" t="n">
        <v>60</v>
      </c>
      <c r="L46" t="inlineStr">
        <is>
          <t>5 September 2026</t>
        </is>
      </c>
      <c r="M46" t="inlineStr">
        <is>
          <t>Bangunan Sipil Jembatan, Jalan Layang, Fly Over, dan Underpass, Konstruksi Gedung Industri</t>
        </is>
      </c>
      <c r="N46" t="inlineStr">
        <is>
          <t>K</t>
        </is>
      </c>
      <c r="O46" t="inlineStr">
        <is>
          <t>20230904, 20230905</t>
        </is>
      </c>
      <c r="P46" t="inlineStr">
        <is>
          <t>DKI Jakarta</t>
        </is>
      </c>
      <c r="Q46" t="inlineStr"/>
    </row>
    <row r="47">
      <c r="A47" t="inlineStr">
        <is>
          <t>BANGUN SAMUDERA PRATAMA</t>
        </is>
      </c>
      <c r="B47" t="inlineStr">
        <is>
          <t>Kab. Cianjur</t>
        </is>
      </c>
      <c r="C47" t="inlineStr">
        <is>
          <t>081394666699</t>
        </is>
      </c>
      <c r="D47" t="inlineStr">
        <is>
          <t>bangunsamuderapratama@gmail.com</t>
        </is>
      </c>
      <c r="E47" t="inlineStr">
        <is>
          <t>https://lpjk.pu.go.id/search-badan-usaha-detail/eDYvY01IaC92QlBwWElyS1liNC9Gdz09</t>
        </is>
      </c>
      <c r="F47" t="n">
        <v>2</v>
      </c>
      <c r="G47" t="inlineStr">
        <is>
          <t>BS001</t>
        </is>
      </c>
      <c r="H47" t="inlineStr">
        <is>
          <t>8 Maret 2013</t>
        </is>
      </c>
      <c r="I47" s="2" t="n">
        <v>46270</v>
      </c>
      <c r="J47" t="inlineStr">
        <is>
          <t>Disetujui</t>
        </is>
      </c>
      <c r="K47" t="n">
        <v>60</v>
      </c>
      <c r="L47" t="inlineStr">
        <is>
          <t>5 September 2026</t>
        </is>
      </c>
      <c r="M47" t="inlineStr">
        <is>
          <t>Konstruksi Bangunan Sipil Jalan</t>
        </is>
      </c>
      <c r="N47" t="inlineStr">
        <is>
          <t>K</t>
        </is>
      </c>
      <c r="O47" t="inlineStr">
        <is>
          <t>20230825</t>
        </is>
      </c>
      <c r="P47" t="inlineStr">
        <is>
          <t>Jawa Barat</t>
        </is>
      </c>
      <c r="Q47" t="inlineStr"/>
    </row>
    <row r="48">
      <c r="A48" t="inlineStr">
        <is>
          <t>BANGUN SEJAHTERA</t>
        </is>
      </c>
      <c r="B48" t="inlineStr">
        <is>
          <t>Kab. Semarang</t>
        </is>
      </c>
      <c r="C48" t="inlineStr">
        <is>
          <t>0246922904</t>
        </is>
      </c>
      <c r="D48" t="inlineStr">
        <is>
          <t>sej4hter4@gmail.com</t>
        </is>
      </c>
      <c r="E48" t="inlineStr">
        <is>
          <t>https://lpjk.pu.go.id/search-badan-usaha-detail/bFNjZXpRenBBMFhGbU12Y0ZFdzBzdz09</t>
        </is>
      </c>
      <c r="F48" t="n">
        <v>4</v>
      </c>
      <c r="G48" t="inlineStr">
        <is>
          <t>BG005, BG006, BS001, BS004</t>
        </is>
      </c>
      <c r="H48" t="inlineStr">
        <is>
          <t>27 November 1996</t>
        </is>
      </c>
      <c r="I48" s="2" t="n">
        <v>46270</v>
      </c>
      <c r="J48" t="inlineStr">
        <is>
          <t>Disetujui</t>
        </is>
      </c>
      <c r="K48" t="n">
        <v>60</v>
      </c>
      <c r="L48" t="inlineStr">
        <is>
          <t>5 September 2026</t>
        </is>
      </c>
      <c r="M48" t="inlineStr">
        <is>
          <t>Konstruksi Bangunan Sipil Jalan, Konstruksi Gedung Kesehatan, Konstruksi Gedung Pendidikan, Konstruksi Jaringan Irigasi dan Drainase</t>
        </is>
      </c>
      <c r="N48" t="inlineStr">
        <is>
          <t>K</t>
        </is>
      </c>
      <c r="O48" t="inlineStr">
        <is>
          <t>20230901</t>
        </is>
      </c>
      <c r="P48" t="inlineStr">
        <is>
          <t>Jawa Tengah</t>
        </is>
      </c>
      <c r="Q48" t="inlineStr"/>
    </row>
    <row r="49">
      <c r="A49" t="inlineStr">
        <is>
          <t>BANUA MULTI TEKNIK</t>
        </is>
      </c>
      <c r="B49" t="inlineStr">
        <is>
          <t>Kota Banjarmasin</t>
        </is>
      </c>
      <c r="C49" t="inlineStr">
        <is>
          <t>085243720669</t>
        </is>
      </c>
      <c r="D49" t="inlineStr">
        <is>
          <t>pt.banuamultiteknik@gmail.com</t>
        </is>
      </c>
      <c r="E49" t="inlineStr">
        <is>
          <t>https://lpjk.pu.go.id/search-badan-usaha-detail/TWdVNjQ1Ymt5Mkw2N0JwN3QwWHVrdz09</t>
        </is>
      </c>
      <c r="F49" t="n">
        <v>1</v>
      </c>
      <c r="G49" t="inlineStr">
        <is>
          <t>BG001</t>
        </is>
      </c>
      <c r="H49" t="inlineStr">
        <is>
          <t>15 September 2015</t>
        </is>
      </c>
      <c r="I49" s="2" t="n">
        <v>46270</v>
      </c>
      <c r="J49" t="inlineStr">
        <is>
          <t>Pencabutan</t>
        </is>
      </c>
      <c r="K49" t="n">
        <v>60</v>
      </c>
      <c r="L49" t="inlineStr">
        <is>
          <t>5 September 2026</t>
        </is>
      </c>
      <c r="M49" t="inlineStr">
        <is>
          <t>Konstruksi Gedung Hunian</t>
        </is>
      </c>
      <c r="N49" t="inlineStr">
        <is>
          <t>K</t>
        </is>
      </c>
      <c r="O49" t="inlineStr">
        <is>
          <t>20230831</t>
        </is>
      </c>
      <c r="P49" t="inlineStr">
        <is>
          <t>Kalimantan Selatan</t>
        </is>
      </c>
      <c r="Q49" t="inlineStr"/>
    </row>
    <row r="50">
      <c r="A50" t="inlineStr">
        <is>
          <t>BERDIKARI DWIPUTRA KONSTRUKSI</t>
        </is>
      </c>
      <c r="B50" t="inlineStr">
        <is>
          <t>Kab. Gowa</t>
        </is>
      </c>
      <c r="C50" t="inlineStr">
        <is>
          <t>081354666192</t>
        </is>
      </c>
      <c r="D50" t="inlineStr">
        <is>
          <t>berdikaridwiputrakonst@gmail.com</t>
        </is>
      </c>
      <c r="E50" t="inlineStr">
        <is>
          <t>https://lpjk.pu.go.id/search-badan-usaha-detail/cmdJVVhHa1VUY2JSU3p6ZU8vOFFqZz09</t>
        </is>
      </c>
      <c r="F50" t="n">
        <v>1</v>
      </c>
      <c r="G50" t="inlineStr">
        <is>
          <t>BS001</t>
        </is>
      </c>
      <c r="H50" t="inlineStr">
        <is>
          <t>6 Oktober 2021</t>
        </is>
      </c>
      <c r="I50" s="2" t="n">
        <v>46270</v>
      </c>
      <c r="J50" t="inlineStr">
        <is>
          <t>Disetujui</t>
        </is>
      </c>
      <c r="K50" t="n">
        <v>60</v>
      </c>
      <c r="L50" t="inlineStr">
        <is>
          <t>5 September 2026</t>
        </is>
      </c>
      <c r="M50" t="inlineStr">
        <is>
          <t>Konstruksi Bangunan Sipil Jalan</t>
        </is>
      </c>
      <c r="N50" t="inlineStr">
        <is>
          <t>K</t>
        </is>
      </c>
      <c r="O50" t="inlineStr">
        <is>
          <t>20230828</t>
        </is>
      </c>
      <c r="P50" t="inlineStr">
        <is>
          <t>Sulawesi Selatan</t>
        </is>
      </c>
      <c r="Q50" t="inlineStr"/>
    </row>
    <row r="51">
      <c r="A51" t="inlineStr">
        <is>
          <t>BERDIKARI PRIMA</t>
        </is>
      </c>
      <c r="B51" t="inlineStr">
        <is>
          <t>Kab. Tegal</t>
        </is>
      </c>
      <c r="C51" t="inlineStr">
        <is>
          <t>085842020138</t>
        </is>
      </c>
      <c r="D51" t="inlineStr">
        <is>
          <t>berdikari.prima@yahoo.co.id</t>
        </is>
      </c>
      <c r="E51" t="inlineStr">
        <is>
          <t>https://lpjk.pu.go.id/search-badan-usaha-detail/WXNSKy92d2hZZWk5Sm10aHlwMXR2QT09</t>
        </is>
      </c>
      <c r="F51" t="n">
        <v>1</v>
      </c>
      <c r="G51" t="inlineStr">
        <is>
          <t>BG009</t>
        </is>
      </c>
      <c r="H51" t="inlineStr">
        <is>
          <t>22 Juni 2012</t>
        </is>
      </c>
      <c r="I51" s="2" t="n">
        <v>46270</v>
      </c>
      <c r="J51" t="inlineStr">
        <is>
          <t>Disetujui</t>
        </is>
      </c>
      <c r="K51" t="n">
        <v>60</v>
      </c>
      <c r="L51" t="inlineStr">
        <is>
          <t>5 September 2026</t>
        </is>
      </c>
      <c r="M51" t="inlineStr">
        <is>
          <t>Konstruksi Gedung Lainnya</t>
        </is>
      </c>
      <c r="N51" t="inlineStr">
        <is>
          <t>K</t>
        </is>
      </c>
      <c r="O51" t="inlineStr">
        <is>
          <t>20230830</t>
        </is>
      </c>
      <c r="P51" t="inlineStr">
        <is>
          <t>Jawa Tengah</t>
        </is>
      </c>
      <c r="Q51" t="inlineStr"/>
    </row>
    <row r="52">
      <c r="A52" t="inlineStr">
        <is>
          <t>BERKAH INDAH GEMILANG</t>
        </is>
      </c>
      <c r="B52" t="inlineStr">
        <is>
          <t>Kota Balikpapan</t>
        </is>
      </c>
      <c r="C52" t="inlineStr">
        <is>
          <t>081350650609</t>
        </is>
      </c>
      <c r="D52" t="inlineStr">
        <is>
          <t>big.berkahindahgemilang@gmail.com</t>
        </is>
      </c>
      <c r="E52" t="inlineStr">
        <is>
          <t>https://lpjk.pu.go.id/search-badan-usaha-detail/L1JDSnZ3SGF3Rkt2WEU4K0xOTCszUT09</t>
        </is>
      </c>
      <c r="F52" t="n">
        <v>4</v>
      </c>
      <c r="G52" t="inlineStr">
        <is>
          <t>BG009, BS001</t>
        </is>
      </c>
      <c r="H52" t="inlineStr">
        <is>
          <t>11 November 2011</t>
        </is>
      </c>
      <c r="I52" s="2" t="n">
        <v>46270</v>
      </c>
      <c r="J52" t="inlineStr">
        <is>
          <t>Disetujui</t>
        </is>
      </c>
      <c r="K52" t="n">
        <v>60</v>
      </c>
      <c r="L52" t="inlineStr">
        <is>
          <t>5 September 2026</t>
        </is>
      </c>
      <c r="M52" t="inlineStr">
        <is>
          <t>Konstruksi Bangunan Sipil Jalan, Konstruksi Gedung Lainnya</t>
        </is>
      </c>
      <c r="N52" t="inlineStr">
        <is>
          <t>K</t>
        </is>
      </c>
      <c r="O52" t="inlineStr">
        <is>
          <t>20230901</t>
        </is>
      </c>
      <c r="P52" t="inlineStr">
        <is>
          <t>Kalimantan Timur</t>
        </is>
      </c>
      <c r="Q52" t="inlineStr"/>
    </row>
    <row r="53">
      <c r="A53" t="inlineStr">
        <is>
          <t>BERKAT ANUGERAH</t>
        </is>
      </c>
      <c r="B53" t="inlineStr">
        <is>
          <t>Kab. Kutai Timur</t>
        </is>
      </c>
      <c r="C53" t="inlineStr">
        <is>
          <t>081347533384</t>
        </is>
      </c>
      <c r="D53" t="inlineStr">
        <is>
          <t>berkatanugerah.cv@yahoo.com</t>
        </is>
      </c>
      <c r="E53" t="inlineStr">
        <is>
          <t>https://lpjk.pu.go.id/search-badan-usaha-detail/K0R0cE52K0JTM0RFdVM3K29INjdUZz09</t>
        </is>
      </c>
      <c r="F53" t="n">
        <v>6</v>
      </c>
      <c r="G53" t="inlineStr">
        <is>
          <t>BG006, BG009, BS004</t>
        </is>
      </c>
      <c r="H53" t="inlineStr">
        <is>
          <t>10 September 2014</t>
        </is>
      </c>
      <c r="I53" s="2" t="n">
        <v>46270</v>
      </c>
      <c r="J53" t="inlineStr">
        <is>
          <t>Disetujui</t>
        </is>
      </c>
      <c r="K53" t="n">
        <v>60</v>
      </c>
      <c r="L53" t="inlineStr">
        <is>
          <t>5 September 2026</t>
        </is>
      </c>
      <c r="M53" t="inlineStr">
        <is>
          <t>Konstruksi Gedung Lainnya, Konstruksi Gedung Pendidikan, Konstruksi Jaringan Irigasi dan Drainase</t>
        </is>
      </c>
      <c r="N53" t="inlineStr">
        <is>
          <t>K</t>
        </is>
      </c>
      <c r="O53" t="inlineStr">
        <is>
          <t>20230905</t>
        </is>
      </c>
      <c r="P53" t="inlineStr">
        <is>
          <t>Kalimantan Timur</t>
        </is>
      </c>
      <c r="Q53" t="inlineStr"/>
    </row>
    <row r="54">
      <c r="A54" t="inlineStr">
        <is>
          <t>BERKO</t>
        </is>
      </c>
      <c r="B54" t="inlineStr">
        <is>
          <t>Kota Ambon</t>
        </is>
      </c>
      <c r="C54" t="inlineStr">
        <is>
          <t>081356102153</t>
        </is>
      </c>
      <c r="D54" t="inlineStr">
        <is>
          <t>berko_cv@yahoo.co.id</t>
        </is>
      </c>
      <c r="E54" t="inlineStr">
        <is>
          <t>https://lpjk.pu.go.id/search-badan-usaha-detail/VEFSdEFIWGhSM3A3ZDhsY2FFVmJDQT09</t>
        </is>
      </c>
      <c r="F54" t="n">
        <v>2</v>
      </c>
      <c r="G54" t="inlineStr">
        <is>
          <t>RK001, RK003</t>
        </is>
      </c>
      <c r="H54" t="inlineStr">
        <is>
          <t>14 September 2007</t>
        </is>
      </c>
      <c r="I54" s="2" t="n">
        <v>46270</v>
      </c>
      <c r="J54" t="inlineStr">
        <is>
          <t>Disetujui</t>
        </is>
      </c>
      <c r="K54" t="n">
        <v>60</v>
      </c>
      <c r="L54" t="inlineStr">
        <is>
          <t>5 September 2026</t>
        </is>
      </c>
      <c r="M54" t="inlineStr">
        <is>
          <t>Jasa Rekayasa Konstruksi Bangunan Gedung Hunian dan Non Hunian, Jasa Rekayasa Pekerjaan Teknik Sipil Transportasi</t>
        </is>
      </c>
      <c r="N54" t="inlineStr">
        <is>
          <t>K</t>
        </is>
      </c>
      <c r="O54" t="inlineStr">
        <is>
          <t>20230826</t>
        </is>
      </c>
      <c r="P54" t="inlineStr">
        <is>
          <t>Maluku</t>
        </is>
      </c>
      <c r="Q54" t="inlineStr"/>
    </row>
    <row r="55">
      <c r="A55" t="inlineStr">
        <is>
          <t>BINTANG PAPUA INDAH</t>
        </is>
      </c>
      <c r="B55" t="inlineStr">
        <is>
          <t>Kab. Mimika</t>
        </is>
      </c>
      <c r="C55" t="inlineStr">
        <is>
          <t>08212222273</t>
        </is>
      </c>
      <c r="D55" t="inlineStr">
        <is>
          <t>bintangpapuaindah@gmail.com</t>
        </is>
      </c>
      <c r="E55" t="inlineStr">
        <is>
          <t>https://lpjk.pu.go.id/search-badan-usaha-detail/SXV2a0ozcTlmOTBkZnJTT1pkc2svZz09</t>
        </is>
      </c>
      <c r="F55" t="n">
        <v>4</v>
      </c>
      <c r="G55" t="inlineStr">
        <is>
          <t>BG006, BG009</t>
        </is>
      </c>
      <c r="H55" t="inlineStr">
        <is>
          <t>20 November 2015</t>
        </is>
      </c>
      <c r="I55" s="2" t="n">
        <v>46270</v>
      </c>
      <c r="J55" t="inlineStr">
        <is>
          <t>Pencabutan</t>
        </is>
      </c>
      <c r="K55" t="n">
        <v>60</v>
      </c>
      <c r="L55" t="inlineStr">
        <is>
          <t>5 September 2026</t>
        </is>
      </c>
      <c r="M55" t="inlineStr">
        <is>
          <t>Konstruksi Gedung Lainnya, Konstruksi Gedung Pendidikan</t>
        </is>
      </c>
      <c r="N55" t="inlineStr">
        <is>
          <t>K</t>
        </is>
      </c>
      <c r="O55" t="inlineStr">
        <is>
          <t>20230905, 20230906</t>
        </is>
      </c>
      <c r="P55" t="inlineStr">
        <is>
          <t>Papua</t>
        </is>
      </c>
      <c r="Q55" t="inlineStr"/>
    </row>
    <row r="56">
      <c r="A56" t="inlineStr">
        <is>
          <t>BINTANG TIMUR</t>
        </is>
      </c>
      <c r="B56" t="inlineStr">
        <is>
          <t>Kota Makassar</t>
        </is>
      </c>
      <c r="C56" t="inlineStr">
        <is>
          <t>081241111011</t>
        </is>
      </c>
      <c r="D56" t="inlineStr">
        <is>
          <t>bintangtimur734@gmail.com</t>
        </is>
      </c>
      <c r="E56" t="inlineStr">
        <is>
          <t>https://lpjk.pu.go.id/search-badan-usaha-detail/YXU0WWc1Y0pmVS8zR3l3dWJObGFadz09</t>
        </is>
      </c>
      <c r="F56" t="n">
        <v>6</v>
      </c>
      <c r="G56" t="inlineStr">
        <is>
          <t>BG007, BS001, BS004</t>
        </is>
      </c>
      <c r="H56" t="inlineStr">
        <is>
          <t>18 Februari 2007</t>
        </is>
      </c>
      <c r="I56" s="2" t="n">
        <v>46270</v>
      </c>
      <c r="J56" t="inlineStr">
        <is>
          <t>Disetujui</t>
        </is>
      </c>
      <c r="K56" t="n">
        <v>60</v>
      </c>
      <c r="L56" t="inlineStr">
        <is>
          <t>5 September 2026</t>
        </is>
      </c>
      <c r="M56" t="inlineStr">
        <is>
          <t>Konstruksi Bangunan Sipil Jalan, Konstruksi Gedung Penginapan, Konstruksi Jaringan Irigasi dan Drainase</t>
        </is>
      </c>
      <c r="N56" t="inlineStr">
        <is>
          <t>K</t>
        </is>
      </c>
      <c r="O56" t="inlineStr">
        <is>
          <t>20230815</t>
        </is>
      </c>
      <c r="P56" t="inlineStr">
        <is>
          <t>Sulawesi Selatan</t>
        </is>
      </c>
      <c r="Q56" t="inlineStr"/>
    </row>
    <row r="57">
      <c r="A57" t="inlineStr">
        <is>
          <t>BUMI KONSTRINDO</t>
        </is>
      </c>
      <c r="B57" t="inlineStr">
        <is>
          <t>Kota Makassar</t>
        </is>
      </c>
      <c r="C57" t="inlineStr">
        <is>
          <t>0411860944</t>
        </is>
      </c>
      <c r="D57" t="inlineStr">
        <is>
          <t>bumi.konstrindo12@gmail.com</t>
        </is>
      </c>
      <c r="E57" t="inlineStr">
        <is>
          <t>https://lpjk.pu.go.id/search-badan-usaha-detail/ZFZNUncxY0dkMm5ITlpTRHpzNEQ5dz09</t>
        </is>
      </c>
      <c r="F57" t="n">
        <v>1</v>
      </c>
      <c r="G57" t="inlineStr">
        <is>
          <t>BS010</t>
        </is>
      </c>
      <c r="H57" t="inlineStr">
        <is>
          <t>12 Desember 2012</t>
        </is>
      </c>
      <c r="I57" s="2" t="n">
        <v>46270</v>
      </c>
      <c r="J57" t="inlineStr">
        <is>
          <t>Pencabutan</t>
        </is>
      </c>
      <c r="K57" t="n">
        <v>60</v>
      </c>
      <c r="L57" t="inlineStr">
        <is>
          <t>5 September 2026</t>
        </is>
      </c>
      <c r="M57" t="inlineStr">
        <is>
          <t>Konstruksi Bangunan Prasarana Sumber Daya Air</t>
        </is>
      </c>
      <c r="N57" t="inlineStr">
        <is>
          <t>K</t>
        </is>
      </c>
      <c r="O57" t="inlineStr">
        <is>
          <t>20230902</t>
        </is>
      </c>
      <c r="P57" t="inlineStr">
        <is>
          <t>Sulawesi Selatan</t>
        </is>
      </c>
      <c r="Q57" t="inlineStr"/>
    </row>
    <row r="58">
      <c r="A58" t="inlineStr">
        <is>
          <t>BUMI NEMAL KARYA</t>
        </is>
      </c>
      <c r="B58" t="inlineStr">
        <is>
          <t>Kota Balikpapan</t>
        </is>
      </c>
      <c r="C58" t="inlineStr">
        <is>
          <t>081346466889</t>
        </is>
      </c>
      <c r="D58" t="inlineStr">
        <is>
          <t>buminemalkarya@gmail.com</t>
        </is>
      </c>
      <c r="E58" t="inlineStr">
        <is>
          <t>https://lpjk.pu.go.id/search-badan-usaha-detail/QmVkbENlaFNYaGdTMWJMUWtNZUxSQT09</t>
        </is>
      </c>
      <c r="F58" t="n">
        <v>1</v>
      </c>
      <c r="G58" t="inlineStr">
        <is>
          <t>BS001</t>
        </is>
      </c>
      <c r="H58" t="inlineStr">
        <is>
          <t>10 Maret 2020</t>
        </is>
      </c>
      <c r="I58" s="2" t="n">
        <v>46270</v>
      </c>
      <c r="J58" t="inlineStr">
        <is>
          <t>Disetujui</t>
        </is>
      </c>
      <c r="K58" t="n">
        <v>60</v>
      </c>
      <c r="L58" t="inlineStr">
        <is>
          <t>5 September 2026</t>
        </is>
      </c>
      <c r="M58" t="inlineStr">
        <is>
          <t>Konstruksi Bangunan Sipil Jalan</t>
        </is>
      </c>
      <c r="N58" t="inlineStr">
        <is>
          <t>K</t>
        </is>
      </c>
      <c r="O58" t="inlineStr">
        <is>
          <t>20230904</t>
        </is>
      </c>
      <c r="P58" t="inlineStr">
        <is>
          <t>Kalimantan Timur</t>
        </is>
      </c>
      <c r="Q58" t="inlineStr"/>
    </row>
    <row r="59">
      <c r="A59" t="inlineStr">
        <is>
          <t>BUMI UTAMA MANDIRI</t>
        </is>
      </c>
      <c r="B59" t="inlineStr">
        <is>
          <t>Kab. Ciamis</t>
        </is>
      </c>
      <c r="C59" t="inlineStr">
        <is>
          <t>085281114114</t>
        </is>
      </c>
      <c r="D59" t="inlineStr">
        <is>
          <t>cv.bumiutamamandiri@gmail.com</t>
        </is>
      </c>
      <c r="E59" t="inlineStr">
        <is>
          <t>https://lpjk.pu.go.id/search-badan-usaha-detail/c1ZKb0p4WTdDZFdTZjZWelYzbzViUT09</t>
        </is>
      </c>
      <c r="F59" t="n">
        <v>2</v>
      </c>
      <c r="G59" t="inlineStr">
        <is>
          <t>BG006, BG009</t>
        </is>
      </c>
      <c r="H59" t="inlineStr">
        <is>
          <t>23 Februari 2015</t>
        </is>
      </c>
      <c r="I59" s="2" t="n">
        <v>46270</v>
      </c>
      <c r="J59" t="inlineStr">
        <is>
          <t>Disetujui</t>
        </is>
      </c>
      <c r="K59" t="n">
        <v>60</v>
      </c>
      <c r="L59" t="inlineStr">
        <is>
          <t>5 September 2026</t>
        </is>
      </c>
      <c r="M59" t="inlineStr">
        <is>
          <t>Konstruksi Gedung Lainnya, Konstruksi Gedung Pendidikan</t>
        </is>
      </c>
      <c r="N59" t="inlineStr">
        <is>
          <t>K</t>
        </is>
      </c>
      <c r="O59" t="inlineStr">
        <is>
          <t>20230828</t>
        </is>
      </c>
      <c r="P59" t="inlineStr">
        <is>
          <t>Jawa Barat</t>
        </is>
      </c>
      <c r="Q59" t="inlineStr"/>
    </row>
    <row r="60">
      <c r="A60" t="inlineStr">
        <is>
          <t>BUMINTARA KARYA RIZKI ABADI</t>
        </is>
      </c>
      <c r="B60" t="inlineStr">
        <is>
          <t>Kab. Ketapang</t>
        </is>
      </c>
      <c r="C60" t="inlineStr">
        <is>
          <t>082397002730</t>
        </is>
      </c>
      <c r="D60" t="inlineStr">
        <is>
          <t>cv.bumintara_karyara@yahoo.com</t>
        </is>
      </c>
      <c r="E60" t="inlineStr">
        <is>
          <t>https://lpjk.pu.go.id/search-badan-usaha-detail/OVNOL1NhN0JGaWJWeGgrallOVmR0QT09</t>
        </is>
      </c>
      <c r="F60" t="n">
        <v>2</v>
      </c>
      <c r="G60" t="inlineStr">
        <is>
          <t>BS001, BS004</t>
        </is>
      </c>
      <c r="H60" t="inlineStr">
        <is>
          <t>23 Mei 2016</t>
        </is>
      </c>
      <c r="I60" s="2" t="n">
        <v>46270</v>
      </c>
      <c r="J60" t="inlineStr">
        <is>
          <t>Disetujui</t>
        </is>
      </c>
      <c r="K60" t="n">
        <v>60</v>
      </c>
      <c r="L60" t="inlineStr">
        <is>
          <t>5 September 2026</t>
        </is>
      </c>
      <c r="M60" t="inlineStr">
        <is>
          <t>Konstruksi Bangunan Sipil Jalan, Konstruksi Jaringan Irigasi dan Drainase</t>
        </is>
      </c>
      <c r="N60" t="inlineStr">
        <is>
          <t>K</t>
        </is>
      </c>
      <c r="O60" t="inlineStr">
        <is>
          <t>20230905</t>
        </is>
      </c>
      <c r="P60" t="inlineStr">
        <is>
          <t>Kalimantan Barat</t>
        </is>
      </c>
      <c r="Q60" t="inlineStr"/>
    </row>
    <row r="61">
      <c r="A61" t="inlineStr">
        <is>
          <t>CAHAYA BORNEO KONSTRUKSI</t>
        </is>
      </c>
      <c r="B61" t="inlineStr">
        <is>
          <t>Kota Palu</t>
        </is>
      </c>
      <c r="C61" t="inlineStr">
        <is>
          <t>082343744741</t>
        </is>
      </c>
      <c r="D61" t="inlineStr">
        <is>
          <t>cv.cahaya.borneo.konstruksi@gmail.com</t>
        </is>
      </c>
      <c r="E61" t="inlineStr">
        <is>
          <t>https://lpjk.pu.go.id/search-badan-usaha-detail/KzNrUUFkM0ZxTVdJY0hiaTBmNXBXZz09</t>
        </is>
      </c>
      <c r="F61" t="n">
        <v>5</v>
      </c>
      <c r="G61" t="inlineStr">
        <is>
          <t>BG001, BG002, BG004, BG006, BG009</t>
        </is>
      </c>
      <c r="H61" t="inlineStr">
        <is>
          <t>8 Agustus 2023</t>
        </is>
      </c>
      <c r="I61" s="2" t="n">
        <v>46270</v>
      </c>
      <c r="J61" t="inlineStr">
        <is>
          <t>Disetujui</t>
        </is>
      </c>
      <c r="K61" t="n">
        <v>60</v>
      </c>
      <c r="L61" t="inlineStr">
        <is>
          <t>5 September 2026</t>
        </is>
      </c>
      <c r="M61" t="inlineStr">
        <is>
          <t>Konstruksi Gedung Hunian, Konstruksi Gedung Lainnya, Konstruksi Gedung Pendidikan, Konstruksi Gedung Perbelanjaan, Konstruksi Gedung Perkantoran</t>
        </is>
      </c>
      <c r="N61" t="inlineStr">
        <is>
          <t>K</t>
        </is>
      </c>
      <c r="O61" t="inlineStr">
        <is>
          <t>20230828</t>
        </is>
      </c>
      <c r="P61" t="inlineStr">
        <is>
          <t>Sulawesi Tengah</t>
        </is>
      </c>
      <c r="Q61" t="inlineStr"/>
    </row>
    <row r="62">
      <c r="A62" t="inlineStr">
        <is>
          <t>CAHAYA INDAH</t>
        </is>
      </c>
      <c r="B62" t="inlineStr">
        <is>
          <t>Kota Bitung</t>
        </is>
      </c>
      <c r="C62" t="inlineStr">
        <is>
          <t>085399900048</t>
        </is>
      </c>
      <c r="D62" t="inlineStr">
        <is>
          <t>poppietangkilisan@gmail.com</t>
        </is>
      </c>
      <c r="E62" t="inlineStr">
        <is>
          <t>https://lpjk.pu.go.id/search-badan-usaha-detail/WkdLazAzbHN4dE5ZUFNQOW5KdTZ2UT09</t>
        </is>
      </c>
      <c r="F62" t="n">
        <v>1</v>
      </c>
      <c r="G62" t="inlineStr">
        <is>
          <t>BS001</t>
        </is>
      </c>
      <c r="H62" t="inlineStr">
        <is>
          <t>8 Juli 2023</t>
        </is>
      </c>
      <c r="I62" s="2" t="n">
        <v>46270</v>
      </c>
      <c r="J62" t="inlineStr">
        <is>
          <t>Disetujui</t>
        </is>
      </c>
      <c r="K62" t="n">
        <v>60</v>
      </c>
      <c r="L62" t="inlineStr">
        <is>
          <t>5 September 2026</t>
        </is>
      </c>
      <c r="M62" t="inlineStr">
        <is>
          <t>Konstruksi Bangunan Sipil Jalan</t>
        </is>
      </c>
      <c r="N62" t="inlineStr">
        <is>
          <t>K</t>
        </is>
      </c>
      <c r="O62" t="inlineStr">
        <is>
          <t>20230905</t>
        </is>
      </c>
      <c r="P62" t="inlineStr">
        <is>
          <t>Sulawesi Utara</t>
        </is>
      </c>
      <c r="Q62" t="inlineStr"/>
    </row>
    <row r="63">
      <c r="A63" t="inlineStr">
        <is>
          <t>CAHYA SARANA KONSULTAN</t>
        </is>
      </c>
      <c r="B63" t="inlineStr">
        <is>
          <t>Kota Pontianak</t>
        </is>
      </c>
      <c r="C63" t="inlineStr">
        <is>
          <t>08125751442</t>
        </is>
      </c>
      <c r="D63" t="inlineStr">
        <is>
          <t>cvcahyasaranakonsultan1@gmail.com</t>
        </is>
      </c>
      <c r="E63" t="inlineStr">
        <is>
          <t>https://lpjk.pu.go.id/search-badan-usaha-detail/citTeVFvbDJVcDBzV1VoQUM3azBhQT09</t>
        </is>
      </c>
      <c r="F63" t="n">
        <v>3</v>
      </c>
      <c r="G63" t="inlineStr">
        <is>
          <t>RK001, RK002, RK003</t>
        </is>
      </c>
      <c r="H63" t="inlineStr">
        <is>
          <t>29 Juli 2008</t>
        </is>
      </c>
      <c r="I63" s="2" t="n">
        <v>46270</v>
      </c>
      <c r="J63" t="inlineStr">
        <is>
          <t>Disetujui</t>
        </is>
      </c>
      <c r="K63" t="n">
        <v>60</v>
      </c>
      <c r="L63" t="inlineStr">
        <is>
          <t>5 September 2026</t>
        </is>
      </c>
      <c r="M63" t="inlineStr">
        <is>
          <t>Jasa Rekayasa Konstruksi Bangunan Gedung Hunian dan Non Hunian, Jasa Rekayasa Pekerjaan Teknik Sipil Sumber Daya Air, Jasa Rekayasa Pekerjaan Teknik Sipil Transportasi</t>
        </is>
      </c>
      <c r="N63" t="inlineStr">
        <is>
          <t>K</t>
        </is>
      </c>
      <c r="O63" t="inlineStr">
        <is>
          <t>20230807, 20230825</t>
        </is>
      </c>
      <c r="P63" t="inlineStr">
        <is>
          <t>Kalimantan Barat</t>
        </is>
      </c>
      <c r="Q63" t="inlineStr"/>
    </row>
    <row r="64">
      <c r="A64" t="inlineStr">
        <is>
          <t>CANDI SARI</t>
        </is>
      </c>
      <c r="B64" t="inlineStr">
        <is>
          <t>Kab. Bantul</t>
        </is>
      </c>
      <c r="C64" t="inlineStr">
        <is>
          <t>08122735288</t>
        </is>
      </c>
      <c r="D64" t="inlineStr">
        <is>
          <t>cv_candisari19@yahoo.co.id</t>
        </is>
      </c>
      <c r="E64" t="inlineStr">
        <is>
          <t>https://lpjk.pu.go.id/search-badan-usaha-detail/UTcwQWtBV0ovUUQ2RC9LZVZvSUtpUT09</t>
        </is>
      </c>
      <c r="F64" t="n">
        <v>1</v>
      </c>
      <c r="G64" t="inlineStr">
        <is>
          <t>BS005</t>
        </is>
      </c>
      <c r="H64" t="inlineStr">
        <is>
          <t>2 Agustus 2000</t>
        </is>
      </c>
      <c r="I64" s="2" t="n">
        <v>46270</v>
      </c>
      <c r="J64" t="inlineStr">
        <is>
          <t>Disetujui</t>
        </is>
      </c>
      <c r="K64" t="n">
        <v>60</v>
      </c>
      <c r="L64" t="inlineStr">
        <is>
          <t>5 September 2026</t>
        </is>
      </c>
      <c r="M64" t="inlineStr">
        <is>
          <t>Konstruksi Bangunan Sipil Pengolahan Air Bersih</t>
        </is>
      </c>
      <c r="N64" t="inlineStr">
        <is>
          <t>K</t>
        </is>
      </c>
      <c r="O64" t="inlineStr">
        <is>
          <t>20230902</t>
        </is>
      </c>
      <c r="P64" t="inlineStr">
        <is>
          <t>DI Yogyakarta</t>
        </is>
      </c>
      <c r="Q64" t="inlineStr"/>
    </row>
    <row r="65">
      <c r="A65" t="inlineStr">
        <is>
          <t>CARISSA GROUP</t>
        </is>
      </c>
      <c r="B65" t="inlineStr">
        <is>
          <t>Kab. Kepahiang</t>
        </is>
      </c>
      <c r="C65" t="inlineStr">
        <is>
          <t>082280181198</t>
        </is>
      </c>
      <c r="D65" t="inlineStr">
        <is>
          <t>carissakepahiang@gmail.com</t>
        </is>
      </c>
      <c r="E65" t="inlineStr">
        <is>
          <t>https://lpjk.pu.go.id/search-badan-usaha-detail/eDEzNzBXc2lQdXFyQXJ4TlhGd3ZvQT09</t>
        </is>
      </c>
      <c r="F65" t="n">
        <v>1</v>
      </c>
      <c r="G65" t="inlineStr">
        <is>
          <t>BG002</t>
        </is>
      </c>
      <c r="H65" t="inlineStr">
        <is>
          <t>17 Januari 2020</t>
        </is>
      </c>
      <c r="I65" s="2" t="n">
        <v>46270</v>
      </c>
      <c r="J65" t="inlineStr">
        <is>
          <t>Disetujui</t>
        </is>
      </c>
      <c r="K65" t="n">
        <v>60</v>
      </c>
      <c r="L65" t="inlineStr">
        <is>
          <t>5 September 2026</t>
        </is>
      </c>
      <c r="M65" t="inlineStr">
        <is>
          <t>Konstruksi Gedung Perkantoran</t>
        </is>
      </c>
      <c r="N65" t="inlineStr">
        <is>
          <t>K</t>
        </is>
      </c>
      <c r="O65" t="inlineStr">
        <is>
          <t>20230831</t>
        </is>
      </c>
      <c r="P65" t="inlineStr">
        <is>
          <t>Bengkulu</t>
        </is>
      </c>
      <c r="Q65" t="inlineStr"/>
    </row>
    <row r="66">
      <c r="A66" t="inlineStr">
        <is>
          <t>CIPTA ANUGRAH SEJAHTERA</t>
        </is>
      </c>
      <c r="B66" t="inlineStr">
        <is>
          <t>Kota Jambi</t>
        </is>
      </c>
      <c r="C66" t="inlineStr">
        <is>
          <t>085266023190</t>
        </is>
      </c>
      <c r="D66" t="inlineStr">
        <is>
          <t>ciptaanugrah_sejahtera@yahoo.com</t>
        </is>
      </c>
      <c r="E66" t="inlineStr">
        <is>
          <t>https://lpjk.pu.go.id/search-badan-usaha-detail/NWlCanJrcDJpSFViNjBoZlE1RmpTQT09</t>
        </is>
      </c>
      <c r="F66" t="n">
        <v>2</v>
      </c>
      <c r="G66" t="inlineStr">
        <is>
          <t>BS001</t>
        </is>
      </c>
      <c r="H66" t="inlineStr">
        <is>
          <t>16 April 2013</t>
        </is>
      </c>
      <c r="I66" s="2" t="n">
        <v>46270</v>
      </c>
      <c r="J66" t="inlineStr">
        <is>
          <t>Disetujui</t>
        </is>
      </c>
      <c r="K66" t="n">
        <v>60</v>
      </c>
      <c r="L66" t="inlineStr">
        <is>
          <t>5 September 2026</t>
        </is>
      </c>
      <c r="M66" t="inlineStr">
        <is>
          <t>Konstruksi Bangunan Sipil Jalan</t>
        </is>
      </c>
      <c r="N66" t="inlineStr">
        <is>
          <t>K</t>
        </is>
      </c>
      <c r="O66" t="inlineStr">
        <is>
          <t>20230904</t>
        </is>
      </c>
      <c r="P66" t="inlineStr">
        <is>
          <t>Jambi</t>
        </is>
      </c>
      <c r="Q66" t="inlineStr"/>
    </row>
    <row r="67">
      <c r="A67" t="inlineStr">
        <is>
          <t>CIPTAYASA CONSULTANT</t>
        </is>
      </c>
      <c r="B67" t="inlineStr">
        <is>
          <t>Kab. Kotawaringin Barat</t>
        </is>
      </c>
      <c r="C67" t="inlineStr">
        <is>
          <t>081334044155</t>
        </is>
      </c>
      <c r="D67" t="inlineStr">
        <is>
          <t>ciptayasa.consultant80@gmail.com</t>
        </is>
      </c>
      <c r="E67" t="inlineStr">
        <is>
          <t>https://lpjk.pu.go.id/search-badan-usaha-detail/R0pUTXBRUk5RYmMrVHBqYjdLQTQ4Zz09</t>
        </is>
      </c>
      <c r="F67" t="n">
        <v>2</v>
      </c>
      <c r="G67" t="inlineStr">
        <is>
          <t>RK001</t>
        </is>
      </c>
      <c r="H67" t="inlineStr">
        <is>
          <t>28 April 2014</t>
        </is>
      </c>
      <c r="I67" s="2" t="n">
        <v>46270</v>
      </c>
      <c r="J67" t="inlineStr">
        <is>
          <t>Disetujui</t>
        </is>
      </c>
      <c r="K67" t="n">
        <v>60</v>
      </c>
      <c r="L67" t="inlineStr">
        <is>
          <t>5 September 2026</t>
        </is>
      </c>
      <c r="M67" t="inlineStr">
        <is>
          <t>Jasa Rekayasa Konstruksi Bangunan Gedung Hunian dan Non Hunian</t>
        </is>
      </c>
      <c r="N67" t="inlineStr">
        <is>
          <t>K</t>
        </is>
      </c>
      <c r="O67" t="inlineStr">
        <is>
          <t>20230825</t>
        </is>
      </c>
      <c r="P67" t="inlineStr">
        <is>
          <t>Kalimantan Tengah</t>
        </is>
      </c>
      <c r="Q67" t="inlineStr"/>
    </row>
    <row r="68">
      <c r="A68" t="inlineStr">
        <is>
          <t>CITRA CONSULTANT</t>
        </is>
      </c>
      <c r="B68" t="inlineStr">
        <is>
          <t>Kab. Tanah Laut</t>
        </is>
      </c>
      <c r="C68" t="inlineStr">
        <is>
          <t>082153620219</t>
        </is>
      </c>
      <c r="D68" t="inlineStr">
        <is>
          <t>consultantcitra@gmail.com</t>
        </is>
      </c>
      <c r="E68" t="inlineStr">
        <is>
          <t>https://lpjk.pu.go.id/search-badan-usaha-detail/Q1VEWHYyTVhvN2dpOVF5UEplMmx5Zz09</t>
        </is>
      </c>
      <c r="F68" t="n">
        <v>3</v>
      </c>
      <c r="G68" t="inlineStr">
        <is>
          <t>RK001, RK002, RK003</t>
        </is>
      </c>
      <c r="H68" t="inlineStr">
        <is>
          <t>13 Februari 2025</t>
        </is>
      </c>
      <c r="I68" s="2" t="n">
        <v>46270</v>
      </c>
      <c r="J68" t="inlineStr">
        <is>
          <t>Disetujui</t>
        </is>
      </c>
      <c r="K68" t="n">
        <v>60</v>
      </c>
      <c r="L68" t="inlineStr">
        <is>
          <t>5 September 2026</t>
        </is>
      </c>
      <c r="M68" t="inlineStr">
        <is>
          <t>Jasa Rekayasa Konstruksi Bangunan Gedung Hunian dan Non Hunian, Jasa Rekayasa Pekerjaan Teknik Sipil Sumber Daya Air, Jasa Rekayasa Pekerjaan Teknik Sipil Transportasi</t>
        </is>
      </c>
      <c r="N68" t="inlineStr">
        <is>
          <t>K</t>
        </is>
      </c>
      <c r="O68" t="inlineStr">
        <is>
          <t>20230714</t>
        </is>
      </c>
      <c r="P68" t="inlineStr">
        <is>
          <t>Kalimantan Selatan</t>
        </is>
      </c>
      <c r="Q68" t="inlineStr"/>
    </row>
    <row r="69">
      <c r="A69" t="inlineStr">
        <is>
          <t>DARMA JASA</t>
        </is>
      </c>
      <c r="B69" t="inlineStr">
        <is>
          <t>Kab. Sukabumi</t>
        </is>
      </c>
      <c r="C69" t="inlineStr">
        <is>
          <t>081310414218</t>
        </is>
      </c>
      <c r="D69" t="inlineStr">
        <is>
          <t>cvdarmajasa1970@yahoo.com</t>
        </is>
      </c>
      <c r="E69" t="inlineStr">
        <is>
          <t>https://lpjk.pu.go.id/search-badan-usaha-detail/cWRvdzVKSm5FQWdCcEJ2dkdpdFlqUT09</t>
        </is>
      </c>
      <c r="F69" t="n">
        <v>1</v>
      </c>
      <c r="G69" t="inlineStr">
        <is>
          <t>BG005</t>
        </is>
      </c>
      <c r="H69" t="inlineStr">
        <is>
          <t>30 Oktober 2008</t>
        </is>
      </c>
      <c r="I69" s="2" t="n">
        <v>46270</v>
      </c>
      <c r="J69" t="inlineStr">
        <is>
          <t>Disetujui</t>
        </is>
      </c>
      <c r="K69" t="n">
        <v>60</v>
      </c>
      <c r="L69" t="inlineStr">
        <is>
          <t>5 September 2026</t>
        </is>
      </c>
      <c r="M69" t="inlineStr">
        <is>
          <t>Konstruksi Gedung Kesehatan</t>
        </is>
      </c>
      <c r="N69" t="inlineStr">
        <is>
          <t>K</t>
        </is>
      </c>
      <c r="O69" t="inlineStr">
        <is>
          <t>20230713</t>
        </is>
      </c>
      <c r="P69" t="inlineStr">
        <is>
          <t>Jawa Barat</t>
        </is>
      </c>
      <c r="Q69" t="inlineStr"/>
    </row>
    <row r="70">
      <c r="A70" t="inlineStr">
        <is>
          <t>DAYA CIPTA MANDIRI</t>
        </is>
      </c>
      <c r="B70" t="inlineStr">
        <is>
          <t>Kab. Kudus</t>
        </is>
      </c>
      <c r="C70" t="inlineStr">
        <is>
          <t>0291441113</t>
        </is>
      </c>
      <c r="D70" t="inlineStr">
        <is>
          <t>dayaciptamandiri@ymail.com</t>
        </is>
      </c>
      <c r="E70" t="inlineStr">
        <is>
          <t>https://lpjk.pu.go.id/search-badan-usaha-detail/dlRIOUJoZXAvUUFMMWdyK3JxdThZUT09</t>
        </is>
      </c>
      <c r="F70" t="n">
        <v>1</v>
      </c>
      <c r="G70" t="inlineStr">
        <is>
          <t>RK002</t>
        </is>
      </c>
      <c r="H70" t="inlineStr">
        <is>
          <t>9 Desember 2000</t>
        </is>
      </c>
      <c r="I70" s="2" t="n">
        <v>46270</v>
      </c>
      <c r="J70" t="inlineStr">
        <is>
          <t>Disetujui</t>
        </is>
      </c>
      <c r="K70" t="n">
        <v>60</v>
      </c>
      <c r="L70" t="inlineStr">
        <is>
          <t>5 September 2026</t>
        </is>
      </c>
      <c r="M70" t="inlineStr">
        <is>
          <t>Jasa Rekayasa Pekerjaan Teknik Sipil Sumber Daya Air</t>
        </is>
      </c>
      <c r="N70" t="inlineStr">
        <is>
          <t>K</t>
        </is>
      </c>
      <c r="O70" t="inlineStr">
        <is>
          <t>20230821</t>
        </is>
      </c>
      <c r="P70" t="inlineStr">
        <is>
          <t>Jawa Tengah</t>
        </is>
      </c>
      <c r="Q70" t="inlineStr"/>
    </row>
    <row r="71">
      <c r="A71" t="inlineStr">
        <is>
          <t>DELINEASI RUPABUMI KONSULTAN</t>
        </is>
      </c>
      <c r="B71" t="inlineStr">
        <is>
          <t>Kota Makassar</t>
        </is>
      </c>
      <c r="C71" t="inlineStr">
        <is>
          <t>081355555976</t>
        </is>
      </c>
      <c r="D71" t="inlineStr">
        <is>
          <t>delineasirupabumikonsultan@yahoo.com</t>
        </is>
      </c>
      <c r="E71" t="inlineStr">
        <is>
          <t>https://lpjk.pu.go.id/search-badan-usaha-detail/bXk0T0t5Y29hbGNkUnNuYmJBMFBLUT09</t>
        </is>
      </c>
      <c r="F71" t="n">
        <v>1</v>
      </c>
      <c r="G71" t="inlineStr">
        <is>
          <t>AR002</t>
        </is>
      </c>
      <c r="H71" t="inlineStr">
        <is>
          <t>29 November 2016</t>
        </is>
      </c>
      <c r="I71" s="2" t="n">
        <v>46270</v>
      </c>
      <c r="J71" t="inlineStr">
        <is>
          <t>Disetujui</t>
        </is>
      </c>
      <c r="K71" t="n">
        <v>60</v>
      </c>
      <c r="L71" t="inlineStr">
        <is>
          <t>5 September 2026</t>
        </is>
      </c>
      <c r="M71" t="inlineStr">
        <is>
          <t>Jasa Arsitektural Lainnya</t>
        </is>
      </c>
      <c r="N71" t="inlineStr">
        <is>
          <t>K</t>
        </is>
      </c>
      <c r="O71" t="inlineStr">
        <is>
          <t>20230731</t>
        </is>
      </c>
      <c r="P71" t="inlineStr">
        <is>
          <t>Sulawesi Selatan</t>
        </is>
      </c>
      <c r="Q71" t="inlineStr"/>
    </row>
    <row r="72">
      <c r="A72" t="inlineStr">
        <is>
          <t>DEVINDO KONSTRUKSI</t>
        </is>
      </c>
      <c r="B72" t="inlineStr">
        <is>
          <t>Kab. Gowa</t>
        </is>
      </c>
      <c r="C72" t="inlineStr">
        <is>
          <t>085395303597</t>
        </is>
      </c>
      <c r="D72" t="inlineStr">
        <is>
          <t>ogedevindo99@gmail.com</t>
        </is>
      </c>
      <c r="E72" t="inlineStr">
        <is>
          <t>https://lpjk.pu.go.id/search-badan-usaha-detail/aTZhSnhVSmNnNUhiVFZEZzZ5Y0o3UT09</t>
        </is>
      </c>
      <c r="F72" t="n">
        <v>1</v>
      </c>
      <c r="G72" t="inlineStr">
        <is>
          <t>BS007</t>
        </is>
      </c>
      <c r="H72" t="inlineStr">
        <is>
          <t>23 Agustus 2001</t>
        </is>
      </c>
      <c r="I72" s="2" t="n">
        <v>46270</v>
      </c>
      <c r="J72" t="inlineStr">
        <is>
          <t>Pencabutan</t>
        </is>
      </c>
      <c r="K72" t="n">
        <v>60</v>
      </c>
      <c r="L72" t="inlineStr">
        <is>
          <t>5 September 2026</t>
        </is>
      </c>
      <c r="M72" t="inlineStr">
        <is>
          <t>Konstruksi Bangunan Sipil Elektrikal</t>
        </is>
      </c>
      <c r="N72" t="inlineStr">
        <is>
          <t>K</t>
        </is>
      </c>
      <c r="O72" t="inlineStr">
        <is>
          <t>20230905</t>
        </is>
      </c>
      <c r="P72" t="inlineStr">
        <is>
          <t>Sulawesi Selatan</t>
        </is>
      </c>
      <c r="Q72" t="inlineStr"/>
    </row>
    <row r="73">
      <c r="A73" t="inlineStr">
        <is>
          <t>DIAMOND TEKNIK</t>
        </is>
      </c>
      <c r="B73" t="inlineStr">
        <is>
          <t>Kota Surakarta</t>
        </is>
      </c>
      <c r="C73" t="inlineStr">
        <is>
          <t>085101568253</t>
        </is>
      </c>
      <c r="D73" t="inlineStr">
        <is>
          <t>diamondteknik@gmail.com</t>
        </is>
      </c>
      <c r="E73" t="inlineStr">
        <is>
          <t>https://lpjk.pu.go.id/search-badan-usaha-detail/OTlRVjVjNjFOOHhsL21rNEdQb1ZhZz09</t>
        </is>
      </c>
      <c r="F73" t="n">
        <v>5</v>
      </c>
      <c r="G73" t="inlineStr">
        <is>
          <t>BG002, BG005, BG006, BG008, BG009</t>
        </is>
      </c>
      <c r="H73" t="inlineStr">
        <is>
          <t>14 Januari 2008</t>
        </is>
      </c>
      <c r="I73" s="2" t="n">
        <v>46270</v>
      </c>
      <c r="J73" t="inlineStr">
        <is>
          <t>Disetujui</t>
        </is>
      </c>
      <c r="K73" t="n">
        <v>60</v>
      </c>
      <c r="L73" t="inlineStr">
        <is>
          <t>5 September 2026</t>
        </is>
      </c>
      <c r="M73" t="inlineStr">
        <is>
          <t>Konstruksi Gedung Kesehatan, Konstruksi Gedung Lainnya, Konstruksi Gedung Pendidikan, Konstruksi Gedung Perkantoran, Konstruksi Gedung Tempat Hiburan dan Olahraga</t>
        </is>
      </c>
      <c r="N73" t="inlineStr">
        <is>
          <t>K</t>
        </is>
      </c>
      <c r="O73" t="inlineStr">
        <is>
          <t>20230831</t>
        </is>
      </c>
      <c r="P73" t="inlineStr">
        <is>
          <t>Jawa Tengah</t>
        </is>
      </c>
      <c r="Q73" t="inlineStr"/>
    </row>
    <row r="74">
      <c r="A74" t="inlineStr">
        <is>
          <t>DIKA MANDIRI</t>
        </is>
      </c>
      <c r="B74" t="inlineStr">
        <is>
          <t>Kab. Tuban</t>
        </is>
      </c>
      <c r="C74" t="inlineStr">
        <is>
          <t>081331502300</t>
        </is>
      </c>
      <c r="D74" t="inlineStr">
        <is>
          <t>cvdikamandiri@gmail.com</t>
        </is>
      </c>
      <c r="E74" t="inlineStr">
        <is>
          <t>https://lpjk.pu.go.id/search-badan-usaha-detail/bkRYWGJFY2VyL1J3Y0V2UGEySmdGQT09</t>
        </is>
      </c>
      <c r="F74" t="n">
        <v>1</v>
      </c>
      <c r="G74" t="inlineStr">
        <is>
          <t>BS006</t>
        </is>
      </c>
      <c r="H74" t="inlineStr">
        <is>
          <t>30 Juli 2001</t>
        </is>
      </c>
      <c r="I74" s="2" t="n">
        <v>46270</v>
      </c>
      <c r="J74" t="inlineStr">
        <is>
          <t>Disetujui</t>
        </is>
      </c>
      <c r="K74" t="n">
        <v>60</v>
      </c>
      <c r="L74" t="inlineStr">
        <is>
          <t>5 September 2026</t>
        </is>
      </c>
      <c r="M74" t="inlineStr">
        <is>
          <t>Konstruksi Bangunan Sipil Prasarana dan Sarana Sistem Pengolahan Limbah Padat, Cair, dan Gas</t>
        </is>
      </c>
      <c r="N74" t="inlineStr">
        <is>
          <t>K</t>
        </is>
      </c>
      <c r="O74" t="inlineStr">
        <is>
          <t>20230901</t>
        </is>
      </c>
      <c r="P74" t="inlineStr">
        <is>
          <t>Jawa Timur</t>
        </is>
      </c>
      <c r="Q74" t="inlineStr"/>
    </row>
    <row r="75">
      <c r="A75" t="inlineStr">
        <is>
          <t>DUTA KONSTRUKSI PRIBADI</t>
        </is>
      </c>
      <c r="B75" t="inlineStr">
        <is>
          <t>Kota Pontianak</t>
        </is>
      </c>
      <c r="C75" t="inlineStr">
        <is>
          <t>085252523778</t>
        </is>
      </c>
      <c r="D75" t="inlineStr">
        <is>
          <t>dutakontruksi888@gmail.com</t>
        </is>
      </c>
      <c r="E75" t="inlineStr">
        <is>
          <t>https://lpjk.pu.go.id/search-badan-usaha-detail/djBMM212eEQ5djZsUWRZMjJVNFkzQT09</t>
        </is>
      </c>
      <c r="F75" t="n">
        <v>1</v>
      </c>
      <c r="G75" t="inlineStr">
        <is>
          <t>BS001</t>
        </is>
      </c>
      <c r="H75" t="inlineStr">
        <is>
          <t>9 Januari 2020</t>
        </is>
      </c>
      <c r="I75" s="2" t="n">
        <v>46270</v>
      </c>
      <c r="J75" t="inlineStr">
        <is>
          <t>Disetujui</t>
        </is>
      </c>
      <c r="K75" t="n">
        <v>60</v>
      </c>
      <c r="L75" t="inlineStr">
        <is>
          <t>5 September 2026</t>
        </is>
      </c>
      <c r="M75" t="inlineStr">
        <is>
          <t>Konstruksi Bangunan Sipil Jalan</t>
        </is>
      </c>
      <c r="N75" t="inlineStr">
        <is>
          <t>K</t>
        </is>
      </c>
      <c r="O75" t="inlineStr">
        <is>
          <t>20230830</t>
        </is>
      </c>
      <c r="P75" t="inlineStr">
        <is>
          <t>Kalimantan Barat</t>
        </is>
      </c>
      <c r="Q75" t="inlineStr"/>
    </row>
    <row r="76">
      <c r="A76" t="inlineStr">
        <is>
          <t>DWITAMA JATI</t>
        </is>
      </c>
      <c r="B76" t="inlineStr">
        <is>
          <t>Kota Jambi</t>
        </is>
      </c>
      <c r="C76" t="inlineStr">
        <is>
          <t>074140261</t>
        </is>
      </c>
      <c r="D76" t="inlineStr">
        <is>
          <t>cv.dwitama_jati@yahoo.com</t>
        </is>
      </c>
      <c r="E76" t="inlineStr">
        <is>
          <t>https://lpjk.pu.go.id/search-badan-usaha-detail/YVdaRjhQdUU4ZjVvOVhPVzlmTWF0dz09</t>
        </is>
      </c>
      <c r="F76" t="n">
        <v>10</v>
      </c>
      <c r="G76" t="inlineStr">
        <is>
          <t>BG002, BG005, BG006, BG007, BG009</t>
        </is>
      </c>
      <c r="H76" t="inlineStr">
        <is>
          <t>11 Januari 2005</t>
        </is>
      </c>
      <c r="I76" s="2" t="n">
        <v>46270</v>
      </c>
      <c r="J76" t="inlineStr">
        <is>
          <t>Disetujui</t>
        </is>
      </c>
      <c r="K76" t="n">
        <v>60</v>
      </c>
      <c r="L76" t="inlineStr">
        <is>
          <t>5 September 2026</t>
        </is>
      </c>
      <c r="M76" t="inlineStr">
        <is>
          <t>Konstruksi Gedung Kesehatan, Konstruksi Gedung Lainnya, Konstruksi Gedung Pendidikan, Konstruksi Gedung Penginapan, Konstruksi Gedung Perkantoran</t>
        </is>
      </c>
      <c r="N76" t="inlineStr">
        <is>
          <t>K</t>
        </is>
      </c>
      <c r="O76" t="inlineStr">
        <is>
          <t>20230902, 20230904</t>
        </is>
      </c>
      <c r="P76" t="inlineStr">
        <is>
          <t>Jambi</t>
        </is>
      </c>
      <c r="Q76" t="inlineStr"/>
    </row>
    <row r="77">
      <c r="A77" t="inlineStr">
        <is>
          <t>EKA AHMAD</t>
        </is>
      </c>
      <c r="B77" t="inlineStr">
        <is>
          <t>Kota Banjarmasin</t>
        </is>
      </c>
      <c r="C77" t="inlineStr">
        <is>
          <t>085249799946</t>
        </is>
      </c>
      <c r="D77" t="inlineStr">
        <is>
          <t>ekaahmad2020@gmail.com</t>
        </is>
      </c>
      <c r="E77" t="inlineStr">
        <is>
          <t>https://lpjk.pu.go.id/search-badan-usaha-detail/QmF1dXFYY0xOWW5UenljL056aG5Ldz09</t>
        </is>
      </c>
      <c r="F77" t="n">
        <v>1</v>
      </c>
      <c r="G77" t="inlineStr">
        <is>
          <t>BS001</t>
        </is>
      </c>
      <c r="H77" t="inlineStr">
        <is>
          <t>13 Maret 2020</t>
        </is>
      </c>
      <c r="I77" s="2" t="n">
        <v>46270</v>
      </c>
      <c r="J77" t="inlineStr">
        <is>
          <t>Disetujui</t>
        </is>
      </c>
      <c r="K77" t="n">
        <v>60</v>
      </c>
      <c r="L77" t="inlineStr">
        <is>
          <t>5 September 2026</t>
        </is>
      </c>
      <c r="M77" t="inlineStr">
        <is>
          <t>Konstruksi Bangunan Sipil Jalan</t>
        </is>
      </c>
      <c r="N77" t="inlineStr">
        <is>
          <t>K</t>
        </is>
      </c>
      <c r="O77" t="inlineStr">
        <is>
          <t>20230904</t>
        </is>
      </c>
      <c r="P77" t="inlineStr">
        <is>
          <t>Kalimantan Selatan</t>
        </is>
      </c>
      <c r="Q77" t="inlineStr"/>
    </row>
    <row r="78">
      <c r="A78" t="inlineStr">
        <is>
          <t>ELISSA JAYA PERKASA</t>
        </is>
      </c>
      <c r="B78" t="inlineStr">
        <is>
          <t>Kab. Indramayu</t>
        </is>
      </c>
      <c r="C78" t="inlineStr">
        <is>
          <t>08122140860</t>
        </is>
      </c>
      <c r="D78" t="inlineStr">
        <is>
          <t>jaeniakhmad66@yahoo.com</t>
        </is>
      </c>
      <c r="E78" t="inlineStr">
        <is>
          <t>https://lpjk.pu.go.id/search-badan-usaha-detail/eFZ5Ti85aVFibktTUFhZUTJpOGhHQT09</t>
        </is>
      </c>
      <c r="F78" t="n">
        <v>2</v>
      </c>
      <c r="G78" t="inlineStr">
        <is>
          <t>BG005, BG006</t>
        </is>
      </c>
      <c r="H78" t="inlineStr">
        <is>
          <t>2 Agustus 2007</t>
        </is>
      </c>
      <c r="I78" s="2" t="n">
        <v>46270</v>
      </c>
      <c r="J78" t="inlineStr">
        <is>
          <t>Disetujui</t>
        </is>
      </c>
      <c r="K78" t="n">
        <v>60</v>
      </c>
      <c r="L78" t="inlineStr">
        <is>
          <t>5 September 2026</t>
        </is>
      </c>
      <c r="M78" t="inlineStr">
        <is>
          <t>Konstruksi Gedung Kesehatan, Konstruksi Gedung Pendidikan</t>
        </is>
      </c>
      <c r="N78" t="inlineStr">
        <is>
          <t>K</t>
        </is>
      </c>
      <c r="O78" t="inlineStr">
        <is>
          <t>20230831</t>
        </is>
      </c>
      <c r="P78" t="inlineStr">
        <is>
          <t>Jawa Barat</t>
        </is>
      </c>
      <c r="Q78" t="inlineStr"/>
    </row>
    <row r="79">
      <c r="A79" t="inlineStr">
        <is>
          <t>EMPATI KARYA</t>
        </is>
      </c>
      <c r="B79" t="inlineStr">
        <is>
          <t>Kab. Nias</t>
        </is>
      </c>
      <c r="C79" t="inlineStr">
        <is>
          <t>081333332448</t>
        </is>
      </c>
      <c r="D79" t="inlineStr">
        <is>
          <t>cvempatikarya@gmail.com</t>
        </is>
      </c>
      <c r="E79" t="inlineStr">
        <is>
          <t>https://lpjk.pu.go.id/search-badan-usaha-detail/ZXpEWHc5TUJSYWtMNmZJRmtBTXJ2dz09</t>
        </is>
      </c>
      <c r="F79" t="n">
        <v>1</v>
      </c>
      <c r="G79" t="inlineStr">
        <is>
          <t>BS005</t>
        </is>
      </c>
      <c r="H79" t="inlineStr">
        <is>
          <t>19 Juni 2023</t>
        </is>
      </c>
      <c r="I79" s="2" t="n">
        <v>46270</v>
      </c>
      <c r="J79" t="inlineStr">
        <is>
          <t>Disetujui</t>
        </is>
      </c>
      <c r="K79" t="n">
        <v>60</v>
      </c>
      <c r="L79" t="inlineStr">
        <is>
          <t>5 September 2026</t>
        </is>
      </c>
      <c r="M79" t="inlineStr">
        <is>
          <t>Konstruksi Bangunan Sipil Pengolahan Air Bersih</t>
        </is>
      </c>
      <c r="N79" t="inlineStr">
        <is>
          <t>K</t>
        </is>
      </c>
      <c r="O79" t="inlineStr">
        <is>
          <t>20230822</t>
        </is>
      </c>
      <c r="P79" t="inlineStr">
        <is>
          <t>Sumatera Utara</t>
        </is>
      </c>
      <c r="Q79" t="inlineStr"/>
    </row>
    <row r="80">
      <c r="A80" t="inlineStr">
        <is>
          <t>FAIZ DHIYA PUTRA</t>
        </is>
      </c>
      <c r="B80" t="inlineStr">
        <is>
          <t>Kota Tasikmalaya</t>
        </is>
      </c>
      <c r="C80" t="inlineStr">
        <is>
          <t>085220299984</t>
        </is>
      </c>
      <c r="D80" t="inlineStr">
        <is>
          <t>cv.faizdhiyaputra@gmail.com</t>
        </is>
      </c>
      <c r="E80" t="inlineStr">
        <is>
          <t>https://lpjk.pu.go.id/search-badan-usaha-detail/NmNkRzhleVhKS1cweisxYXZMQzJDUT09</t>
        </is>
      </c>
      <c r="F80" t="n">
        <v>2</v>
      </c>
      <c r="G80" t="inlineStr">
        <is>
          <t>BS001, BS004</t>
        </is>
      </c>
      <c r="H80" t="inlineStr">
        <is>
          <t>4 September 2023</t>
        </is>
      </c>
      <c r="I80" s="2" t="n">
        <v>46270</v>
      </c>
      <c r="J80" t="inlineStr">
        <is>
          <t>Pencabutan</t>
        </is>
      </c>
      <c r="K80" t="n">
        <v>60</v>
      </c>
      <c r="L80" t="inlineStr">
        <is>
          <t>5 September 2026</t>
        </is>
      </c>
      <c r="M80" t="inlineStr">
        <is>
          <t>Konstruksi Bangunan Sipil Jalan, Konstruksi Jaringan Irigasi dan Drainase</t>
        </is>
      </c>
      <c r="N80" t="inlineStr">
        <is>
          <t>K</t>
        </is>
      </c>
      <c r="O80" t="inlineStr">
        <is>
          <t>20230905</t>
        </is>
      </c>
      <c r="P80" t="inlineStr">
        <is>
          <t>Jawa Barat</t>
        </is>
      </c>
      <c r="Q80" t="inlineStr"/>
    </row>
    <row r="81">
      <c r="A81" t="inlineStr">
        <is>
          <t>FOKUS PROPERTI INVESTAMA</t>
        </is>
      </c>
      <c r="B81" t="inlineStr">
        <is>
          <t>Kab. Penajam Paser Utara</t>
        </is>
      </c>
      <c r="C81" t="inlineStr">
        <is>
          <t>085246066535</t>
        </is>
      </c>
      <c r="D81" t="inlineStr">
        <is>
          <t>fokuspropertiinvestama@gmail.com</t>
        </is>
      </c>
      <c r="E81" t="inlineStr">
        <is>
          <t>https://lpjk.pu.go.id/search-badan-usaha-detail/UUUvQlluazl1cWZ0RSszYUsvRGNlZz09</t>
        </is>
      </c>
      <c r="F81" t="n">
        <v>1</v>
      </c>
      <c r="G81" t="inlineStr">
        <is>
          <t>BG001</t>
        </is>
      </c>
      <c r="H81" t="inlineStr">
        <is>
          <t>26 Juni 2023</t>
        </is>
      </c>
      <c r="I81" s="2" t="n">
        <v>46270</v>
      </c>
      <c r="J81" t="inlineStr">
        <is>
          <t>Disetujui</t>
        </is>
      </c>
      <c r="K81" t="n">
        <v>60</v>
      </c>
      <c r="L81" t="inlineStr">
        <is>
          <t>5 September 2026</t>
        </is>
      </c>
      <c r="M81" t="inlineStr">
        <is>
          <t>Konstruksi Gedung Hunian</t>
        </is>
      </c>
      <c r="N81" t="inlineStr">
        <is>
          <t>K</t>
        </is>
      </c>
      <c r="O81" t="inlineStr">
        <is>
          <t>20230824</t>
        </is>
      </c>
      <c r="P81" t="inlineStr">
        <is>
          <t>Kalimantan Timur</t>
        </is>
      </c>
      <c r="Q81" t="inlineStr"/>
    </row>
    <row r="82">
      <c r="A82" t="inlineStr">
        <is>
          <t>GAYA ALAM MANDIRI</t>
        </is>
      </c>
      <c r="B82" t="inlineStr">
        <is>
          <t>Kab. Sukabumi</t>
        </is>
      </c>
      <c r="C82" t="inlineStr">
        <is>
          <t>081911997609</t>
        </is>
      </c>
      <c r="D82" t="inlineStr">
        <is>
          <t>cvgayaalamc@gmail.com</t>
        </is>
      </c>
      <c r="E82" t="inlineStr">
        <is>
          <t>https://lpjk.pu.go.id/search-badan-usaha-detail/RDVTbmowTEtnT0txeWVSWFZDY2Vrdz09</t>
        </is>
      </c>
      <c r="F82" t="n">
        <v>3</v>
      </c>
      <c r="G82" t="inlineStr">
        <is>
          <t>BG002, BG005, BG009</t>
        </is>
      </c>
      <c r="H82" t="inlineStr">
        <is>
          <t>30 Maret 2021</t>
        </is>
      </c>
      <c r="I82" s="2" t="n">
        <v>46270</v>
      </c>
      <c r="J82" t="inlineStr">
        <is>
          <t>Disetujui</t>
        </is>
      </c>
      <c r="K82" t="n">
        <v>60</v>
      </c>
      <c r="L82" t="inlineStr">
        <is>
          <t>5 September 2026</t>
        </is>
      </c>
      <c r="M82" t="inlineStr">
        <is>
          <t>Konstruksi Gedung Kesehatan, Konstruksi Gedung Lainnya, Konstruksi Gedung Perkantoran</t>
        </is>
      </c>
      <c r="N82" t="inlineStr">
        <is>
          <t>K</t>
        </is>
      </c>
      <c r="O82" t="inlineStr">
        <is>
          <t>20230905</t>
        </is>
      </c>
      <c r="P82" t="inlineStr">
        <is>
          <t>Jawa Barat</t>
        </is>
      </c>
      <c r="Q82" t="inlineStr"/>
    </row>
    <row r="83">
      <c r="A83" t="inlineStr">
        <is>
          <t>GELANG JAGAD</t>
        </is>
      </c>
      <c r="B83" t="inlineStr">
        <is>
          <t>Kab. Sleman</t>
        </is>
      </c>
      <c r="C83" t="inlineStr">
        <is>
          <t>08121596412</t>
        </is>
      </c>
      <c r="D83" t="inlineStr">
        <is>
          <t>gelangjagadkalasan@gmail.com</t>
        </is>
      </c>
      <c r="E83" t="inlineStr">
        <is>
          <t>https://lpjk.pu.go.id/search-badan-usaha-detail/c2hldUFqaHZ5M3liTlZ3amE1UERhdz09</t>
        </is>
      </c>
      <c r="F83" t="n">
        <v>3</v>
      </c>
      <c r="G83" t="inlineStr">
        <is>
          <t>BG002, BG006, BG009</t>
        </is>
      </c>
      <c r="H83" t="inlineStr">
        <is>
          <t>17 Maret 2016</t>
        </is>
      </c>
      <c r="I83" s="2" t="n">
        <v>46270</v>
      </c>
      <c r="J83" t="inlineStr">
        <is>
          <t>Disetujui</t>
        </is>
      </c>
      <c r="K83" t="n">
        <v>60</v>
      </c>
      <c r="L83" t="inlineStr">
        <is>
          <t>5 September 2026</t>
        </is>
      </c>
      <c r="M83" t="inlineStr">
        <is>
          <t>Konstruksi Gedung Lainnya, Konstruksi Gedung Pendidikan, Konstruksi Gedung Perkantoran</t>
        </is>
      </c>
      <c r="N83" t="inlineStr">
        <is>
          <t>K</t>
        </is>
      </c>
      <c r="O83" t="inlineStr">
        <is>
          <t>20230904</t>
        </is>
      </c>
      <c r="P83" t="inlineStr">
        <is>
          <t>DI Yogyakarta</t>
        </is>
      </c>
      <c r="Q83" t="inlineStr"/>
    </row>
    <row r="84">
      <c r="A84" t="inlineStr">
        <is>
          <t>GEMILANG CIPTA SARANA</t>
        </is>
      </c>
      <c r="B84" t="inlineStr">
        <is>
          <t>Kab. Asahan</t>
        </is>
      </c>
      <c r="C84" t="inlineStr">
        <is>
          <t>082273437555</t>
        </is>
      </c>
      <c r="D84" t="inlineStr">
        <is>
          <t>cv.gemilangciptasarana@gmail.com</t>
        </is>
      </c>
      <c r="E84" t="inlineStr">
        <is>
          <t>https://lpjk.pu.go.id/search-badan-usaha-detail/MWJUZjRWSWh6aU45R3NLUEdYblBOdz09</t>
        </is>
      </c>
      <c r="F84" t="n">
        <v>2</v>
      </c>
      <c r="G84" t="inlineStr">
        <is>
          <t>BG006, BG009</t>
        </is>
      </c>
      <c r="H84" t="inlineStr">
        <is>
          <t>27 November 2015</t>
        </is>
      </c>
      <c r="I84" s="2" t="n">
        <v>46270</v>
      </c>
      <c r="J84" t="inlineStr">
        <is>
          <t>Disetujui</t>
        </is>
      </c>
      <c r="K84" t="n">
        <v>60</v>
      </c>
      <c r="L84" t="inlineStr">
        <is>
          <t>5 September 2026</t>
        </is>
      </c>
      <c r="M84" t="inlineStr">
        <is>
          <t>Konstruksi Gedung Lainnya, Konstruksi Gedung Pendidikan</t>
        </is>
      </c>
      <c r="N84" t="inlineStr">
        <is>
          <t>K</t>
        </is>
      </c>
      <c r="O84" t="inlineStr">
        <is>
          <t>20230905</t>
        </is>
      </c>
      <c r="P84" t="inlineStr">
        <is>
          <t>Sumatera Utara</t>
        </is>
      </c>
      <c r="Q84" t="inlineStr"/>
    </row>
    <row r="85">
      <c r="A85" t="inlineStr">
        <is>
          <t>GINA PUTRI</t>
        </is>
      </c>
      <c r="B85" t="inlineStr">
        <is>
          <t>Kab. Subang</t>
        </is>
      </c>
      <c r="C85" t="inlineStr">
        <is>
          <t>081322656432</t>
        </is>
      </c>
      <c r="D85" t="inlineStr">
        <is>
          <t>cv.gina_putri@yahoo.com</t>
        </is>
      </c>
      <c r="E85" t="inlineStr">
        <is>
          <t>https://lpjk.pu.go.id/search-badan-usaha-detail/QlJYeFMxOWIyRk1rZ2dBMVVQMHQzQT09</t>
        </is>
      </c>
      <c r="F85" t="n">
        <v>2</v>
      </c>
      <c r="G85" t="inlineStr">
        <is>
          <t>BS001, BS002</t>
        </is>
      </c>
      <c r="H85" t="inlineStr">
        <is>
          <t>25 Oktober 2018</t>
        </is>
      </c>
      <c r="I85" s="2" t="n">
        <v>46270</v>
      </c>
      <c r="J85" t="inlineStr">
        <is>
          <t>Pencabutan</t>
        </is>
      </c>
      <c r="K85" t="n">
        <v>60</v>
      </c>
      <c r="L85" t="inlineStr">
        <is>
          <t>5 September 2026</t>
        </is>
      </c>
      <c r="M85" t="inlineStr">
        <is>
          <t>Bangunan Sipil Jembatan, Jalan Layang, Fly Over, dan Underpass, Konstruksi Bangunan Sipil Jalan</t>
        </is>
      </c>
      <c r="N85" t="inlineStr">
        <is>
          <t>K</t>
        </is>
      </c>
      <c r="O85" t="inlineStr">
        <is>
          <t>20230901, 20230905</t>
        </is>
      </c>
      <c r="P85" t="inlineStr">
        <is>
          <t>Jawa Barat</t>
        </is>
      </c>
      <c r="Q85" t="inlineStr"/>
    </row>
    <row r="86">
      <c r="A86" t="inlineStr">
        <is>
          <t>GOLDINDO PRIMA JAYA</t>
        </is>
      </c>
      <c r="B86" t="inlineStr">
        <is>
          <t>Kota Bontang</t>
        </is>
      </c>
      <c r="C86" t="inlineStr">
        <is>
          <t>08125551534</t>
        </is>
      </c>
      <c r="D86" t="inlineStr">
        <is>
          <t>goldindop@gmail.com</t>
        </is>
      </c>
      <c r="E86" t="inlineStr">
        <is>
          <t>https://lpjk.pu.go.id/search-badan-usaha-detail/VEJBbVRxZXRiOUdUMVNwb0NnU3ZLUT09</t>
        </is>
      </c>
      <c r="F86" t="n">
        <v>1</v>
      </c>
      <c r="G86" t="inlineStr">
        <is>
          <t>BS007</t>
        </is>
      </c>
      <c r="H86" t="inlineStr">
        <is>
          <t>12 Januari 2021</t>
        </is>
      </c>
      <c r="I86" s="2" t="n">
        <v>46270</v>
      </c>
      <c r="J86" t="inlineStr">
        <is>
          <t>Disetujui</t>
        </is>
      </c>
      <c r="K86" t="n">
        <v>60</v>
      </c>
      <c r="L86" t="inlineStr">
        <is>
          <t>5 September 2026</t>
        </is>
      </c>
      <c r="M86" t="inlineStr">
        <is>
          <t>Konstruksi Bangunan Sipil Elektrikal</t>
        </is>
      </c>
      <c r="N86" t="inlineStr">
        <is>
          <t>K</t>
        </is>
      </c>
      <c r="O86" t="inlineStr">
        <is>
          <t>20230904</t>
        </is>
      </c>
      <c r="P86" t="inlineStr">
        <is>
          <t>Kalimantan Timur</t>
        </is>
      </c>
      <c r="Q86" t="inlineStr"/>
    </row>
    <row r="87">
      <c r="A87" t="inlineStr">
        <is>
          <t>GRAHA PERKASA ABADI</t>
        </is>
      </c>
      <c r="B87" t="inlineStr">
        <is>
          <t>Kab. Dairi</t>
        </is>
      </c>
      <c r="C87" t="inlineStr">
        <is>
          <t>085376948999</t>
        </is>
      </c>
      <c r="D87" t="inlineStr">
        <is>
          <t>cvgrahaperkasa88@gmail.com</t>
        </is>
      </c>
      <c r="E87" t="inlineStr">
        <is>
          <t>https://lpjk.pu.go.id/search-badan-usaha-detail/T045akhqdXJRTnVkL2lReXJhQ09rQT09</t>
        </is>
      </c>
      <c r="F87" t="n">
        <v>1</v>
      </c>
      <c r="G87" t="inlineStr">
        <is>
          <t>BS004</t>
        </is>
      </c>
      <c r="H87" t="inlineStr">
        <is>
          <t>2 Februari 2023</t>
        </is>
      </c>
      <c r="I87" s="2" t="n">
        <v>46270</v>
      </c>
      <c r="J87" t="inlineStr">
        <is>
          <t>Disetujui</t>
        </is>
      </c>
      <c r="K87" t="n">
        <v>60</v>
      </c>
      <c r="L87" t="inlineStr">
        <is>
          <t>5 September 2026</t>
        </is>
      </c>
      <c r="M87" t="inlineStr">
        <is>
          <t>Konstruksi Jaringan Irigasi dan Drainase</t>
        </is>
      </c>
      <c r="N87" t="inlineStr">
        <is>
          <t>K</t>
        </is>
      </c>
      <c r="O87" t="inlineStr">
        <is>
          <t>20230808</t>
        </is>
      </c>
      <c r="P87" t="inlineStr">
        <is>
          <t>Sumatera Utara</t>
        </is>
      </c>
      <c r="Q87" t="inlineStr"/>
    </row>
    <row r="88">
      <c r="A88" t="inlineStr">
        <is>
          <t>GRAND ABADI GEMILANG</t>
        </is>
      </c>
      <c r="B88" t="inlineStr">
        <is>
          <t>Kab. Maros</t>
        </is>
      </c>
      <c r="C88" t="inlineStr">
        <is>
          <t>081242800767</t>
        </is>
      </c>
      <c r="D88" t="inlineStr">
        <is>
          <t>cv.grandabadigemilang77@gmail.com</t>
        </is>
      </c>
      <c r="E88" t="inlineStr">
        <is>
          <t>https://lpjk.pu.go.id/search-badan-usaha-detail/d2NieGVLM1NUOWdLYzMva0lmWkJRZz09</t>
        </is>
      </c>
      <c r="F88" t="n">
        <v>2</v>
      </c>
      <c r="G88" t="inlineStr">
        <is>
          <t>BG006, BS001</t>
        </is>
      </c>
      <c r="H88" t="inlineStr">
        <is>
          <t>3 Februari 2023</t>
        </is>
      </c>
      <c r="I88" s="2" t="n">
        <v>46270</v>
      </c>
      <c r="J88" t="inlineStr">
        <is>
          <t>Disetujui</t>
        </is>
      </c>
      <c r="K88" t="n">
        <v>60</v>
      </c>
      <c r="L88" t="inlineStr">
        <is>
          <t>5 September 2026</t>
        </is>
      </c>
      <c r="M88" t="inlineStr">
        <is>
          <t>Konstruksi Bangunan Sipil Jalan, Konstruksi Gedung Pendidikan</t>
        </is>
      </c>
      <c r="N88" t="inlineStr">
        <is>
          <t>K</t>
        </is>
      </c>
      <c r="O88" t="inlineStr">
        <is>
          <t>20230905</t>
        </is>
      </c>
      <c r="P88" t="inlineStr">
        <is>
          <t>Sulawesi Selatan</t>
        </is>
      </c>
      <c r="Q88" t="inlineStr"/>
    </row>
    <row r="89">
      <c r="A89" t="inlineStr">
        <is>
          <t>GUNA TATA SINAMBUNG</t>
        </is>
      </c>
      <c r="B89" t="inlineStr">
        <is>
          <t>Kab. Subang</t>
        </is>
      </c>
      <c r="C89" t="inlineStr">
        <is>
          <t>081220257920</t>
        </is>
      </c>
      <c r="D89" t="inlineStr">
        <is>
          <t>gunatatasinambung1996@yahoo.com</t>
        </is>
      </c>
      <c r="E89" t="inlineStr">
        <is>
          <t>https://lpjk.pu.go.id/search-badan-usaha-detail/S09QbTlJT1dYU0FDbVhYUk1EOGRVQT09</t>
        </is>
      </c>
      <c r="F89" t="n">
        <v>1</v>
      </c>
      <c r="G89" t="inlineStr">
        <is>
          <t>BG003</t>
        </is>
      </c>
      <c r="H89" t="inlineStr">
        <is>
          <t>4 Maret 1996</t>
        </is>
      </c>
      <c r="I89" s="2" t="n">
        <v>46270</v>
      </c>
      <c r="J89" t="inlineStr">
        <is>
          <t>Pencabutan</t>
        </is>
      </c>
      <c r="K89" t="n">
        <v>60</v>
      </c>
      <c r="L89" t="inlineStr">
        <is>
          <t>5 September 2026</t>
        </is>
      </c>
      <c r="M89" t="inlineStr">
        <is>
          <t>Konstruksi Gedung Industri</t>
        </is>
      </c>
      <c r="N89" t="inlineStr">
        <is>
          <t>K</t>
        </is>
      </c>
      <c r="O89" t="inlineStr">
        <is>
          <t>20230901</t>
        </is>
      </c>
      <c r="P89" t="inlineStr">
        <is>
          <t>Jawa Barat</t>
        </is>
      </c>
      <c r="Q89" t="inlineStr"/>
    </row>
    <row r="90">
      <c r="A90" t="inlineStr">
        <is>
          <t>HARMONI THREE STARS</t>
        </is>
      </c>
      <c r="B90" t="inlineStr">
        <is>
          <t>Kab. Toba Samosir</t>
        </is>
      </c>
      <c r="C90" t="inlineStr">
        <is>
          <t>082163513705</t>
        </is>
      </c>
      <c r="D90" t="inlineStr">
        <is>
          <t>cvharmoni79@gmail.com</t>
        </is>
      </c>
      <c r="E90" t="inlineStr">
        <is>
          <t>https://lpjk.pu.go.id/search-badan-usaha-detail/Wm03ckVoNmg1WWl2WG1Dc2dTYWErQT09</t>
        </is>
      </c>
      <c r="F90" t="n">
        <v>2</v>
      </c>
      <c r="G90" t="inlineStr">
        <is>
          <t>BG006, BG009</t>
        </is>
      </c>
      <c r="H90" t="inlineStr">
        <is>
          <t>27 Juni 2023</t>
        </is>
      </c>
      <c r="I90" s="2" t="n">
        <v>46270</v>
      </c>
      <c r="J90" t="inlineStr">
        <is>
          <t>Disetujui</t>
        </is>
      </c>
      <c r="K90" t="n">
        <v>60</v>
      </c>
      <c r="L90" t="inlineStr">
        <is>
          <t>5 September 2026</t>
        </is>
      </c>
      <c r="M90" t="inlineStr">
        <is>
          <t>Konstruksi Gedung Lainnya, Konstruksi Gedung Pendidikan</t>
        </is>
      </c>
      <c r="N90" t="inlineStr">
        <is>
          <t>K</t>
        </is>
      </c>
      <c r="O90" t="inlineStr">
        <is>
          <t>20230906</t>
        </is>
      </c>
      <c r="P90" t="inlineStr">
        <is>
          <t>Sumatera Utara</t>
        </is>
      </c>
      <c r="Q90" t="inlineStr"/>
    </row>
    <row r="91">
      <c r="A91" t="inlineStr">
        <is>
          <t>HARTA RAYA</t>
        </is>
      </c>
      <c r="B91" t="inlineStr">
        <is>
          <t>Kab. Bandung</t>
        </is>
      </c>
      <c r="C91" t="inlineStr">
        <is>
          <t>081312040415</t>
        </is>
      </c>
      <c r="D91" t="inlineStr">
        <is>
          <t>hartarayacv@gmail.com</t>
        </is>
      </c>
      <c r="E91" t="inlineStr">
        <is>
          <t>https://lpjk.pu.go.id/search-badan-usaha-detail/aUwxOE5IcTZxQTh4R3BFWjg3cS9EUT09</t>
        </is>
      </c>
      <c r="F91" t="n">
        <v>1</v>
      </c>
      <c r="G91" t="inlineStr">
        <is>
          <t>BG005</t>
        </is>
      </c>
      <c r="H91" t="inlineStr">
        <is>
          <t>18 Januari 2018</t>
        </is>
      </c>
      <c r="I91" s="2" t="n">
        <v>46270</v>
      </c>
      <c r="J91" t="inlineStr">
        <is>
          <t>Disetujui</t>
        </is>
      </c>
      <c r="K91" t="n">
        <v>60</v>
      </c>
      <c r="L91" t="inlineStr">
        <is>
          <t>5 September 2026</t>
        </is>
      </c>
      <c r="M91" t="inlineStr">
        <is>
          <t>Konstruksi Gedung Kesehatan</t>
        </is>
      </c>
      <c r="N91" t="inlineStr">
        <is>
          <t>K</t>
        </is>
      </c>
      <c r="O91" t="inlineStr">
        <is>
          <t>20230905</t>
        </is>
      </c>
      <c r="P91" t="inlineStr">
        <is>
          <t>Jawa Barat</t>
        </is>
      </c>
      <c r="Q91" t="inlineStr"/>
    </row>
    <row r="92">
      <c r="A92" t="inlineStr">
        <is>
          <t>HASIL BARU SEJAHTERA</t>
        </is>
      </c>
      <c r="B92" t="inlineStr">
        <is>
          <t>Kota Cilegon</t>
        </is>
      </c>
      <c r="C92" t="inlineStr">
        <is>
          <t>085281762170</t>
        </is>
      </c>
      <c r="D92" t="inlineStr">
        <is>
          <t>hasilbarusejahtera01@GMAIL.COM</t>
        </is>
      </c>
      <c r="E92" t="inlineStr">
        <is>
          <t>https://lpjk.pu.go.id/search-badan-usaha-detail/T0k3bTY5YStLOCs0TVd5QnZlSXN5dz09</t>
        </is>
      </c>
      <c r="F92" t="n">
        <v>2</v>
      </c>
      <c r="G92" t="inlineStr">
        <is>
          <t>BG003, BG009</t>
        </is>
      </c>
      <c r="H92" t="inlineStr">
        <is>
          <t>7 Agustus 2023</t>
        </is>
      </c>
      <c r="I92" s="2" t="n">
        <v>46270</v>
      </c>
      <c r="J92" t="inlineStr">
        <is>
          <t>Disetujui</t>
        </is>
      </c>
      <c r="K92" t="n">
        <v>60</v>
      </c>
      <c r="L92" t="inlineStr">
        <is>
          <t>5 September 2026</t>
        </is>
      </c>
      <c r="M92" t="inlineStr">
        <is>
          <t>Konstruksi Gedung Industri, Konstruksi Gedung Lainnya</t>
        </is>
      </c>
      <c r="N92" t="inlineStr">
        <is>
          <t>K</t>
        </is>
      </c>
      <c r="O92" t="inlineStr">
        <is>
          <t>20230901</t>
        </is>
      </c>
      <c r="P92" t="inlineStr">
        <is>
          <t>Banten</t>
        </is>
      </c>
      <c r="Q92" t="inlineStr"/>
    </row>
    <row r="93">
      <c r="A93" t="inlineStr">
        <is>
          <t>HENDRAWANSYAH MULTI UTAMA</t>
        </is>
      </c>
      <c r="B93" t="inlineStr">
        <is>
          <t>Kota Medan</t>
        </is>
      </c>
      <c r="C93" t="inlineStr">
        <is>
          <t>081397345580</t>
        </is>
      </c>
      <c r="D93" t="inlineStr">
        <is>
          <t>hendrawansyah.multi.utama@gmail.com</t>
        </is>
      </c>
      <c r="E93" t="inlineStr">
        <is>
          <t>https://lpjk.pu.go.id/search-badan-usaha-detail/TmhBb0dJTUZPc2tJTEJnR2lOQ1lNUT09</t>
        </is>
      </c>
      <c r="F93" t="n">
        <v>3</v>
      </c>
      <c r="G93" t="inlineStr">
        <is>
          <t>BG001, BG003, BG009</t>
        </is>
      </c>
      <c r="H93" t="inlineStr">
        <is>
          <t>31 Oktober 2020</t>
        </is>
      </c>
      <c r="I93" s="2" t="n">
        <v>46270</v>
      </c>
      <c r="J93" t="inlineStr">
        <is>
          <t>Disetujui</t>
        </is>
      </c>
      <c r="K93" t="n">
        <v>60</v>
      </c>
      <c r="L93" t="inlineStr">
        <is>
          <t>5 September 2026</t>
        </is>
      </c>
      <c r="M93" t="inlineStr">
        <is>
          <t>Konstruksi Gedung Hunian, Konstruksi Gedung Industri, Konstruksi Gedung Lainnya</t>
        </is>
      </c>
      <c r="N93" t="inlineStr">
        <is>
          <t>K</t>
        </is>
      </c>
      <c r="O93" t="inlineStr">
        <is>
          <t>20230821</t>
        </is>
      </c>
      <c r="P93" t="inlineStr">
        <is>
          <t>Sumatera Utara</t>
        </is>
      </c>
      <c r="Q93" t="inlineStr"/>
    </row>
    <row r="94">
      <c r="A94" t="inlineStr">
        <is>
          <t>HIJRAH SUKSES</t>
        </is>
      </c>
      <c r="B94" t="inlineStr">
        <is>
          <t>Kab. Lombok Tengah</t>
        </is>
      </c>
      <c r="C94" t="inlineStr">
        <is>
          <t>081916063339</t>
        </is>
      </c>
      <c r="D94" t="inlineStr">
        <is>
          <t>cvhijrahsukses@gmail.com</t>
        </is>
      </c>
      <c r="E94" t="inlineStr">
        <is>
          <t>https://lpjk.pu.go.id/search-badan-usaha-detail/RmZranhsVU9vcUNXQ1BVeGIxV2NOdz09</t>
        </is>
      </c>
      <c r="F94" t="n">
        <v>2</v>
      </c>
      <c r="G94" t="inlineStr">
        <is>
          <t>BS004</t>
        </is>
      </c>
      <c r="H94" t="inlineStr">
        <is>
          <t>22 Desember 2005</t>
        </is>
      </c>
      <c r="I94" s="2" t="n">
        <v>46270</v>
      </c>
      <c r="J94" t="inlineStr">
        <is>
          <t>Pencabutan</t>
        </is>
      </c>
      <c r="K94" t="n">
        <v>60</v>
      </c>
      <c r="L94" t="inlineStr">
        <is>
          <t>5 September 2026</t>
        </is>
      </c>
      <c r="M94" t="inlineStr">
        <is>
          <t>Konstruksi Jaringan Irigasi dan Drainase</t>
        </is>
      </c>
      <c r="N94" t="inlineStr">
        <is>
          <t>K</t>
        </is>
      </c>
      <c r="O94" t="inlineStr">
        <is>
          <t>20230823</t>
        </is>
      </c>
      <c r="P94" t="inlineStr">
        <is>
          <t>Nusa Tenggara Barat</t>
        </is>
      </c>
      <c r="Q94" t="inlineStr"/>
    </row>
    <row r="95">
      <c r="A95" t="inlineStr">
        <is>
          <t>HIZBA KARYA PERSADA</t>
        </is>
      </c>
      <c r="B95" t="inlineStr">
        <is>
          <t>Kab. Tasikmalaya</t>
        </is>
      </c>
      <c r="C95" t="inlineStr">
        <is>
          <t>085223189992</t>
        </is>
      </c>
      <c r="D95" t="inlineStr">
        <is>
          <t>hizbakaryapersada@gmail.com</t>
        </is>
      </c>
      <c r="E95" t="inlineStr">
        <is>
          <t>https://lpjk.pu.go.id/search-badan-usaha-detail/cUZKMVBGb0NTN1ZSdjhjOEFXNzFxZz09</t>
        </is>
      </c>
      <c r="F95" t="n">
        <v>1</v>
      </c>
      <c r="G95" t="inlineStr">
        <is>
          <t>BS004</t>
        </is>
      </c>
      <c r="H95" t="inlineStr">
        <is>
          <t>27 Juni 2019</t>
        </is>
      </c>
      <c r="I95" s="2" t="n">
        <v>46270</v>
      </c>
      <c r="J95" t="inlineStr">
        <is>
          <t>Pencabutan</t>
        </is>
      </c>
      <c r="K95" t="n">
        <v>60</v>
      </c>
      <c r="L95" t="inlineStr">
        <is>
          <t>5 September 2026</t>
        </is>
      </c>
      <c r="M95" t="inlineStr">
        <is>
          <t>Konstruksi Jaringan Irigasi dan Drainase</t>
        </is>
      </c>
      <c r="N95" t="inlineStr">
        <is>
          <t>K</t>
        </is>
      </c>
      <c r="O95" t="inlineStr">
        <is>
          <t>20230904</t>
        </is>
      </c>
      <c r="P95" t="inlineStr">
        <is>
          <t>Jawa Barat</t>
        </is>
      </c>
      <c r="Q95" t="inlineStr"/>
    </row>
    <row r="96">
      <c r="A96" t="inlineStr">
        <is>
          <t>HORISON KARYA</t>
        </is>
      </c>
      <c r="B96" t="inlineStr">
        <is>
          <t>Kab. Banyuwangi</t>
        </is>
      </c>
      <c r="C96" t="inlineStr">
        <is>
          <t>081359566182</t>
        </is>
      </c>
      <c r="D96" t="inlineStr">
        <is>
          <t>horisonkarya@gmail.com</t>
        </is>
      </c>
      <c r="E96" t="inlineStr">
        <is>
          <t>https://lpjk.pu.go.id/search-badan-usaha-detail/VVQ3ME1BeDQ1TlVQdDlzb3Q0QUJhUT09</t>
        </is>
      </c>
      <c r="F96" t="n">
        <v>1</v>
      </c>
      <c r="G96" t="inlineStr">
        <is>
          <t>BS001</t>
        </is>
      </c>
      <c r="H96" t="inlineStr">
        <is>
          <t>9 April 2008</t>
        </is>
      </c>
      <c r="I96" s="2" t="n">
        <v>46270</v>
      </c>
      <c r="J96" t="inlineStr">
        <is>
          <t>Disetujui</t>
        </is>
      </c>
      <c r="K96" t="n">
        <v>60</v>
      </c>
      <c r="L96" t="inlineStr">
        <is>
          <t>5 September 2026</t>
        </is>
      </c>
      <c r="M96" t="inlineStr">
        <is>
          <t>Konstruksi Bangunan Sipil Jalan</t>
        </is>
      </c>
      <c r="N96" t="inlineStr">
        <is>
          <t>K</t>
        </is>
      </c>
      <c r="O96" t="inlineStr">
        <is>
          <t>20230826</t>
        </is>
      </c>
      <c r="P96" t="inlineStr">
        <is>
          <t>Jawa Timur</t>
        </is>
      </c>
      <c r="Q96" t="inlineStr"/>
    </row>
    <row r="97">
      <c r="A97" t="inlineStr">
        <is>
          <t>IDEA GROUP</t>
        </is>
      </c>
      <c r="B97" t="inlineStr">
        <is>
          <t>Kab. Indramayu</t>
        </is>
      </c>
      <c r="C97" t="inlineStr">
        <is>
          <t>085314450218</t>
        </is>
      </c>
      <c r="D97" t="inlineStr">
        <is>
          <t>ideagroup.cv@gmail.com</t>
        </is>
      </c>
      <c r="E97" t="inlineStr">
        <is>
          <t>https://lpjk.pu.go.id/search-badan-usaha-detail/WEJwNUM2Sng5WGFpdVBLQW9yTU9hUT09</t>
        </is>
      </c>
      <c r="F97" t="n">
        <v>3</v>
      </c>
      <c r="G97" t="inlineStr">
        <is>
          <t>BG005, BG006, BG009</t>
        </is>
      </c>
      <c r="H97" t="inlineStr">
        <is>
          <t>13 Juni 2019</t>
        </is>
      </c>
      <c r="I97" s="2" t="n">
        <v>46270</v>
      </c>
      <c r="J97" t="inlineStr">
        <is>
          <t>Disetujui</t>
        </is>
      </c>
      <c r="K97" t="n">
        <v>60</v>
      </c>
      <c r="L97" t="inlineStr">
        <is>
          <t>5 September 2026</t>
        </is>
      </c>
      <c r="M97" t="inlineStr">
        <is>
          <t>Konstruksi Gedung Kesehatan, Konstruksi Gedung Lainnya, Konstruksi Gedung Pendidikan</t>
        </is>
      </c>
      <c r="N97" t="inlineStr">
        <is>
          <t>K</t>
        </is>
      </c>
      <c r="O97" t="inlineStr">
        <is>
          <t>20230904</t>
        </is>
      </c>
      <c r="P97" t="inlineStr">
        <is>
          <t>Jawa Barat</t>
        </is>
      </c>
      <c r="Q97" t="inlineStr"/>
    </row>
    <row r="98">
      <c r="A98" t="inlineStr">
        <is>
          <t>ILHAM JAYA</t>
        </is>
      </c>
      <c r="B98" t="inlineStr">
        <is>
          <t>Kab. Rokan Hilir</t>
        </is>
      </c>
      <c r="C98" t="inlineStr">
        <is>
          <t>085374946111</t>
        </is>
      </c>
      <c r="D98" t="inlineStr">
        <is>
          <t>ilhamjaya688@yahoo.com</t>
        </is>
      </c>
      <c r="E98" t="inlineStr">
        <is>
          <t>https://lpjk.pu.go.id/search-badan-usaha-detail/QmtyVzdKT1hPQ2NpRG5GbXUwQm9xUT09</t>
        </is>
      </c>
      <c r="F98" t="n">
        <v>5</v>
      </c>
      <c r="G98" t="inlineStr">
        <is>
          <t>BG006, BG009, BS001, BS002, BS004</t>
        </is>
      </c>
      <c r="H98" t="inlineStr">
        <is>
          <t>14 Maret 2000</t>
        </is>
      </c>
      <c r="I98" s="2" t="n">
        <v>46270</v>
      </c>
      <c r="J98" t="inlineStr">
        <is>
          <t>Disetujui</t>
        </is>
      </c>
      <c r="K98" t="n">
        <v>60</v>
      </c>
      <c r="L98" t="inlineStr">
        <is>
          <t>5 September 2026</t>
        </is>
      </c>
      <c r="M98" t="inlineStr">
        <is>
          <t>Bangunan Sipil Jembatan, Jalan Layang, Fly Over, dan Underpass, Konstruksi Bangunan Sipil Jalan, Konstruksi Gedung Lainnya, Konstruksi Gedung Pendidikan, Konstruksi Jaringan Irigasi dan Drainase</t>
        </is>
      </c>
      <c r="N98" t="inlineStr">
        <is>
          <t>K</t>
        </is>
      </c>
      <c r="O98" t="inlineStr">
        <is>
          <t>20230905</t>
        </is>
      </c>
      <c r="P98" t="inlineStr">
        <is>
          <t>Riau</t>
        </is>
      </c>
      <c r="Q98" t="inlineStr"/>
    </row>
    <row r="99">
      <c r="A99" t="inlineStr">
        <is>
          <t>INDO PROPERTY PERMATA</t>
        </is>
      </c>
      <c r="B99" t="inlineStr">
        <is>
          <t>Kab. Polewali Mandar</t>
        </is>
      </c>
      <c r="C99" t="inlineStr">
        <is>
          <t>085242498350</t>
        </is>
      </c>
      <c r="D99" t="inlineStr">
        <is>
          <t>indopropertypermata@gmail.com</t>
        </is>
      </c>
      <c r="E99" t="inlineStr">
        <is>
          <t>https://lpjk.pu.go.id/search-badan-usaha-detail/Q0RuM0wwTktvb1Jyc3ZqdVoxSm00dz09</t>
        </is>
      </c>
      <c r="F99" t="n">
        <v>1</v>
      </c>
      <c r="G99" t="inlineStr">
        <is>
          <t>BS001</t>
        </is>
      </c>
      <c r="H99" t="inlineStr">
        <is>
          <t>1 September 2023</t>
        </is>
      </c>
      <c r="I99" s="2" t="n">
        <v>46270</v>
      </c>
      <c r="J99" t="inlineStr">
        <is>
          <t>Pencabutan</t>
        </is>
      </c>
      <c r="K99" t="n">
        <v>60</v>
      </c>
      <c r="L99" t="inlineStr">
        <is>
          <t>5 September 2026</t>
        </is>
      </c>
      <c r="M99" t="inlineStr">
        <is>
          <t>Konstruksi Bangunan Sipil Jalan</t>
        </is>
      </c>
      <c r="N99" t="inlineStr">
        <is>
          <t>K</t>
        </is>
      </c>
      <c r="O99" t="inlineStr">
        <is>
          <t>20230905</t>
        </is>
      </c>
      <c r="P99" t="inlineStr">
        <is>
          <t>Sulawesi Barat</t>
        </is>
      </c>
      <c r="Q99" t="inlineStr"/>
    </row>
    <row r="100">
      <c r="A100" t="inlineStr">
        <is>
          <t>INDOPENTA BUMI PERMAI</t>
        </is>
      </c>
      <c r="B100" t="inlineStr">
        <is>
          <t>Kota Surabaya</t>
        </is>
      </c>
      <c r="C100" t="inlineStr">
        <is>
          <t>03199858662</t>
        </is>
      </c>
      <c r="D100" t="inlineStr">
        <is>
          <t>support@indopenta.com</t>
        </is>
      </c>
      <c r="E100" t="inlineStr">
        <is>
          <t>https://lpjk.pu.go.id/search-badan-usaha-detail/ZVVXK3RVQ3Y2SGJ6NGVLRjlWaEg4QT09</t>
        </is>
      </c>
      <c r="F100" t="n">
        <v>2</v>
      </c>
      <c r="G100" t="inlineStr">
        <is>
          <t>BS001, BS004</t>
        </is>
      </c>
      <c r="H100" t="inlineStr">
        <is>
          <t>25 Agustus 1999</t>
        </is>
      </c>
      <c r="I100" s="2" t="n">
        <v>46270</v>
      </c>
      <c r="J100" t="inlineStr">
        <is>
          <t>Disetujui</t>
        </is>
      </c>
      <c r="K100" t="n">
        <v>60</v>
      </c>
      <c r="L100" t="inlineStr">
        <is>
          <t>5 September 2026</t>
        </is>
      </c>
      <c r="M100" t="inlineStr">
        <is>
          <t>Konstruksi Bangunan Sipil Jalan, Konstruksi Jaringan Irigasi dan Drainase</t>
        </is>
      </c>
      <c r="N100" t="inlineStr">
        <is>
          <t>M</t>
        </is>
      </c>
      <c r="O100" t="inlineStr">
        <is>
          <t>20230830</t>
        </is>
      </c>
      <c r="P100" t="inlineStr">
        <is>
          <t>Jawa Timur</t>
        </is>
      </c>
      <c r="Q100" t="inlineStr"/>
    </row>
    <row r="101">
      <c r="A101" t="inlineStr">
        <is>
          <t>INDRICHA</t>
        </is>
      </c>
      <c r="B101" t="inlineStr">
        <is>
          <t>Kab. Kutai Timur</t>
        </is>
      </c>
      <c r="C101" t="inlineStr">
        <is>
          <t>082148908076</t>
        </is>
      </c>
      <c r="D101" t="inlineStr">
        <is>
          <t>indrichacv@gmail.com</t>
        </is>
      </c>
      <c r="E101" t="inlineStr">
        <is>
          <t>https://lpjk.pu.go.id/search-badan-usaha-detail/Mk4xcVJDeXdsWlJjdUMrRURZL3dZQT09</t>
        </is>
      </c>
      <c r="F101" t="n">
        <v>2</v>
      </c>
      <c r="G101" t="inlineStr">
        <is>
          <t>BG005, BG006</t>
        </is>
      </c>
      <c r="H101" t="inlineStr">
        <is>
          <t>17 Januari 2004</t>
        </is>
      </c>
      <c r="I101" s="2" t="n">
        <v>46270</v>
      </c>
      <c r="J101" t="inlineStr">
        <is>
          <t>Disetujui</t>
        </is>
      </c>
      <c r="K101" t="n">
        <v>60</v>
      </c>
      <c r="L101" t="inlineStr">
        <is>
          <t>5 September 2026</t>
        </is>
      </c>
      <c r="M101" t="inlineStr">
        <is>
          <t>Konstruksi Gedung Kesehatan, Konstruksi Gedung Pendidikan</t>
        </is>
      </c>
      <c r="N101" t="inlineStr">
        <is>
          <t>K</t>
        </is>
      </c>
      <c r="O101" t="inlineStr">
        <is>
          <t>20230906</t>
        </is>
      </c>
      <c r="P101" t="inlineStr">
        <is>
          <t>Kalimantan Timur</t>
        </is>
      </c>
      <c r="Q101" t="inlineStr"/>
    </row>
    <row r="102">
      <c r="A102" t="inlineStr">
        <is>
          <t>INFINITY PROJECT</t>
        </is>
      </c>
      <c r="B102" t="inlineStr">
        <is>
          <t>Kab. Tanah Bumbu</t>
        </is>
      </c>
      <c r="C102" t="inlineStr">
        <is>
          <t>085251933688</t>
        </is>
      </c>
      <c r="D102" t="inlineStr">
        <is>
          <t>projectinfinity968@gmail.com</t>
        </is>
      </c>
      <c r="E102" t="inlineStr">
        <is>
          <t>https://lpjk.pu.go.id/search-badan-usaha-detail/NjNuRjBFS0NGU2ZjSWJDL1dObjJKQT09</t>
        </is>
      </c>
      <c r="F102" t="n">
        <v>1</v>
      </c>
      <c r="G102" t="inlineStr">
        <is>
          <t>BG005</t>
        </is>
      </c>
      <c r="H102" t="inlineStr">
        <is>
          <t>9 Maret 2021</t>
        </is>
      </c>
      <c r="I102" s="2" t="n">
        <v>46270</v>
      </c>
      <c r="J102" t="inlineStr">
        <is>
          <t>Disetujui</t>
        </is>
      </c>
      <c r="K102" t="n">
        <v>60</v>
      </c>
      <c r="L102" t="inlineStr">
        <is>
          <t>5 September 2026</t>
        </is>
      </c>
      <c r="M102" t="inlineStr">
        <is>
          <t>Konstruksi Gedung Kesehatan</t>
        </is>
      </c>
      <c r="N102" t="inlineStr">
        <is>
          <t>K</t>
        </is>
      </c>
      <c r="O102" t="inlineStr">
        <is>
          <t>20230906</t>
        </is>
      </c>
      <c r="P102" t="inlineStr">
        <is>
          <t>Kalimantan Selatan</t>
        </is>
      </c>
      <c r="Q102" t="inlineStr"/>
    </row>
    <row r="103">
      <c r="A103" t="inlineStr">
        <is>
          <t>INSAN UTAMA</t>
        </is>
      </c>
      <c r="B103" t="inlineStr">
        <is>
          <t>Kab. Bojonegoro</t>
        </is>
      </c>
      <c r="C103" t="inlineStr">
        <is>
          <t>082219606840</t>
        </is>
      </c>
      <c r="D103" t="inlineStr">
        <is>
          <t>insanutamacv.bjn@gmail.com</t>
        </is>
      </c>
      <c r="E103" t="inlineStr">
        <is>
          <t>https://lpjk.pu.go.id/search-badan-usaha-detail/SjJBOEJwclJwM1R1cHZIRDdsYk9nZz09</t>
        </is>
      </c>
      <c r="F103" t="n">
        <v>5</v>
      </c>
      <c r="G103" t="inlineStr">
        <is>
          <t>BG001, BG004, BG005, BG006, BS002</t>
        </is>
      </c>
      <c r="H103" t="inlineStr">
        <is>
          <t>17 Oktober 1997</t>
        </is>
      </c>
      <c r="I103" s="2" t="n">
        <v>46270</v>
      </c>
      <c r="J103" t="inlineStr">
        <is>
          <t>Disetujui</t>
        </is>
      </c>
      <c r="K103" t="n">
        <v>60</v>
      </c>
      <c r="L103" t="inlineStr">
        <is>
          <t>5 September 2026</t>
        </is>
      </c>
      <c r="M103" t="inlineStr">
        <is>
          <t>Bangunan Sipil Jembatan, Jalan Layang, Fly Over, dan Underpass, Konstruksi Gedung Hunian, Konstruksi Gedung Kesehatan, Konstruksi Gedung Pendidikan, Konstruksi Gedung Perbelanjaan</t>
        </is>
      </c>
      <c r="N103" t="inlineStr">
        <is>
          <t>K</t>
        </is>
      </c>
      <c r="O103" t="inlineStr">
        <is>
          <t>20230905, 20230906</t>
        </is>
      </c>
      <c r="P103" t="inlineStr">
        <is>
          <t>Jawa Timur</t>
        </is>
      </c>
      <c r="Q103" t="inlineStr"/>
    </row>
    <row r="104">
      <c r="A104" t="inlineStr">
        <is>
          <t>INTAN SEMBILAN</t>
        </is>
      </c>
      <c r="B104" t="inlineStr">
        <is>
          <t>Kab. Pasaman</t>
        </is>
      </c>
      <c r="C104" t="inlineStr">
        <is>
          <t>082391009963</t>
        </is>
      </c>
      <c r="D104" t="inlineStr">
        <is>
          <t>cvintan_sembilan99@yahoo.com</t>
        </is>
      </c>
      <c r="E104" t="inlineStr">
        <is>
          <t>https://lpjk.pu.go.id/search-badan-usaha-detail/TDBZMk1aZ202QXM3dmRFbDlHSGFwQT09</t>
        </is>
      </c>
      <c r="F104" t="n">
        <v>1</v>
      </c>
      <c r="G104" t="inlineStr">
        <is>
          <t>BG008</t>
        </is>
      </c>
      <c r="H104" t="inlineStr">
        <is>
          <t>27 Januari 2009</t>
        </is>
      </c>
      <c r="I104" s="2" t="n">
        <v>46270</v>
      </c>
      <c r="J104" t="inlineStr">
        <is>
          <t>Disetujui</t>
        </is>
      </c>
      <c r="K104" t="n">
        <v>60</v>
      </c>
      <c r="L104" t="inlineStr">
        <is>
          <t>5 September 2026</t>
        </is>
      </c>
      <c r="M104" t="inlineStr">
        <is>
          <t>Konstruksi Gedung Tempat Hiburan dan Olahraga</t>
        </is>
      </c>
      <c r="N104" t="inlineStr">
        <is>
          <t>K</t>
        </is>
      </c>
      <c r="O104" t="inlineStr">
        <is>
          <t>20230905</t>
        </is>
      </c>
      <c r="P104" t="inlineStr">
        <is>
          <t>Sumatera Barat</t>
        </is>
      </c>
      <c r="Q104" t="inlineStr"/>
    </row>
    <row r="105">
      <c r="A105" t="inlineStr">
        <is>
          <t>INTEGRITAS PERKASA KONSTRUKSI</t>
        </is>
      </c>
      <c r="B105" t="inlineStr">
        <is>
          <t>Kota Adm. Jakarta Barat</t>
        </is>
      </c>
      <c r="C105" t="inlineStr">
        <is>
          <t>02129020190</t>
        </is>
      </c>
      <c r="D105" t="inlineStr">
        <is>
          <t>legal@idipk.com</t>
        </is>
      </c>
      <c r="E105" t="inlineStr">
        <is>
          <t>https://lpjk.pu.go.id/search-badan-usaha-detail/RGxBQmhaTTB2alVhOUJwMmN2QTcwdz09</t>
        </is>
      </c>
      <c r="F105" t="n">
        <v>1</v>
      </c>
      <c r="G105" t="inlineStr">
        <is>
          <t>BS002</t>
        </is>
      </c>
      <c r="H105" t="inlineStr">
        <is>
          <t>13 September 2017</t>
        </is>
      </c>
      <c r="I105" s="2" t="n">
        <v>46270</v>
      </c>
      <c r="J105" t="inlineStr">
        <is>
          <t>Disetujui</t>
        </is>
      </c>
      <c r="K105" t="n">
        <v>60</v>
      </c>
      <c r="L105" t="inlineStr">
        <is>
          <t>5 September 2026</t>
        </is>
      </c>
      <c r="M105" t="inlineStr">
        <is>
          <t>Bangunan Sipil Jembatan, Jalan Layang, Fly Over, dan Underpass</t>
        </is>
      </c>
      <c r="N105" t="inlineStr">
        <is>
          <t>B</t>
        </is>
      </c>
      <c r="O105" t="inlineStr">
        <is>
          <t>20230828</t>
        </is>
      </c>
      <c r="P105" t="inlineStr">
        <is>
          <t>DKI Jakarta</t>
        </is>
      </c>
      <c r="Q105" t="inlineStr"/>
    </row>
    <row r="106">
      <c r="A106" t="inlineStr">
        <is>
          <t>INTERIOR CONSULTANT</t>
        </is>
      </c>
      <c r="B106" t="inlineStr">
        <is>
          <t>Kota Pekanbaru</t>
        </is>
      </c>
      <c r="C106" t="inlineStr">
        <is>
          <t>08127689461</t>
        </is>
      </c>
      <c r="D106" t="inlineStr">
        <is>
          <t>inter_con99@yahoo.com</t>
        </is>
      </c>
      <c r="E106" t="inlineStr">
        <is>
          <t>https://lpjk.pu.go.id/search-badan-usaha-detail/YTl1Q0QwZUtIMlErWWxpZTV5T3p1QT09</t>
        </is>
      </c>
      <c r="F106" t="n">
        <v>3</v>
      </c>
      <c r="G106" t="inlineStr">
        <is>
          <t>AR001, AR002, RK001</t>
        </is>
      </c>
      <c r="H106" t="inlineStr">
        <is>
          <t>10 April 1999</t>
        </is>
      </c>
      <c r="I106" s="2" t="n">
        <v>46270</v>
      </c>
      <c r="J106" t="inlineStr">
        <is>
          <t>Disetujui</t>
        </is>
      </c>
      <c r="K106" t="n">
        <v>60</v>
      </c>
      <c r="L106" t="inlineStr">
        <is>
          <t>5 September 2026</t>
        </is>
      </c>
      <c r="M106" t="inlineStr">
        <is>
          <t>Jasa Arsitektural Bangunan Gedung Hunian dan Non Hunian, Jasa Arsitektural Lainnya, Jasa Rekayasa Konstruksi Bangunan Gedung Hunian dan Non Hunian</t>
        </is>
      </c>
      <c r="N106" t="inlineStr">
        <is>
          <t>K</t>
        </is>
      </c>
      <c r="O106" t="inlineStr">
        <is>
          <t>20230831</t>
        </is>
      </c>
      <c r="P106" t="inlineStr">
        <is>
          <t>Riau</t>
        </is>
      </c>
      <c r="Q106" t="inlineStr"/>
    </row>
    <row r="107">
      <c r="A107" t="inlineStr">
        <is>
          <t>JAGAD MAKMUR BAROKAH</t>
        </is>
      </c>
      <c r="B107" t="inlineStr">
        <is>
          <t>Kota Semarang</t>
        </is>
      </c>
      <c r="C107" t="inlineStr">
        <is>
          <t>081321781313</t>
        </is>
      </c>
      <c r="D107" t="inlineStr">
        <is>
          <t>jagadmakmurbarokah@gmail.com</t>
        </is>
      </c>
      <c r="E107" t="inlineStr">
        <is>
          <t>https://lpjk.pu.go.id/search-badan-usaha-detail/bXpHRzBXOG5CTTU3dFdOMnZKeW5ZUT09</t>
        </is>
      </c>
      <c r="F107" t="n">
        <v>2</v>
      </c>
      <c r="G107" t="inlineStr">
        <is>
          <t>BG004, BG006</t>
        </is>
      </c>
      <c r="H107" t="inlineStr">
        <is>
          <t>6 Januari 2021</t>
        </is>
      </c>
      <c r="I107" s="2" t="n">
        <v>46270</v>
      </c>
      <c r="J107" t="inlineStr">
        <is>
          <t>Disetujui</t>
        </is>
      </c>
      <c r="K107" t="n">
        <v>60</v>
      </c>
      <c r="L107" t="inlineStr">
        <is>
          <t>5 September 2026</t>
        </is>
      </c>
      <c r="M107" t="inlineStr">
        <is>
          <t>Konstruksi Gedung Pendidikan, Konstruksi Gedung Perbelanjaan</t>
        </is>
      </c>
      <c r="N107" t="inlineStr">
        <is>
          <t>K</t>
        </is>
      </c>
      <c r="O107" t="inlineStr">
        <is>
          <t>20230906</t>
        </is>
      </c>
      <c r="P107" t="inlineStr">
        <is>
          <t>Jawa Tengah</t>
        </is>
      </c>
      <c r="Q107" t="inlineStr"/>
    </row>
    <row r="108">
      <c r="A108" t="inlineStr">
        <is>
          <t>JANUR BERKAH SENTOSA</t>
        </is>
      </c>
      <c r="B108" t="inlineStr">
        <is>
          <t>Kota Yogyakarta</t>
        </is>
      </c>
      <c r="C108" t="inlineStr">
        <is>
          <t>081325060347</t>
        </is>
      </c>
      <c r="D108" t="inlineStr">
        <is>
          <t>cvjbsindonesia@gmail.com</t>
        </is>
      </c>
      <c r="E108" t="inlineStr">
        <is>
          <t>https://lpjk.pu.go.id/search-badan-usaha-detail/UXFPYzNWZXhIM0Y2VnVnMGFhanJZdz09</t>
        </is>
      </c>
      <c r="F108" t="n">
        <v>3</v>
      </c>
      <c r="G108" t="inlineStr">
        <is>
          <t>BG005, BG006, BG009</t>
        </is>
      </c>
      <c r="H108" t="inlineStr">
        <is>
          <t>19 Maret 2020</t>
        </is>
      </c>
      <c r="I108" s="2" t="n">
        <v>46270</v>
      </c>
      <c r="J108" t="inlineStr">
        <is>
          <t>Disetujui</t>
        </is>
      </c>
      <c r="K108" t="n">
        <v>60</v>
      </c>
      <c r="L108" t="inlineStr">
        <is>
          <t>5 September 2026</t>
        </is>
      </c>
      <c r="M108" t="inlineStr">
        <is>
          <t>Konstruksi Gedung Kesehatan, Konstruksi Gedung Lainnya, Konstruksi Gedung Pendidikan</t>
        </is>
      </c>
      <c r="N108" t="inlineStr">
        <is>
          <t>K</t>
        </is>
      </c>
      <c r="O108" t="inlineStr">
        <is>
          <t>20230717, 20230809, 20230831</t>
        </is>
      </c>
      <c r="P108" t="inlineStr">
        <is>
          <t>DI Yogyakarta</t>
        </is>
      </c>
      <c r="Q108" t="inlineStr"/>
    </row>
    <row r="109">
      <c r="A109" t="inlineStr">
        <is>
          <t>JAYA KREASI ANDALAN</t>
        </is>
      </c>
      <c r="B109" t="inlineStr">
        <is>
          <t>Kota Surabaya</t>
        </is>
      </c>
      <c r="C109" t="inlineStr">
        <is>
          <t>082230167222</t>
        </is>
      </c>
      <c r="D109" t="inlineStr">
        <is>
          <t>pt.jasilan10@gmail.com</t>
        </is>
      </c>
      <c r="E109" t="inlineStr">
        <is>
          <t>https://lpjk.pu.go.id/search-badan-usaha-detail/R0x1NjROMWErMVYzdmZja2Y1eVZKZz09</t>
        </is>
      </c>
      <c r="F109" t="n">
        <v>1</v>
      </c>
      <c r="G109" t="inlineStr">
        <is>
          <t>BS001</t>
        </is>
      </c>
      <c r="H109" t="inlineStr">
        <is>
          <t>9 September 2019</t>
        </is>
      </c>
      <c r="I109" s="2" t="n">
        <v>46270</v>
      </c>
      <c r="J109" t="inlineStr">
        <is>
          <t>Disetujui</t>
        </is>
      </c>
      <c r="K109" t="n">
        <v>60</v>
      </c>
      <c r="L109" t="inlineStr">
        <is>
          <t>5 September 2026</t>
        </is>
      </c>
      <c r="M109" t="inlineStr">
        <is>
          <t>Konstruksi Bangunan Sipil Jalan</t>
        </is>
      </c>
      <c r="N109" t="inlineStr">
        <is>
          <t>K</t>
        </is>
      </c>
      <c r="O109" t="inlineStr">
        <is>
          <t>20230720</t>
        </is>
      </c>
      <c r="P109" t="inlineStr">
        <is>
          <t>Jawa Timur</t>
        </is>
      </c>
      <c r="Q109" t="inlineStr"/>
    </row>
    <row r="110">
      <c r="A110" t="inlineStr">
        <is>
          <t>KALANDRA BERKAH PRATAMA</t>
        </is>
      </c>
      <c r="B110" t="inlineStr">
        <is>
          <t>Kota Ternate</t>
        </is>
      </c>
      <c r="C110" t="inlineStr">
        <is>
          <t>081343627224</t>
        </is>
      </c>
      <c r="D110" t="inlineStr">
        <is>
          <t>pipin.wulandari33@gmail.com</t>
        </is>
      </c>
      <c r="E110" t="inlineStr">
        <is>
          <t>https://lpjk.pu.go.id/search-badan-usaha-detail/MVQzNWlIajllSW5HMFdOaFI3aG9Ddz09</t>
        </is>
      </c>
      <c r="F110" t="n">
        <v>4</v>
      </c>
      <c r="G110" t="inlineStr">
        <is>
          <t>BG002, BG009</t>
        </is>
      </c>
      <c r="H110" t="inlineStr">
        <is>
          <t>8 September 2020</t>
        </is>
      </c>
      <c r="I110" s="2" t="n">
        <v>46270</v>
      </c>
      <c r="J110" t="inlineStr">
        <is>
          <t>Disetujui</t>
        </is>
      </c>
      <c r="K110" t="n">
        <v>60</v>
      </c>
      <c r="L110" t="inlineStr">
        <is>
          <t>5 September 2026</t>
        </is>
      </c>
      <c r="M110" t="inlineStr">
        <is>
          <t>Konstruksi Gedung Lainnya, Konstruksi Gedung Perkantoran</t>
        </is>
      </c>
      <c r="N110" t="inlineStr">
        <is>
          <t>K</t>
        </is>
      </c>
      <c r="O110" t="inlineStr">
        <is>
          <t>20230904</t>
        </is>
      </c>
      <c r="P110" t="inlineStr">
        <is>
          <t>Maluku Utara</t>
        </is>
      </c>
      <c r="Q110" t="inlineStr"/>
    </row>
    <row r="111">
      <c r="A111" t="inlineStr">
        <is>
          <t>KALIBRASI JAYA UTAMA</t>
        </is>
      </c>
      <c r="B111" t="inlineStr">
        <is>
          <t>Kab. Berau</t>
        </is>
      </c>
      <c r="C111" t="inlineStr">
        <is>
          <t>081250282628</t>
        </is>
      </c>
      <c r="D111" t="inlineStr">
        <is>
          <t>cvkalibrasijayautama@gmail.com</t>
        </is>
      </c>
      <c r="E111" t="inlineStr">
        <is>
          <t>https://lpjk.pu.go.id/search-badan-usaha-detail/cDhPMExGdWQ4YWU3K0NqcnVGNHZQdz09</t>
        </is>
      </c>
      <c r="F111" t="n">
        <v>1</v>
      </c>
      <c r="G111" t="inlineStr">
        <is>
          <t>BS001</t>
        </is>
      </c>
      <c r="H111" t="inlineStr">
        <is>
          <t>15 Agustus 2019</t>
        </is>
      </c>
      <c r="I111" s="2" t="n">
        <v>46270</v>
      </c>
      <c r="J111" t="inlineStr">
        <is>
          <t>Disetujui</t>
        </is>
      </c>
      <c r="K111" t="n">
        <v>60</v>
      </c>
      <c r="L111" t="inlineStr">
        <is>
          <t>5 September 2026</t>
        </is>
      </c>
      <c r="M111" t="inlineStr">
        <is>
          <t>Konstruksi Bangunan Sipil Jalan</t>
        </is>
      </c>
      <c r="N111" t="inlineStr">
        <is>
          <t>K</t>
        </is>
      </c>
      <c r="O111" t="inlineStr">
        <is>
          <t>20220523</t>
        </is>
      </c>
      <c r="P111" t="inlineStr">
        <is>
          <t>Kalimantan Timur</t>
        </is>
      </c>
      <c r="Q111" t="inlineStr"/>
    </row>
    <row r="112">
      <c r="A112" t="inlineStr">
        <is>
          <t>KARTIKA PILAR MANDIRI</t>
        </is>
      </c>
      <c r="B112" t="inlineStr">
        <is>
          <t>Kota Mojokerto</t>
        </is>
      </c>
      <c r="C112" t="inlineStr">
        <is>
          <t>0</t>
        </is>
      </c>
      <c r="D112" t="inlineStr">
        <is>
          <t>kartikapilarmandiri@gmail.com</t>
        </is>
      </c>
      <c r="E112" t="inlineStr">
        <is>
          <t>https://lpjk.pu.go.id/search-badan-usaha-detail/ZmlTNVNQaW5HMWtCUEJSdDRTYVNCQT09</t>
        </is>
      </c>
      <c r="F112" t="n">
        <v>1</v>
      </c>
      <c r="G112" t="inlineStr">
        <is>
          <t>BS001</t>
        </is>
      </c>
      <c r="H112" t="inlineStr">
        <is>
          <t>23 Desember 2020</t>
        </is>
      </c>
      <c r="I112" s="2" t="n">
        <v>46270</v>
      </c>
      <c r="J112" t="inlineStr">
        <is>
          <t>Disetujui</t>
        </is>
      </c>
      <c r="K112" t="n">
        <v>60</v>
      </c>
      <c r="L112" t="inlineStr">
        <is>
          <t>5 September 2026</t>
        </is>
      </c>
      <c r="M112" t="inlineStr">
        <is>
          <t>Konstruksi Bangunan Sipil Jalan</t>
        </is>
      </c>
      <c r="N112" t="inlineStr">
        <is>
          <t>K</t>
        </is>
      </c>
      <c r="O112" t="inlineStr">
        <is>
          <t>20230905</t>
        </is>
      </c>
      <c r="P112" t="inlineStr">
        <is>
          <t>Jawa Timur</t>
        </is>
      </c>
      <c r="Q112" t="inlineStr"/>
    </row>
    <row r="113">
      <c r="A113" t="inlineStr">
        <is>
          <t>KARUNIA CITRA SENTOSA</t>
        </is>
      </c>
      <c r="B113" t="inlineStr">
        <is>
          <t>Kota Surabaya</t>
        </is>
      </c>
      <c r="C113" t="inlineStr">
        <is>
          <t>0313898035</t>
        </is>
      </c>
      <c r="D113" t="inlineStr">
        <is>
          <t>ptkcs10@gmail.com</t>
        </is>
      </c>
      <c r="E113" t="inlineStr">
        <is>
          <t>https://lpjk.pu.go.id/search-badan-usaha-detail/ZlVUTVcrT1RCRTNnQ2x5ME10ZzlnZz09</t>
        </is>
      </c>
      <c r="F113" t="n">
        <v>1</v>
      </c>
      <c r="G113" t="inlineStr">
        <is>
          <t>BS002</t>
        </is>
      </c>
      <c r="H113" t="inlineStr">
        <is>
          <t>28 September 2012</t>
        </is>
      </c>
      <c r="I113" s="2" t="n">
        <v>46270</v>
      </c>
      <c r="J113" t="inlineStr">
        <is>
          <t>Disetujui</t>
        </is>
      </c>
      <c r="K113" t="n">
        <v>60</v>
      </c>
      <c r="L113" t="inlineStr">
        <is>
          <t>5 September 2026</t>
        </is>
      </c>
      <c r="M113" t="inlineStr">
        <is>
          <t>Bangunan Sipil Jembatan, Jalan Layang, Fly Over, dan Underpass</t>
        </is>
      </c>
      <c r="N113" t="inlineStr">
        <is>
          <t>K</t>
        </is>
      </c>
      <c r="O113" t="inlineStr">
        <is>
          <t>20230820</t>
        </is>
      </c>
      <c r="P113" t="inlineStr">
        <is>
          <t>Jawa Timur</t>
        </is>
      </c>
      <c r="Q113" t="inlineStr"/>
    </row>
    <row r="114">
      <c r="A114" t="inlineStr">
        <is>
          <t>KARYA AGUNG</t>
        </is>
      </c>
      <c r="B114" t="inlineStr">
        <is>
          <t>Kab. Wonosobo</t>
        </is>
      </c>
      <c r="C114" t="inlineStr">
        <is>
          <t>085200809044</t>
        </is>
      </c>
      <c r="D114" t="inlineStr">
        <is>
          <t>karyaagungc@yahoo.com</t>
        </is>
      </c>
      <c r="E114" t="inlineStr">
        <is>
          <t>https://lpjk.pu.go.id/search-badan-usaha-detail/QWdCdHUyRWJEYitvdnpReVVLcWloQT09</t>
        </is>
      </c>
      <c r="F114" t="n">
        <v>1</v>
      </c>
      <c r="G114" t="inlineStr">
        <is>
          <t>BG009</t>
        </is>
      </c>
      <c r="H114" t="inlineStr">
        <is>
          <t>3 Desember 1982</t>
        </is>
      </c>
      <c r="I114" s="2" t="n">
        <v>46270</v>
      </c>
      <c r="J114" t="inlineStr">
        <is>
          <t>Disetujui</t>
        </is>
      </c>
      <c r="K114" t="n">
        <v>60</v>
      </c>
      <c r="L114" t="inlineStr">
        <is>
          <t>5 September 2026</t>
        </is>
      </c>
      <c r="M114" t="inlineStr">
        <is>
          <t>Konstruksi Gedung Lainnya</t>
        </is>
      </c>
      <c r="N114" t="inlineStr">
        <is>
          <t>K</t>
        </is>
      </c>
      <c r="O114" t="inlineStr">
        <is>
          <t>20230902</t>
        </is>
      </c>
      <c r="P114" t="inlineStr">
        <is>
          <t>Jawa Tengah</t>
        </is>
      </c>
      <c r="Q114" t="inlineStr"/>
    </row>
    <row r="115">
      <c r="A115" t="inlineStr">
        <is>
          <t>KARYA ANUGRAH KONSULTAN</t>
        </is>
      </c>
      <c r="B115" t="inlineStr">
        <is>
          <t>Kab. Sidoarjo</t>
        </is>
      </c>
      <c r="C115" t="inlineStr">
        <is>
          <t>0319898798</t>
        </is>
      </c>
      <c r="D115" t="inlineStr">
        <is>
          <t>karyaanugrahkons@gmail.com</t>
        </is>
      </c>
      <c r="E115" t="inlineStr">
        <is>
          <t>https://lpjk.pu.go.id/search-badan-usaha-detail/TjJ0cUJoTHkvUzFmWGlSbnZmb0tzUT09</t>
        </is>
      </c>
      <c r="F115" t="n">
        <v>3</v>
      </c>
      <c r="G115" t="inlineStr">
        <is>
          <t>RK001, RK002, RK003</t>
        </is>
      </c>
      <c r="H115" t="inlineStr">
        <is>
          <t>22 Januari 2007</t>
        </is>
      </c>
      <c r="I115" s="2" t="n">
        <v>46270</v>
      </c>
      <c r="J115" t="inlineStr">
        <is>
          <t>Disetujui</t>
        </is>
      </c>
      <c r="K115" t="n">
        <v>60</v>
      </c>
      <c r="L115" t="inlineStr">
        <is>
          <t>5 September 2026</t>
        </is>
      </c>
      <c r="M115" t="inlineStr">
        <is>
          <t>Jasa Rekayasa Konstruksi Bangunan Gedung Hunian dan Non Hunian, Jasa Rekayasa Pekerjaan Teknik Sipil Sumber Daya Air, Jasa Rekayasa Pekerjaan Teknik Sipil Transportasi</t>
        </is>
      </c>
      <c r="N115" t="inlineStr">
        <is>
          <t>K</t>
        </is>
      </c>
      <c r="O115" t="inlineStr">
        <is>
          <t>20230810</t>
        </is>
      </c>
      <c r="P115" t="inlineStr">
        <is>
          <t>Jawa Timur</t>
        </is>
      </c>
      <c r="Q115" t="inlineStr"/>
    </row>
    <row r="116">
      <c r="A116" t="inlineStr">
        <is>
          <t>KARYA INSAN AMANAH</t>
        </is>
      </c>
      <c r="B116" t="inlineStr">
        <is>
          <t>Kota Bandung</t>
        </is>
      </c>
      <c r="C116" t="inlineStr">
        <is>
          <t>0878 2575 6348</t>
        </is>
      </c>
      <c r="D116" t="inlineStr">
        <is>
          <t>karyainsaniamanah@gmail.com</t>
        </is>
      </c>
      <c r="E116" t="inlineStr">
        <is>
          <t>https://lpjk.pu.go.id/search-badan-usaha-detail/M0VPUzB0N2l2ci9oekxOSXB0dVR3QT09</t>
        </is>
      </c>
      <c r="F116" t="n">
        <v>1</v>
      </c>
      <c r="G116" t="inlineStr">
        <is>
          <t>BG009</t>
        </is>
      </c>
      <c r="H116" t="inlineStr">
        <is>
          <t>27 Februari 2019</t>
        </is>
      </c>
      <c r="I116" s="2" t="n">
        <v>46270</v>
      </c>
      <c r="J116" t="inlineStr">
        <is>
          <t>Disetujui</t>
        </is>
      </c>
      <c r="K116" t="n">
        <v>60</v>
      </c>
      <c r="L116" t="inlineStr">
        <is>
          <t>5 September 2026</t>
        </is>
      </c>
      <c r="M116" t="inlineStr">
        <is>
          <t>Konstruksi Gedung Lainnya</t>
        </is>
      </c>
      <c r="N116" t="inlineStr">
        <is>
          <t>K</t>
        </is>
      </c>
      <c r="O116" t="inlineStr">
        <is>
          <t>20230905</t>
        </is>
      </c>
      <c r="P116" t="inlineStr">
        <is>
          <t>Jawa Barat</t>
        </is>
      </c>
      <c r="Q116" t="inlineStr"/>
    </row>
    <row r="117">
      <c r="A117" t="inlineStr">
        <is>
          <t>KARYA INTI JAYA</t>
        </is>
      </c>
      <c r="B117" t="inlineStr">
        <is>
          <t>Kota Pontianak</t>
        </is>
      </c>
      <c r="C117" t="inlineStr">
        <is>
          <t>08115725777</t>
        </is>
      </c>
      <c r="D117" t="inlineStr">
        <is>
          <t>cvkaryaintijaya@gmail.com</t>
        </is>
      </c>
      <c r="E117" t="inlineStr">
        <is>
          <t>https://lpjk.pu.go.id/search-badan-usaha-detail/NXBCTDIwenZ2UFBiTmVqa2hqYnJNQT09</t>
        </is>
      </c>
      <c r="F117" t="n">
        <v>1</v>
      </c>
      <c r="G117" t="inlineStr">
        <is>
          <t>BS004</t>
        </is>
      </c>
      <c r="H117" t="inlineStr">
        <is>
          <t>19 Agustus 2020</t>
        </is>
      </c>
      <c r="I117" s="2" t="n">
        <v>46270</v>
      </c>
      <c r="J117" t="inlineStr">
        <is>
          <t>Disetujui</t>
        </is>
      </c>
      <c r="K117" t="n">
        <v>60</v>
      </c>
      <c r="L117" t="inlineStr">
        <is>
          <t>5 September 2026</t>
        </is>
      </c>
      <c r="M117" t="inlineStr">
        <is>
          <t>Konstruksi Jaringan Irigasi dan Drainase</t>
        </is>
      </c>
      <c r="N117" t="inlineStr">
        <is>
          <t>K</t>
        </is>
      </c>
      <c r="O117" t="inlineStr">
        <is>
          <t>20230905</t>
        </is>
      </c>
      <c r="P117" t="inlineStr">
        <is>
          <t>Kalimantan Barat</t>
        </is>
      </c>
      <c r="Q117" t="inlineStr"/>
    </row>
    <row r="118">
      <c r="A118" t="inlineStr">
        <is>
          <t>KARYA MANUNGGAL KONSTRUKSI</t>
        </is>
      </c>
      <c r="B118" t="inlineStr">
        <is>
          <t>Kota Pekanbaru</t>
        </is>
      </c>
      <c r="C118" t="inlineStr">
        <is>
          <t>081364822267</t>
        </is>
      </c>
      <c r="D118" t="inlineStr">
        <is>
          <t>cv.karyamanunggalkonstruksi@gmail.com</t>
        </is>
      </c>
      <c r="E118" t="inlineStr">
        <is>
          <t>https://lpjk.pu.go.id/search-badan-usaha-detail/aGxNd0gwdXJCMGtJL2VjV0pvU3hhZz09</t>
        </is>
      </c>
      <c r="F118" t="n">
        <v>1</v>
      </c>
      <c r="G118" t="inlineStr">
        <is>
          <t>BG005</t>
        </is>
      </c>
      <c r="H118" t="inlineStr">
        <is>
          <t>15 Maret 2023</t>
        </is>
      </c>
      <c r="I118" s="2" t="n">
        <v>46270</v>
      </c>
      <c r="J118" t="inlineStr">
        <is>
          <t>Disetujui</t>
        </is>
      </c>
      <c r="K118" t="n">
        <v>60</v>
      </c>
      <c r="L118" t="inlineStr">
        <is>
          <t>5 September 2026</t>
        </is>
      </c>
      <c r="M118" t="inlineStr">
        <is>
          <t>Konstruksi Gedung Kesehatan</t>
        </is>
      </c>
      <c r="N118" t="inlineStr">
        <is>
          <t>K</t>
        </is>
      </c>
      <c r="O118" t="inlineStr">
        <is>
          <t>20230906</t>
        </is>
      </c>
      <c r="P118" t="inlineStr">
        <is>
          <t>Riau</t>
        </is>
      </c>
      <c r="Q118" t="inlineStr"/>
    </row>
    <row r="119">
      <c r="A119" t="inlineStr">
        <is>
          <t>KARYA SENTOSA CONTRACTOR</t>
        </is>
      </c>
      <c r="B119" t="inlineStr">
        <is>
          <t>Kab. Paser</t>
        </is>
      </c>
      <c r="C119" t="inlineStr">
        <is>
          <t>085347101875</t>
        </is>
      </c>
      <c r="D119" t="inlineStr">
        <is>
          <t>cvkaryasentosacontractor@gmail.com</t>
        </is>
      </c>
      <c r="E119" t="inlineStr">
        <is>
          <t>https://lpjk.pu.go.id/search-badan-usaha-detail/TGtxUGVTK3A0V0dWaTBaMFhtakFvdz09</t>
        </is>
      </c>
      <c r="F119" t="n">
        <v>1</v>
      </c>
      <c r="G119" t="inlineStr">
        <is>
          <t>BS001</t>
        </is>
      </c>
      <c r="H119" t="inlineStr">
        <is>
          <t>3 Juli 2023</t>
        </is>
      </c>
      <c r="I119" s="2" t="n">
        <v>46270</v>
      </c>
      <c r="J119" t="inlineStr">
        <is>
          <t>Disetujui</t>
        </is>
      </c>
      <c r="K119" t="n">
        <v>60</v>
      </c>
      <c r="L119" t="inlineStr">
        <is>
          <t>5 September 2026</t>
        </is>
      </c>
      <c r="M119" t="inlineStr">
        <is>
          <t>Konstruksi Bangunan Sipil Jalan</t>
        </is>
      </c>
      <c r="N119" t="inlineStr">
        <is>
          <t>K</t>
        </is>
      </c>
      <c r="O119" t="inlineStr">
        <is>
          <t>20230903</t>
        </is>
      </c>
      <c r="P119" t="inlineStr">
        <is>
          <t>Kalimantan Timur</t>
        </is>
      </c>
      <c r="Q119" t="inlineStr"/>
    </row>
    <row r="120">
      <c r="A120" t="inlineStr">
        <is>
          <t>KARYA TITRI KONSTRUKSI</t>
        </is>
      </c>
      <c r="B120" t="inlineStr">
        <is>
          <t>Kota Padang</t>
        </is>
      </c>
      <c r="C120" t="inlineStr">
        <is>
          <t>081374357575</t>
        </is>
      </c>
      <c r="D120" t="inlineStr">
        <is>
          <t>cvkaryatitrikonstruksi@gmail.com</t>
        </is>
      </c>
      <c r="E120" t="inlineStr">
        <is>
          <t>https://lpjk.pu.go.id/search-badan-usaha-detail/ODV0TFlRS2V1aEhrNFVGaks2YkJxUT09</t>
        </is>
      </c>
      <c r="F120" t="n">
        <v>1</v>
      </c>
      <c r="G120" t="inlineStr">
        <is>
          <t>BG001</t>
        </is>
      </c>
      <c r="H120" t="inlineStr">
        <is>
          <t>18 Juli 2023</t>
        </is>
      </c>
      <c r="I120" s="2" t="n">
        <v>46270</v>
      </c>
      <c r="J120" t="inlineStr">
        <is>
          <t>Disetujui</t>
        </is>
      </c>
      <c r="K120" t="n">
        <v>60</v>
      </c>
      <c r="L120" t="inlineStr">
        <is>
          <t>5 September 2026</t>
        </is>
      </c>
      <c r="M120" t="inlineStr">
        <is>
          <t>Konstruksi Gedung Hunian</t>
        </is>
      </c>
      <c r="N120" t="inlineStr">
        <is>
          <t>K</t>
        </is>
      </c>
      <c r="O120" t="inlineStr">
        <is>
          <t>20230831</t>
        </is>
      </c>
      <c r="P120" t="inlineStr">
        <is>
          <t>Sumatera Barat</t>
        </is>
      </c>
      <c r="Q120" t="inlineStr"/>
    </row>
    <row r="121">
      <c r="A121" t="inlineStr">
        <is>
          <t>KEMBANG RAYA</t>
        </is>
      </c>
      <c r="B121" t="inlineStr">
        <is>
          <t>Kota Tanjung Pinang</t>
        </is>
      </c>
      <c r="C121" t="inlineStr">
        <is>
          <t>081364427272</t>
        </is>
      </c>
      <c r="D121" t="inlineStr">
        <is>
          <t>raya.kembang60@yahoo.com</t>
        </is>
      </c>
      <c r="E121" t="inlineStr">
        <is>
          <t>https://lpjk.pu.go.id/search-badan-usaha-detail/NUYwa0Y4VzA3TTNNeUJpbEE3Q3dGQT09</t>
        </is>
      </c>
      <c r="F121" t="n">
        <v>3</v>
      </c>
      <c r="G121" t="inlineStr">
        <is>
          <t>BG005, BG006, BG009</t>
        </is>
      </c>
      <c r="H121" t="inlineStr">
        <is>
          <t>27 Februari 2008</t>
        </is>
      </c>
      <c r="I121" s="2" t="n">
        <v>46270</v>
      </c>
      <c r="J121" t="inlineStr">
        <is>
          <t>Disetujui</t>
        </is>
      </c>
      <c r="K121" t="n">
        <v>60</v>
      </c>
      <c r="L121" t="inlineStr">
        <is>
          <t>5 September 2026</t>
        </is>
      </c>
      <c r="M121" t="inlineStr">
        <is>
          <t>Konstruksi Gedung Kesehatan, Konstruksi Gedung Lainnya, Konstruksi Gedung Pendidikan</t>
        </is>
      </c>
      <c r="N121" t="inlineStr">
        <is>
          <t>K</t>
        </is>
      </c>
      <c r="O121" t="inlineStr">
        <is>
          <t>20230904, 20230905</t>
        </is>
      </c>
      <c r="P121" t="inlineStr">
        <is>
          <t>Kepulauan Riau</t>
        </is>
      </c>
      <c r="Q121" t="inlineStr"/>
    </row>
    <row r="122">
      <c r="A122" t="inlineStr">
        <is>
          <t>KEMBAR JAYA BITUNG</t>
        </is>
      </c>
      <c r="B122" t="inlineStr">
        <is>
          <t>Kota Bitung</t>
        </is>
      </c>
      <c r="C122" t="inlineStr">
        <is>
          <t>081356618392</t>
        </is>
      </c>
      <c r="D122" t="inlineStr">
        <is>
          <t>rudiytjandra1969@gmail.com</t>
        </is>
      </c>
      <c r="E122" t="inlineStr">
        <is>
          <t>https://lpjk.pu.go.id/search-badan-usaha-detail/QjJaeHNvUTVGOFJDeUpJVWZXRlVVZz09</t>
        </is>
      </c>
      <c r="F122" t="n">
        <v>4</v>
      </c>
      <c r="G122" t="inlineStr">
        <is>
          <t>BG005</t>
        </is>
      </c>
      <c r="H122" t="inlineStr">
        <is>
          <t>24 Februari 2006</t>
        </is>
      </c>
      <c r="I122" s="2" t="n">
        <v>46270</v>
      </c>
      <c r="J122" t="inlineStr">
        <is>
          <t>Disetujui</t>
        </is>
      </c>
      <c r="K122" t="n">
        <v>60</v>
      </c>
      <c r="L122" t="inlineStr">
        <is>
          <t>5 September 2026</t>
        </is>
      </c>
      <c r="M122" t="inlineStr">
        <is>
          <t>Konstruksi Gedung Kesehatan</t>
        </is>
      </c>
      <c r="N122" t="inlineStr">
        <is>
          <t>K</t>
        </is>
      </c>
      <c r="O122" t="inlineStr">
        <is>
          <t>20230828</t>
        </is>
      </c>
      <c r="P122" t="inlineStr">
        <is>
          <t>Sulawesi Utara</t>
        </is>
      </c>
      <c r="Q122" t="inlineStr"/>
    </row>
    <row r="123">
      <c r="A123" t="inlineStr">
        <is>
          <t>KUALA TEKNIK</t>
        </is>
      </c>
      <c r="B123" t="inlineStr">
        <is>
          <t>Kab. Lampung Timur</t>
        </is>
      </c>
      <c r="C123" t="inlineStr">
        <is>
          <t>081367574581</t>
        </is>
      </c>
      <c r="D123" t="inlineStr">
        <is>
          <t>teknikkuala@gmail.com</t>
        </is>
      </c>
      <c r="E123" t="inlineStr">
        <is>
          <t>https://lpjk.pu.go.id/search-badan-usaha-detail/ejdQQkYrUzZJM2JlZGxKdklMK1gzQT09</t>
        </is>
      </c>
      <c r="F123" t="n">
        <v>4</v>
      </c>
      <c r="G123" t="inlineStr">
        <is>
          <t>BG002, BG006, BG009, BS001</t>
        </is>
      </c>
      <c r="H123" t="inlineStr">
        <is>
          <t>12 Oktober 2001</t>
        </is>
      </c>
      <c r="I123" s="2" t="n">
        <v>46270</v>
      </c>
      <c r="J123" t="inlineStr">
        <is>
          <t>Disetujui</t>
        </is>
      </c>
      <c r="K123" t="n">
        <v>60</v>
      </c>
      <c r="L123" t="inlineStr">
        <is>
          <t>5 September 2026</t>
        </is>
      </c>
      <c r="M123" t="inlineStr">
        <is>
          <t>Konstruksi Bangunan Sipil Jalan, Konstruksi Gedung Lainnya, Konstruksi Gedung Pendidikan, Konstruksi Gedung Perkantoran</t>
        </is>
      </c>
      <c r="N123" t="inlineStr">
        <is>
          <t>K</t>
        </is>
      </c>
      <c r="O123" t="inlineStr">
        <is>
          <t>20230828, 20230829</t>
        </is>
      </c>
      <c r="P123" t="inlineStr">
        <is>
          <t>Lampung</t>
        </is>
      </c>
      <c r="Q123" t="inlineStr"/>
    </row>
    <row r="124">
      <c r="A124" t="inlineStr">
        <is>
          <t>KURNIA</t>
        </is>
      </c>
      <c r="B124" t="inlineStr">
        <is>
          <t>Kab. Sanggau</t>
        </is>
      </c>
      <c r="C124" t="inlineStr">
        <is>
          <t>08125697547</t>
        </is>
      </c>
      <c r="D124" t="inlineStr">
        <is>
          <t>mail.kurniacv@gmail.com</t>
        </is>
      </c>
      <c r="E124" t="inlineStr">
        <is>
          <t>https://lpjk.pu.go.id/search-badan-usaha-detail/bnc2Q3BlL1M0eW13bWwvcUM5aHFlZz09</t>
        </is>
      </c>
      <c r="F124" t="n">
        <v>1</v>
      </c>
      <c r="G124" t="inlineStr">
        <is>
          <t>BS004</t>
        </is>
      </c>
      <c r="H124" t="inlineStr">
        <is>
          <t>19 Agustus 1999</t>
        </is>
      </c>
      <c r="I124" s="2" t="n">
        <v>46270</v>
      </c>
      <c r="J124" t="inlineStr">
        <is>
          <t>Disetujui</t>
        </is>
      </c>
      <c r="K124" t="n">
        <v>60</v>
      </c>
      <c r="L124" t="inlineStr">
        <is>
          <t>5 September 2026</t>
        </is>
      </c>
      <c r="M124" t="inlineStr">
        <is>
          <t>Konstruksi Jaringan Irigasi dan Drainase</t>
        </is>
      </c>
      <c r="N124" t="inlineStr">
        <is>
          <t>K</t>
        </is>
      </c>
      <c r="O124" t="inlineStr">
        <is>
          <t>20230904</t>
        </is>
      </c>
      <c r="P124" t="inlineStr">
        <is>
          <t>Kalimantan Barat</t>
        </is>
      </c>
      <c r="Q124" t="inlineStr"/>
    </row>
    <row r="125">
      <c r="A125" t="inlineStr">
        <is>
          <t>LARASATI JAYA</t>
        </is>
      </c>
      <c r="B125" t="inlineStr">
        <is>
          <t>Kota Bandar Lampung</t>
        </is>
      </c>
      <c r="C125" t="inlineStr">
        <is>
          <t>085367103049</t>
        </is>
      </c>
      <c r="D125" t="inlineStr">
        <is>
          <t>cvlarasatijaya999@gmail.com</t>
        </is>
      </c>
      <c r="E125" t="inlineStr">
        <is>
          <t>https://lpjk.pu.go.id/search-badan-usaha-detail/Yi9lSE9JNnVheVg0TWx6N1UrajVYdz09</t>
        </is>
      </c>
      <c r="F125" t="n">
        <v>1</v>
      </c>
      <c r="G125" t="inlineStr">
        <is>
          <t>BG002</t>
        </is>
      </c>
      <c r="H125" t="inlineStr">
        <is>
          <t>13 April 2016</t>
        </is>
      </c>
      <c r="I125" s="2" t="n">
        <v>46270</v>
      </c>
      <c r="J125" t="inlineStr">
        <is>
          <t>Disetujui</t>
        </is>
      </c>
      <c r="K125" t="n">
        <v>60</v>
      </c>
      <c r="L125" t="inlineStr">
        <is>
          <t>5 September 2026</t>
        </is>
      </c>
      <c r="M125" t="inlineStr">
        <is>
          <t>Konstruksi Gedung Perkantoran</t>
        </is>
      </c>
      <c r="N125" t="inlineStr">
        <is>
          <t>K</t>
        </is>
      </c>
      <c r="O125" t="inlineStr">
        <is>
          <t>20230904</t>
        </is>
      </c>
      <c r="P125" t="inlineStr">
        <is>
          <t>Lampung</t>
        </is>
      </c>
      <c r="Q125" t="inlineStr"/>
    </row>
    <row r="126">
      <c r="A126" t="inlineStr">
        <is>
          <t>LINTAS BANUA</t>
        </is>
      </c>
      <c r="B126" t="inlineStr">
        <is>
          <t>Kab. Kapuas Hulu</t>
        </is>
      </c>
      <c r="C126" t="inlineStr">
        <is>
          <t>085251940016</t>
        </is>
      </c>
      <c r="D126" t="inlineStr">
        <is>
          <t>cv.lintas.banua@gmail.com</t>
        </is>
      </c>
      <c r="E126" t="inlineStr">
        <is>
          <t>https://lpjk.pu.go.id/search-badan-usaha-detail/eWM5eUpJeDNBSVppVHgrTzVCa20zZz09</t>
        </is>
      </c>
      <c r="F126" t="n">
        <v>1</v>
      </c>
      <c r="G126" t="inlineStr">
        <is>
          <t>BS002</t>
        </is>
      </c>
      <c r="H126" t="inlineStr">
        <is>
          <t>2 April 2020</t>
        </is>
      </c>
      <c r="I126" s="2" t="n">
        <v>46270</v>
      </c>
      <c r="J126" t="inlineStr">
        <is>
          <t>Disetujui</t>
        </is>
      </c>
      <c r="K126" t="n">
        <v>60</v>
      </c>
      <c r="L126" t="inlineStr">
        <is>
          <t>5 September 2026</t>
        </is>
      </c>
      <c r="M126" t="inlineStr">
        <is>
          <t>Bangunan Sipil Jembatan, Jalan Layang, Fly Over, dan Underpass</t>
        </is>
      </c>
      <c r="N126" t="inlineStr">
        <is>
          <t>K</t>
        </is>
      </c>
      <c r="O126" t="inlineStr">
        <is>
          <t>20230823</t>
        </is>
      </c>
      <c r="P126" t="inlineStr">
        <is>
          <t>Kalimantan Barat</t>
        </is>
      </c>
      <c r="Q126" t="inlineStr"/>
    </row>
    <row r="127">
      <c r="A127" t="inlineStr">
        <is>
          <t>MAJU MAPAN</t>
        </is>
      </c>
      <c r="B127" t="inlineStr">
        <is>
          <t>Kota Surabaya</t>
        </is>
      </c>
      <c r="C127" t="inlineStr">
        <is>
          <t>081286126398</t>
        </is>
      </c>
      <c r="D127" t="inlineStr">
        <is>
          <t>majumapan.cv@yahoo.com</t>
        </is>
      </c>
      <c r="E127" t="inlineStr">
        <is>
          <t>https://lpjk.pu.go.id/search-badan-usaha-detail/L0tBbFpoQ1drcmVTeUlyVmN1NHFOZz09</t>
        </is>
      </c>
      <c r="F127" t="n">
        <v>1</v>
      </c>
      <c r="G127" t="inlineStr">
        <is>
          <t>BG002</t>
        </is>
      </c>
      <c r="H127" t="inlineStr">
        <is>
          <t>22 Juni 2012</t>
        </is>
      </c>
      <c r="I127" s="2" t="n">
        <v>46270</v>
      </c>
      <c r="J127" t="inlineStr">
        <is>
          <t>Disetujui</t>
        </is>
      </c>
      <c r="K127" t="n">
        <v>60</v>
      </c>
      <c r="L127" t="inlineStr">
        <is>
          <t>5 September 2026</t>
        </is>
      </c>
      <c r="M127" t="inlineStr">
        <is>
          <t>Konstruksi Gedung Perkantoran</t>
        </is>
      </c>
      <c r="N127" t="inlineStr">
        <is>
          <t>K</t>
        </is>
      </c>
      <c r="O127" t="inlineStr">
        <is>
          <t>20230905</t>
        </is>
      </c>
      <c r="P127" t="inlineStr">
        <is>
          <t>Jawa Timur</t>
        </is>
      </c>
      <c r="Q127" t="inlineStr"/>
    </row>
    <row r="128">
      <c r="A128" t="inlineStr">
        <is>
          <t>MAKMUR DEKORINDO LESTARI</t>
        </is>
      </c>
      <c r="B128" t="inlineStr">
        <is>
          <t>Kota Medan</t>
        </is>
      </c>
      <c r="C128" t="inlineStr">
        <is>
          <t>081361411602</t>
        </is>
      </c>
      <c r="D128" t="inlineStr">
        <is>
          <t>-</t>
        </is>
      </c>
      <c r="E128" t="inlineStr">
        <is>
          <t>https://lpjk.pu.go.id/search-badan-usaha-detail/YWZrOTNHNGZqR1pqKzB6SHFzeitqdz09</t>
        </is>
      </c>
      <c r="F128" t="n">
        <v>4</v>
      </c>
      <c r="G128" t="inlineStr">
        <is>
          <t>BG001, BG003, BG007, BG008</t>
        </is>
      </c>
      <c r="H128" t="inlineStr">
        <is>
          <t>22 Juni 2012</t>
        </is>
      </c>
      <c r="I128" s="2" t="n">
        <v>46270</v>
      </c>
      <c r="J128" t="inlineStr">
        <is>
          <t>Disetujui</t>
        </is>
      </c>
      <c r="K128" t="n">
        <v>60</v>
      </c>
      <c r="L128" t="inlineStr">
        <is>
          <t>5 September 2026</t>
        </is>
      </c>
      <c r="M128" t="inlineStr">
        <is>
          <t>Konstruksi Gedung Hunian, Konstruksi Gedung Industri, Konstruksi Gedung Penginapan, Konstruksi Gedung Tempat Hiburan dan Olahraga</t>
        </is>
      </c>
      <c r="N128" t="inlineStr">
        <is>
          <t>K</t>
        </is>
      </c>
      <c r="O128" t="inlineStr">
        <is>
          <t>20230901</t>
        </is>
      </c>
      <c r="P128" t="inlineStr">
        <is>
          <t>Sumatera Utara</t>
        </is>
      </c>
      <c r="Q128" t="inlineStr"/>
    </row>
    <row r="129">
      <c r="A129" t="inlineStr">
        <is>
          <t>MANDALA KARYA MANDIRI</t>
        </is>
      </c>
      <c r="B129" t="inlineStr">
        <is>
          <t>Kota Bandung</t>
        </is>
      </c>
      <c r="C129" t="inlineStr">
        <is>
          <t>087733978171</t>
        </is>
      </c>
      <c r="D129" t="inlineStr">
        <is>
          <t>mandirik491@gmail.com</t>
        </is>
      </c>
      <c r="E129" t="inlineStr">
        <is>
          <t>https://lpjk.pu.go.id/search-badan-usaha-detail/U1MydE0xNlpGTWpqOXlYZ1ZvZ0hvQT09</t>
        </is>
      </c>
      <c r="F129" t="n">
        <v>2</v>
      </c>
      <c r="G129" t="inlineStr">
        <is>
          <t>RK001</t>
        </is>
      </c>
      <c r="H129" t="inlineStr">
        <is>
          <t>8 Desember 2022</t>
        </is>
      </c>
      <c r="I129" s="2" t="n">
        <v>46270</v>
      </c>
      <c r="J129" t="inlineStr">
        <is>
          <t>Pencabutan</t>
        </is>
      </c>
      <c r="K129" t="n">
        <v>60</v>
      </c>
      <c r="L129" t="inlineStr">
        <is>
          <t>5 September 2026</t>
        </is>
      </c>
      <c r="M129" t="inlineStr">
        <is>
          <t>Jasa Rekayasa Konstruksi Bangunan Gedung Hunian dan Non Hunian</t>
        </is>
      </c>
      <c r="N129" t="inlineStr">
        <is>
          <t>K</t>
        </is>
      </c>
      <c r="O129" t="inlineStr">
        <is>
          <t>20230731</t>
        </is>
      </c>
      <c r="P129" t="inlineStr">
        <is>
          <t>Jawa Barat</t>
        </is>
      </c>
      <c r="Q129" t="inlineStr"/>
    </row>
    <row r="130">
      <c r="A130" t="inlineStr">
        <is>
          <t>MANDIRI KARYA ANUGRAH</t>
        </is>
      </c>
      <c r="B130" t="inlineStr">
        <is>
          <t>Kab. Belitung Timur</t>
        </is>
      </c>
      <c r="C130" t="inlineStr">
        <is>
          <t>082949194611</t>
        </is>
      </c>
      <c r="D130" t="inlineStr">
        <is>
          <t>mandirikaryaanugrah@gmail.com</t>
        </is>
      </c>
      <c r="E130" t="inlineStr">
        <is>
          <t>https://lpjk.pu.go.id/search-badan-usaha-detail/M0xuaEdqd1JNWFNYMjhrbVpnUXdDQT09</t>
        </is>
      </c>
      <c r="F130" t="n">
        <v>2</v>
      </c>
      <c r="G130" t="inlineStr">
        <is>
          <t>BG006, BS011</t>
        </is>
      </c>
      <c r="H130" t="inlineStr">
        <is>
          <t>18 April 2023</t>
        </is>
      </c>
      <c r="I130" s="2" t="n">
        <v>46270</v>
      </c>
      <c r="J130" t="inlineStr">
        <is>
          <t>Disetujui</t>
        </is>
      </c>
      <c r="K130" t="n">
        <v>60</v>
      </c>
      <c r="L130" t="inlineStr">
        <is>
          <t>5 September 2026</t>
        </is>
      </c>
      <c r="M130" t="inlineStr">
        <is>
          <t>Konstruksi Bangunan Pelabuhan Bukan Perikanan, Konstruksi Gedung Pendidikan</t>
        </is>
      </c>
      <c r="N130" t="inlineStr">
        <is>
          <t>K</t>
        </is>
      </c>
      <c r="O130" t="inlineStr">
        <is>
          <t>20230725, 20230809</t>
        </is>
      </c>
      <c r="P130" t="inlineStr">
        <is>
          <t>Kepulauan Bangka Belitung</t>
        </is>
      </c>
      <c r="Q130" t="inlineStr"/>
    </row>
    <row r="131">
      <c r="A131" t="inlineStr">
        <is>
          <t>MANGGALA</t>
        </is>
      </c>
      <c r="B131" t="inlineStr">
        <is>
          <t>Kota Denpasar</t>
        </is>
      </c>
      <c r="C131" t="inlineStr">
        <is>
          <t>081337324272</t>
        </is>
      </c>
      <c r="D131" t="inlineStr">
        <is>
          <t>cv.manggala20@ymail.com</t>
        </is>
      </c>
      <c r="E131" t="inlineStr">
        <is>
          <t>https://lpjk.pu.go.id/search-badan-usaha-detail/b3BtdTFYRG1kR1JDeHdNMzQrK2p4QT09</t>
        </is>
      </c>
      <c r="F131" t="n">
        <v>1</v>
      </c>
      <c r="G131" t="inlineStr">
        <is>
          <t>BG009</t>
        </is>
      </c>
      <c r="H131" t="inlineStr">
        <is>
          <t>31 Agustus 1984</t>
        </is>
      </c>
      <c r="I131" s="2" t="n">
        <v>46270</v>
      </c>
      <c r="J131" t="inlineStr">
        <is>
          <t>Disetujui</t>
        </is>
      </c>
      <c r="K131" t="n">
        <v>60</v>
      </c>
      <c r="L131" t="inlineStr">
        <is>
          <t>5 September 2026</t>
        </is>
      </c>
      <c r="M131" t="inlineStr">
        <is>
          <t>Konstruksi Gedung Lainnya</t>
        </is>
      </c>
      <c r="N131" t="inlineStr">
        <is>
          <t>K</t>
        </is>
      </c>
      <c r="O131" t="inlineStr">
        <is>
          <t>20230426</t>
        </is>
      </c>
      <c r="P131" t="inlineStr">
        <is>
          <t>Bali</t>
        </is>
      </c>
      <c r="Q131" t="inlineStr"/>
    </row>
    <row r="132">
      <c r="A132" t="inlineStr">
        <is>
          <t>MANUNGGAL JAYA KONSTRUKSI</t>
        </is>
      </c>
      <c r="B132" t="inlineStr">
        <is>
          <t>Kab. Dharmasraya</t>
        </is>
      </c>
      <c r="C132" t="inlineStr">
        <is>
          <t>085363349923</t>
        </is>
      </c>
      <c r="D132" t="inlineStr">
        <is>
          <t>cvmanunggaljayak@gmail.com</t>
        </is>
      </c>
      <c r="E132" t="inlineStr">
        <is>
          <t>https://lpjk.pu.go.id/search-badan-usaha-detail/T3pkb1ZVekJQSmlpcUZQM01Lamh4UT09</t>
        </is>
      </c>
      <c r="F132" t="n">
        <v>2</v>
      </c>
      <c r="G132" t="inlineStr">
        <is>
          <t>BG001</t>
        </is>
      </c>
      <c r="H132" t="inlineStr">
        <is>
          <t>23 Mei 2022</t>
        </is>
      </c>
      <c r="I132" s="2" t="n">
        <v>46270</v>
      </c>
      <c r="J132" t="inlineStr">
        <is>
          <t>Disetujui</t>
        </is>
      </c>
      <c r="K132" t="n">
        <v>60</v>
      </c>
      <c r="L132" t="inlineStr">
        <is>
          <t>5 September 2026</t>
        </is>
      </c>
      <c r="M132" t="inlineStr">
        <is>
          <t>Konstruksi Gedung Hunian</t>
        </is>
      </c>
      <c r="N132" t="inlineStr">
        <is>
          <t>K</t>
        </is>
      </c>
      <c r="O132" t="inlineStr">
        <is>
          <t>20230902</t>
        </is>
      </c>
      <c r="P132" t="inlineStr">
        <is>
          <t>Sumatera Barat</t>
        </is>
      </c>
      <c r="Q132" t="inlineStr"/>
    </row>
    <row r="133">
      <c r="A133" t="inlineStr">
        <is>
          <t>MARAJA UTAMA</t>
        </is>
      </c>
      <c r="B133" t="inlineStr">
        <is>
          <t>Kab. Sumbawa</t>
        </is>
      </c>
      <c r="C133" t="inlineStr">
        <is>
          <t>081353638222</t>
        </is>
      </c>
      <c r="D133" t="inlineStr">
        <is>
          <t>putramarajautama@gmail.com</t>
        </is>
      </c>
      <c r="E133" t="inlineStr">
        <is>
          <t>https://lpjk.pu.go.id/search-badan-usaha-detail/UXpkQXdxUk8vTTIyZjFWQUlINXBxQT09</t>
        </is>
      </c>
      <c r="F133" t="n">
        <v>1</v>
      </c>
      <c r="G133" t="inlineStr">
        <is>
          <t>BS001</t>
        </is>
      </c>
      <c r="H133" t="inlineStr">
        <is>
          <t>16 Juni 2014</t>
        </is>
      </c>
      <c r="I133" s="2" t="n">
        <v>46270</v>
      </c>
      <c r="J133" t="inlineStr">
        <is>
          <t>Disetujui</t>
        </is>
      </c>
      <c r="K133" t="n">
        <v>60</v>
      </c>
      <c r="L133" t="inlineStr">
        <is>
          <t>5 September 2026</t>
        </is>
      </c>
      <c r="M133" t="inlineStr">
        <is>
          <t>Konstruksi Bangunan Sipil Jalan</t>
        </is>
      </c>
      <c r="N133" t="inlineStr">
        <is>
          <t>K</t>
        </is>
      </c>
      <c r="O133" t="inlineStr">
        <is>
          <t>20230906</t>
        </is>
      </c>
      <c r="P133" t="inlineStr">
        <is>
          <t>Nusa Tenggara Barat</t>
        </is>
      </c>
      <c r="Q133" t="inlineStr"/>
    </row>
    <row r="134">
      <c r="A134" t="inlineStr">
        <is>
          <t>MATAHARI KEMBAR</t>
        </is>
      </c>
      <c r="B134" t="inlineStr">
        <is>
          <t>Kab. Pandeglang</t>
        </is>
      </c>
      <c r="C134" t="inlineStr">
        <is>
          <t>087874363318</t>
        </is>
      </c>
      <c r="D134" t="inlineStr">
        <is>
          <t>lsbubanten@gmail.com</t>
        </is>
      </c>
      <c r="E134" t="inlineStr">
        <is>
          <t>https://lpjk.pu.go.id/search-badan-usaha-detail/U05nRHd2cm16d1lKaHRvdC8zSmk0QT09</t>
        </is>
      </c>
      <c r="F134" t="n">
        <v>2</v>
      </c>
      <c r="G134" t="inlineStr">
        <is>
          <t>BS002</t>
        </is>
      </c>
      <c r="H134" t="inlineStr">
        <is>
          <t>2 Mei 2016</t>
        </is>
      </c>
      <c r="I134" s="2" t="n">
        <v>46270</v>
      </c>
      <c r="J134" t="inlineStr">
        <is>
          <t>Disetujui</t>
        </is>
      </c>
      <c r="K134" t="n">
        <v>60</v>
      </c>
      <c r="L134" t="inlineStr">
        <is>
          <t>5 September 2026</t>
        </is>
      </c>
      <c r="M134" t="inlineStr">
        <is>
          <t>Bangunan Sipil Jembatan, Jalan Layang, Fly Over, dan Underpass</t>
        </is>
      </c>
      <c r="N134" t="inlineStr">
        <is>
          <t>K</t>
        </is>
      </c>
      <c r="O134" t="inlineStr">
        <is>
          <t>20230826</t>
        </is>
      </c>
      <c r="P134" t="inlineStr">
        <is>
          <t>Banten</t>
        </is>
      </c>
      <c r="Q134" t="inlineStr"/>
    </row>
    <row r="135">
      <c r="A135" t="inlineStr">
        <is>
          <t>MEDIA WORLD CITRA</t>
        </is>
      </c>
      <c r="B135" t="inlineStr">
        <is>
          <t>Kota Balikpapan</t>
        </is>
      </c>
      <c r="C135" t="inlineStr">
        <is>
          <t>082154961673</t>
        </is>
      </c>
      <c r="D135" t="inlineStr">
        <is>
          <t>mediaworldcitra@gmail.com</t>
        </is>
      </c>
      <c r="E135" t="inlineStr">
        <is>
          <t>https://lpjk.pu.go.id/search-badan-usaha-detail/L2lpMG5qNjhvZklGcitaeHJOZlZWZz09</t>
        </is>
      </c>
      <c r="F135" t="n">
        <v>1</v>
      </c>
      <c r="G135" t="inlineStr">
        <is>
          <t>BG009</t>
        </is>
      </c>
      <c r="H135" t="inlineStr">
        <is>
          <t>22 Juni 2020</t>
        </is>
      </c>
      <c r="I135" s="2" t="n">
        <v>46270</v>
      </c>
      <c r="J135" t="inlineStr">
        <is>
          <t>Disetujui</t>
        </is>
      </c>
      <c r="K135" t="n">
        <v>60</v>
      </c>
      <c r="L135" t="inlineStr">
        <is>
          <t>5 September 2026</t>
        </is>
      </c>
      <c r="M135" t="inlineStr">
        <is>
          <t>Konstruksi Gedung Lainnya</t>
        </is>
      </c>
      <c r="N135" t="inlineStr">
        <is>
          <t>K</t>
        </is>
      </c>
      <c r="O135" t="inlineStr">
        <is>
          <t>20230904</t>
        </is>
      </c>
      <c r="P135" t="inlineStr">
        <is>
          <t>Kalimantan Timur</t>
        </is>
      </c>
      <c r="Q135" t="inlineStr"/>
    </row>
    <row r="136">
      <c r="A136" t="inlineStr">
        <is>
          <t>MEGAUTAMA KARYA NUSANTARA</t>
        </is>
      </c>
      <c r="B136" t="inlineStr">
        <is>
          <t>Kab. Ciamis</t>
        </is>
      </c>
      <c r="C136" t="inlineStr">
        <is>
          <t>081323073746</t>
        </is>
      </c>
      <c r="D136" t="inlineStr">
        <is>
          <t>megautama818@gmail.com</t>
        </is>
      </c>
      <c r="E136" t="inlineStr">
        <is>
          <t>https://lpjk.pu.go.id/search-badan-usaha-detail/RStpUE5ha0VOU2VNMC9GYzc3b05Gdz09</t>
        </is>
      </c>
      <c r="F136" t="n">
        <v>6</v>
      </c>
      <c r="G136" t="inlineStr">
        <is>
          <t>RK001, RK002, RK003</t>
        </is>
      </c>
      <c r="H136" t="inlineStr">
        <is>
          <t>24 Juni 2016</t>
        </is>
      </c>
      <c r="I136" s="2" t="n">
        <v>46270</v>
      </c>
      <c r="J136" t="inlineStr">
        <is>
          <t>Disetujui, Pencabutan</t>
        </is>
      </c>
      <c r="K136" t="n">
        <v>60</v>
      </c>
      <c r="L136" t="inlineStr">
        <is>
          <t>5 September 2026</t>
        </is>
      </c>
      <c r="M136" t="inlineStr">
        <is>
          <t>Jasa Rekayasa Konstruksi Bangunan Gedung Hunian dan Non Hunian, Jasa Rekayasa Pekerjaan Teknik Sipil Sumber Daya Air, Jasa Rekayasa Pekerjaan Teknik Sipil Transportasi</t>
        </is>
      </c>
      <c r="N136" t="inlineStr">
        <is>
          <t>K</t>
        </is>
      </c>
      <c r="O136" t="inlineStr">
        <is>
          <t>20230830</t>
        </is>
      </c>
      <c r="P136" t="inlineStr">
        <is>
          <t>Jawa Barat</t>
        </is>
      </c>
      <c r="Q136" t="inlineStr"/>
    </row>
    <row r="137">
      <c r="A137" t="inlineStr">
        <is>
          <t>MELATI INDAH</t>
        </is>
      </c>
      <c r="B137" t="inlineStr">
        <is>
          <t>Kab. Tulungagung</t>
        </is>
      </c>
      <c r="C137" t="inlineStr">
        <is>
          <t>085732526376</t>
        </is>
      </c>
      <c r="D137" t="inlineStr">
        <is>
          <t>cv.melatindah@gmail.com</t>
        </is>
      </c>
      <c r="E137" t="inlineStr">
        <is>
          <t>https://lpjk.pu.go.id/search-badan-usaha-detail/WkxNeUg5YnpndHdFMGY1QmJxSnVmdz09</t>
        </is>
      </c>
      <c r="F137" t="n">
        <v>1</v>
      </c>
      <c r="G137" t="inlineStr">
        <is>
          <t>BS001</t>
        </is>
      </c>
      <c r="H137" t="inlineStr">
        <is>
          <t>16 Desember 2008</t>
        </is>
      </c>
      <c r="I137" s="2" t="n">
        <v>46270</v>
      </c>
      <c r="J137" t="inlineStr">
        <is>
          <t>Disetujui</t>
        </is>
      </c>
      <c r="K137" t="n">
        <v>60</v>
      </c>
      <c r="L137" t="inlineStr">
        <is>
          <t>5 September 2026</t>
        </is>
      </c>
      <c r="M137" t="inlineStr">
        <is>
          <t>Konstruksi Bangunan Sipil Jalan</t>
        </is>
      </c>
      <c r="N137" t="inlineStr">
        <is>
          <t>K</t>
        </is>
      </c>
      <c r="O137" t="inlineStr">
        <is>
          <t>20230901</t>
        </is>
      </c>
      <c r="P137" t="inlineStr">
        <is>
          <t>Jawa Timur</t>
        </is>
      </c>
      <c r="Q137" t="inlineStr"/>
    </row>
    <row r="138">
      <c r="A138" t="inlineStr">
        <is>
          <t>MITA RAYA ENGINEERING</t>
        </is>
      </c>
      <c r="B138" t="inlineStr">
        <is>
          <t>Kota Banda Aceh</t>
        </is>
      </c>
      <c r="C138" t="inlineStr">
        <is>
          <t>08126950835</t>
        </is>
      </c>
      <c r="D138" t="inlineStr">
        <is>
          <t>mitaraya2011@yahoo.co.id</t>
        </is>
      </c>
      <c r="E138" t="inlineStr">
        <is>
          <t>https://lpjk.pu.go.id/search-badan-usaha-detail/enduOFdWNDBKTHVsR0FoekZ6RWduQT09</t>
        </is>
      </c>
      <c r="F138" t="n">
        <v>2</v>
      </c>
      <c r="G138" t="inlineStr">
        <is>
          <t>BS005, BS006</t>
        </is>
      </c>
      <c r="H138" t="inlineStr">
        <is>
          <t>13 Januari 2012</t>
        </is>
      </c>
      <c r="I138" s="2" t="n">
        <v>46270</v>
      </c>
      <c r="J138" t="inlineStr">
        <is>
          <t>Disetujui</t>
        </is>
      </c>
      <c r="K138" t="n">
        <v>60</v>
      </c>
      <c r="L138" t="inlineStr">
        <is>
          <t>5 September 2026</t>
        </is>
      </c>
      <c r="M138" t="inlineStr">
        <is>
          <t>Konstruksi Bangunan Sipil Pengolahan Air Bersih, Konstruksi Bangunan Sipil Prasarana dan Sarana Sistem Pengolahan Limbah Padat, Cair, dan Gas</t>
        </is>
      </c>
      <c r="N138" t="inlineStr">
        <is>
          <t>K</t>
        </is>
      </c>
      <c r="O138" t="inlineStr">
        <is>
          <t>20230810, 20230831</t>
        </is>
      </c>
      <c r="P138" t="inlineStr">
        <is>
          <t>Aceh</t>
        </is>
      </c>
      <c r="Q138" t="inlineStr"/>
    </row>
    <row r="139">
      <c r="A139" t="inlineStr">
        <is>
          <t>MITRA ABADI</t>
        </is>
      </c>
      <c r="B139" t="inlineStr">
        <is>
          <t>Kab. Belitung</t>
        </is>
      </c>
      <c r="C139" t="inlineStr">
        <is>
          <t>081995644433</t>
        </is>
      </c>
      <c r="D139" t="inlineStr">
        <is>
          <t>abadi.m3030@gmail.com</t>
        </is>
      </c>
      <c r="E139" t="inlineStr">
        <is>
          <t>https://lpjk.pu.go.id/search-badan-usaha-detail/TGtSWXV2ZlAxKzBNMmEwbTJXM1prdz09</t>
        </is>
      </c>
      <c r="F139" t="n">
        <v>1</v>
      </c>
      <c r="G139" t="inlineStr">
        <is>
          <t>BS004</t>
        </is>
      </c>
      <c r="H139" t="inlineStr">
        <is>
          <t>29 November 2017</t>
        </is>
      </c>
      <c r="I139" s="2" t="n">
        <v>46270</v>
      </c>
      <c r="J139" t="inlineStr">
        <is>
          <t>Disetujui</t>
        </is>
      </c>
      <c r="K139" t="n">
        <v>60</v>
      </c>
      <c r="L139" t="inlineStr">
        <is>
          <t>5 September 2026</t>
        </is>
      </c>
      <c r="M139" t="inlineStr">
        <is>
          <t>Konstruksi Jaringan Irigasi dan Drainase</t>
        </is>
      </c>
      <c r="N139" t="inlineStr">
        <is>
          <t>K</t>
        </is>
      </c>
      <c r="O139" t="inlineStr">
        <is>
          <t>20230829</t>
        </is>
      </c>
      <c r="P139" t="inlineStr">
        <is>
          <t>Kepulauan Bangka Belitung</t>
        </is>
      </c>
      <c r="Q139" t="inlineStr"/>
    </row>
    <row r="140">
      <c r="A140" t="inlineStr">
        <is>
          <t>MITRA KONSTRUKSI KHATULISTIWA</t>
        </is>
      </c>
      <c r="B140" t="inlineStr">
        <is>
          <t>Kota Pontianak</t>
        </is>
      </c>
      <c r="C140" t="inlineStr">
        <is>
          <t>811573066</t>
        </is>
      </c>
      <c r="D140" t="inlineStr">
        <is>
          <t>mkk_2009@yahoo.com</t>
        </is>
      </c>
      <c r="E140" t="inlineStr">
        <is>
          <t>https://lpjk.pu.go.id/search-badan-usaha-detail/MksxaW9hMUsreVN2MVF0VU50R1lCZz09</t>
        </is>
      </c>
      <c r="F140" t="n">
        <v>1</v>
      </c>
      <c r="G140" t="inlineStr">
        <is>
          <t>IN004</t>
        </is>
      </c>
      <c r="H140" t="inlineStr">
        <is>
          <t>18 Juli 2007</t>
        </is>
      </c>
      <c r="I140" s="2" t="n">
        <v>46270</v>
      </c>
      <c r="J140" t="inlineStr">
        <is>
          <t>Disetujui</t>
        </is>
      </c>
      <c r="K140" t="n">
        <v>60</v>
      </c>
      <c r="L140" t="inlineStr">
        <is>
          <t>5 September 2026</t>
        </is>
      </c>
      <c r="M140" t="inlineStr">
        <is>
          <t>Instalasi Minyak dan Gas</t>
        </is>
      </c>
      <c r="N140" t="inlineStr">
        <is>
          <t>Spesialis</t>
        </is>
      </c>
      <c r="O140" t="inlineStr">
        <is>
          <t>20230831</t>
        </is>
      </c>
      <c r="P140" t="inlineStr">
        <is>
          <t>Kalimantan Barat</t>
        </is>
      </c>
      <c r="Q140" t="inlineStr"/>
    </row>
    <row r="141">
      <c r="A141" t="inlineStr">
        <is>
          <t>MITRA MANDIRI</t>
        </is>
      </c>
      <c r="B141" t="inlineStr">
        <is>
          <t>Kab. Deli Serdang</t>
        </is>
      </c>
      <c r="C141" t="inlineStr">
        <is>
          <t>0811634087</t>
        </is>
      </c>
      <c r="D141" t="inlineStr">
        <is>
          <t>mandiri.edylie@gmail.com</t>
        </is>
      </c>
      <c r="E141" t="inlineStr">
        <is>
          <t>https://lpjk.pu.go.id/search-badan-usaha-detail/Z1NvT284NHI2S0diWHhjV0l6Zm05UT09</t>
        </is>
      </c>
      <c r="F141" t="n">
        <v>1</v>
      </c>
      <c r="G141" t="inlineStr">
        <is>
          <t>BS001</t>
        </is>
      </c>
      <c r="H141" t="inlineStr">
        <is>
          <t>24 Agustus 2011</t>
        </is>
      </c>
      <c r="I141" s="2" t="n">
        <v>46270</v>
      </c>
      <c r="J141" t="inlineStr">
        <is>
          <t>Disetujui</t>
        </is>
      </c>
      <c r="K141" t="n">
        <v>60</v>
      </c>
      <c r="L141" t="inlineStr">
        <is>
          <t>5 September 2026</t>
        </is>
      </c>
      <c r="M141" t="inlineStr">
        <is>
          <t>Konstruksi Bangunan Sipil Jalan</t>
        </is>
      </c>
      <c r="N141" t="inlineStr">
        <is>
          <t>K</t>
        </is>
      </c>
      <c r="O141" t="inlineStr">
        <is>
          <t>20230714</t>
        </is>
      </c>
      <c r="P141" t="inlineStr">
        <is>
          <t>Sumatera Utara</t>
        </is>
      </c>
      <c r="Q141" t="inlineStr"/>
    </row>
    <row r="142">
      <c r="A142" t="inlineStr">
        <is>
          <t>MITRA PERKASA BERSAMA</t>
        </is>
      </c>
      <c r="B142" t="inlineStr">
        <is>
          <t>Kota Jambi</t>
        </is>
      </c>
      <c r="C142" t="inlineStr">
        <is>
          <t>082371116464</t>
        </is>
      </c>
      <c r="D142" t="inlineStr">
        <is>
          <t>mitraabadiperkasa012@gmail.com</t>
        </is>
      </c>
      <c r="E142" t="inlineStr">
        <is>
          <t>https://lpjk.pu.go.id/search-badan-usaha-detail/dVFIVnZGR1kvV0R4aFdzMFk5MUVYUT09</t>
        </is>
      </c>
      <c r="F142" t="n">
        <v>1</v>
      </c>
      <c r="G142" t="inlineStr">
        <is>
          <t>BG005</t>
        </is>
      </c>
      <c r="H142" t="inlineStr">
        <is>
          <t>12 Juni 2023</t>
        </is>
      </c>
      <c r="I142" s="2" t="n">
        <v>46270</v>
      </c>
      <c r="J142" t="inlineStr">
        <is>
          <t>Pencabutan</t>
        </is>
      </c>
      <c r="K142" t="n">
        <v>60</v>
      </c>
      <c r="L142" t="inlineStr">
        <is>
          <t>5 September 2026</t>
        </is>
      </c>
      <c r="M142" t="inlineStr">
        <is>
          <t>Konstruksi Gedung Kesehatan</t>
        </is>
      </c>
      <c r="N142" t="inlineStr">
        <is>
          <t>K</t>
        </is>
      </c>
      <c r="O142" t="inlineStr">
        <is>
          <t>20230904</t>
        </is>
      </c>
      <c r="P142" t="inlineStr">
        <is>
          <t>Jambi</t>
        </is>
      </c>
      <c r="Q142" t="inlineStr"/>
    </row>
    <row r="143">
      <c r="A143" t="inlineStr">
        <is>
          <t>MORISON BATAM PERKASA</t>
        </is>
      </c>
      <c r="B143" t="inlineStr">
        <is>
          <t>Kota Batam</t>
        </is>
      </c>
      <c r="C143" t="inlineStr">
        <is>
          <t>081364755433</t>
        </is>
      </c>
      <c r="D143" t="inlineStr">
        <is>
          <t>mitraserasijaya@yahoo.com</t>
        </is>
      </c>
      <c r="E143" t="inlineStr">
        <is>
          <t>https://lpjk.pu.go.id/search-badan-usaha-detail/M2NPYVZXSUJXeit5VnZhcG1BQ1lXUT09</t>
        </is>
      </c>
      <c r="F143" t="n">
        <v>1</v>
      </c>
      <c r="G143" t="inlineStr">
        <is>
          <t>BG009</t>
        </is>
      </c>
      <c r="H143" t="inlineStr">
        <is>
          <t>6 Februari 2015</t>
        </is>
      </c>
      <c r="I143" s="2" t="n">
        <v>46270</v>
      </c>
      <c r="J143" t="inlineStr">
        <is>
          <t>Disetujui</t>
        </is>
      </c>
      <c r="K143" t="n">
        <v>60</v>
      </c>
      <c r="L143" t="inlineStr">
        <is>
          <t>5 September 2026</t>
        </is>
      </c>
      <c r="M143" t="inlineStr">
        <is>
          <t>Konstruksi Gedung Lainnya</t>
        </is>
      </c>
      <c r="N143" t="inlineStr">
        <is>
          <t>K</t>
        </is>
      </c>
      <c r="O143" t="inlineStr">
        <is>
          <t>20230815</t>
        </is>
      </c>
      <c r="P143" t="inlineStr">
        <is>
          <t>Kepulauan Riau</t>
        </is>
      </c>
      <c r="Q143" t="inlineStr"/>
    </row>
    <row r="144">
      <c r="A144" t="inlineStr">
        <is>
          <t>MUARA MULIA TEKNIK</t>
        </is>
      </c>
      <c r="B144" t="inlineStr">
        <is>
          <t>Kab. Tapanuli Selatan</t>
        </is>
      </c>
      <c r="C144" t="inlineStr">
        <is>
          <t>081376656164</t>
        </is>
      </c>
      <c r="D144" t="inlineStr">
        <is>
          <t>muaramuliateknik@gmail.com</t>
        </is>
      </c>
      <c r="E144" t="inlineStr">
        <is>
          <t>https://lpjk.pu.go.id/search-badan-usaha-detail/eVFERDhsdEl5U29JSGVJTVZRRUVyUT09</t>
        </is>
      </c>
      <c r="F144" t="n">
        <v>1</v>
      </c>
      <c r="G144" t="inlineStr">
        <is>
          <t>BG006</t>
        </is>
      </c>
      <c r="H144" t="inlineStr">
        <is>
          <t>19 November 2020</t>
        </is>
      </c>
      <c r="I144" s="2" t="n">
        <v>46270</v>
      </c>
      <c r="J144" t="inlineStr">
        <is>
          <t>Pencabutan</t>
        </is>
      </c>
      <c r="K144" t="n">
        <v>60</v>
      </c>
      <c r="L144" t="inlineStr">
        <is>
          <t>5 September 2026</t>
        </is>
      </c>
      <c r="M144" t="inlineStr">
        <is>
          <t>Konstruksi Gedung Pendidikan</t>
        </is>
      </c>
      <c r="N144" t="inlineStr">
        <is>
          <t>K</t>
        </is>
      </c>
      <c r="O144" t="inlineStr">
        <is>
          <t>20221015</t>
        </is>
      </c>
      <c r="P144" t="inlineStr">
        <is>
          <t>Sumatera Utara</t>
        </is>
      </c>
      <c r="Q144" t="inlineStr"/>
    </row>
    <row r="145">
      <c r="A145" t="inlineStr">
        <is>
          <t>MULTAZAM</t>
        </is>
      </c>
      <c r="B145" t="inlineStr">
        <is>
          <t>Kab. Magetan</t>
        </is>
      </c>
      <c r="C145" t="inlineStr">
        <is>
          <t>089501385294</t>
        </is>
      </c>
      <c r="D145" t="inlineStr">
        <is>
          <t>multazamcv45@gmail.com</t>
        </is>
      </c>
      <c r="E145" t="inlineStr">
        <is>
          <t>https://lpjk.pu.go.id/search-badan-usaha-detail/aWRHd2gwOTZCZDNueXorcXZjaUNHdz09</t>
        </is>
      </c>
      <c r="F145" t="n">
        <v>1</v>
      </c>
      <c r="G145" t="inlineStr">
        <is>
          <t>BG009</t>
        </is>
      </c>
      <c r="H145" t="inlineStr">
        <is>
          <t>9 Februari 2002</t>
        </is>
      </c>
      <c r="I145" s="2" t="n">
        <v>46270</v>
      </c>
      <c r="J145" t="inlineStr">
        <is>
          <t>Disetujui</t>
        </is>
      </c>
      <c r="K145" t="n">
        <v>60</v>
      </c>
      <c r="L145" t="inlineStr">
        <is>
          <t>5 September 2026</t>
        </is>
      </c>
      <c r="M145" t="inlineStr">
        <is>
          <t>Konstruksi Gedung Lainnya</t>
        </is>
      </c>
      <c r="N145" t="inlineStr">
        <is>
          <t>K</t>
        </is>
      </c>
      <c r="O145" t="inlineStr">
        <is>
          <t>20230717</t>
        </is>
      </c>
      <c r="P145" t="inlineStr">
        <is>
          <t>Jawa Timur</t>
        </is>
      </c>
      <c r="Q145" t="inlineStr"/>
    </row>
    <row r="146">
      <c r="A146" t="inlineStr">
        <is>
          <t>MUTIARA SAMUDRA</t>
        </is>
      </c>
      <c r="B146" t="inlineStr">
        <is>
          <t>Kab. Cilacap</t>
        </is>
      </c>
      <c r="C146" t="inlineStr">
        <is>
          <t>0282542731</t>
        </is>
      </c>
      <c r="D146" t="inlineStr">
        <is>
          <t>mutiarasamudra_cv@yahoo.com</t>
        </is>
      </c>
      <c r="E146" t="inlineStr">
        <is>
          <t>https://lpjk.pu.go.id/search-badan-usaha-detail/OHVHaUVQTFEyOTVTMmFON2VEVHZRQT09</t>
        </is>
      </c>
      <c r="F146" t="n">
        <v>14</v>
      </c>
      <c r="G146" t="inlineStr">
        <is>
          <t>BG002, BG005, BG006, BS001, BS004, BS005, BS011</t>
        </is>
      </c>
      <c r="H146" t="inlineStr">
        <is>
          <t>13 Juli 1999</t>
        </is>
      </c>
      <c r="I146" s="2" t="n">
        <v>46270</v>
      </c>
      <c r="J146" t="inlineStr">
        <is>
          <t>Pencabutan</t>
        </is>
      </c>
      <c r="K146" t="n">
        <v>60</v>
      </c>
      <c r="L146" t="inlineStr">
        <is>
          <t>5 September 2026</t>
        </is>
      </c>
      <c r="M146" t="inlineStr">
        <is>
          <t>Konstruksi Bangunan Pelabuhan Bukan Perikanan, Konstruksi Bangunan Sipil Jalan, Konstruksi Bangunan Sipil Pengolahan Air Bersih, Konstruksi Gedung Kesehatan, Konstruksi Gedung Pendidikan, Konstruksi Gedung Perkantoran, Konstruksi Jaringan Irigasi dan Drainase</t>
        </is>
      </c>
      <c r="N146" t="inlineStr">
        <is>
          <t>K</t>
        </is>
      </c>
      <c r="O146" t="inlineStr">
        <is>
          <t>20230814, 20230831</t>
        </is>
      </c>
      <c r="P146" t="inlineStr">
        <is>
          <t>Jawa Tengah</t>
        </is>
      </c>
      <c r="Q146" t="inlineStr"/>
    </row>
    <row r="147">
      <c r="A147" t="inlineStr">
        <is>
          <t>MUTIARA TERATAI</t>
        </is>
      </c>
      <c r="B147" t="inlineStr">
        <is>
          <t>Kab. Trenggalek</t>
        </is>
      </c>
      <c r="C147" t="inlineStr">
        <is>
          <t>081232052019</t>
        </is>
      </c>
      <c r="D147" t="inlineStr">
        <is>
          <t>mutiarateratai0@gmail.com</t>
        </is>
      </c>
      <c r="E147" t="inlineStr">
        <is>
          <t>https://lpjk.pu.go.id/search-badan-usaha-detail/YTRXS0greUN3RFMyMzlpTXdTZ0ZtZz09</t>
        </is>
      </c>
      <c r="F147" t="n">
        <v>8</v>
      </c>
      <c r="G147" t="inlineStr">
        <is>
          <t>BG002, BG005, BG006, BS005</t>
        </is>
      </c>
      <c r="H147" t="inlineStr">
        <is>
          <t>26 Mei 2023</t>
        </is>
      </c>
      <c r="I147" s="2" t="n">
        <v>46270</v>
      </c>
      <c r="J147" t="inlineStr">
        <is>
          <t>Disetujui</t>
        </is>
      </c>
      <c r="K147" t="n">
        <v>60</v>
      </c>
      <c r="L147" t="inlineStr">
        <is>
          <t>5 September 2026</t>
        </is>
      </c>
      <c r="M147" t="inlineStr">
        <is>
          <t>Konstruksi Bangunan Sipil Pengolahan Air Bersih, Konstruksi Gedung Kesehatan, Konstruksi Gedung Pendidikan, Konstruksi Gedung Perkantoran</t>
        </is>
      </c>
      <c r="N147" t="inlineStr">
        <is>
          <t>K</t>
        </is>
      </c>
      <c r="O147" t="inlineStr">
        <is>
          <t>20230906</t>
        </is>
      </c>
      <c r="P147" t="inlineStr">
        <is>
          <t>Jawa Timur</t>
        </is>
      </c>
      <c r="Q147" t="inlineStr"/>
    </row>
    <row r="148">
      <c r="A148" t="inlineStr">
        <is>
          <t>NASIONAL</t>
        </is>
      </c>
      <c r="B148" t="inlineStr">
        <is>
          <t>Kab. Dairi</t>
        </is>
      </c>
      <c r="C148" t="inlineStr">
        <is>
          <t>08126591356</t>
        </is>
      </c>
      <c r="D148" t="inlineStr">
        <is>
          <t>cvnasional2014@gmail.com</t>
        </is>
      </c>
      <c r="E148" t="inlineStr">
        <is>
          <t>https://lpjk.pu.go.id/search-badan-usaha-detail/S0ViQm1lUkQ1eHc5VDcrWHJ4RlNuZz09</t>
        </is>
      </c>
      <c r="F148" t="n">
        <v>1</v>
      </c>
      <c r="G148" t="inlineStr">
        <is>
          <t>BG006</t>
        </is>
      </c>
      <c r="H148" t="inlineStr">
        <is>
          <t>4 Oktober 1994</t>
        </is>
      </c>
      <c r="I148" s="2" t="n">
        <v>46270</v>
      </c>
      <c r="J148" t="inlineStr">
        <is>
          <t>Disetujui</t>
        </is>
      </c>
      <c r="K148" t="n">
        <v>60</v>
      </c>
      <c r="L148" t="inlineStr">
        <is>
          <t>5 September 2026</t>
        </is>
      </c>
      <c r="M148" t="inlineStr">
        <is>
          <t>Konstruksi Gedung Pendidikan</t>
        </is>
      </c>
      <c r="N148" t="inlineStr">
        <is>
          <t>K</t>
        </is>
      </c>
      <c r="O148" t="inlineStr">
        <is>
          <t>20230831</t>
        </is>
      </c>
      <c r="P148" t="inlineStr">
        <is>
          <t>Sumatera Utara</t>
        </is>
      </c>
      <c r="Q148" t="inlineStr"/>
    </row>
    <row r="149">
      <c r="A149" t="inlineStr">
        <is>
          <t>NATAMI</t>
        </is>
      </c>
      <c r="B149" t="inlineStr">
        <is>
          <t>Kota Medan</t>
        </is>
      </c>
      <c r="C149" t="inlineStr">
        <is>
          <t>082164609464</t>
        </is>
      </c>
      <c r="D149" t="inlineStr">
        <is>
          <t>natami_cv@ymail.com</t>
        </is>
      </c>
      <c r="E149" t="inlineStr">
        <is>
          <t>https://lpjk.pu.go.id/search-badan-usaha-detail/M3RwTFIyUDFTUmJQWnJLVnRWZWE1Zz09</t>
        </is>
      </c>
      <c r="F149" t="n">
        <v>1</v>
      </c>
      <c r="G149" t="inlineStr">
        <is>
          <t>BS001</t>
        </is>
      </c>
      <c r="H149" t="inlineStr">
        <is>
          <t>29 Desember 2005</t>
        </is>
      </c>
      <c r="I149" s="2" t="n">
        <v>46270</v>
      </c>
      <c r="J149" t="inlineStr">
        <is>
          <t>Disetujui</t>
        </is>
      </c>
      <c r="K149" t="n">
        <v>60</v>
      </c>
      <c r="L149" t="inlineStr">
        <is>
          <t>5 September 2026</t>
        </is>
      </c>
      <c r="M149" t="inlineStr">
        <is>
          <t>Konstruksi Bangunan Sipil Jalan</t>
        </is>
      </c>
      <c r="N149" t="inlineStr">
        <is>
          <t>K</t>
        </is>
      </c>
      <c r="O149" t="inlineStr">
        <is>
          <t>20230905</t>
        </is>
      </c>
      <c r="P149" t="inlineStr">
        <is>
          <t>Sumatera Utara</t>
        </is>
      </c>
      <c r="Q149" t="inlineStr"/>
    </row>
    <row r="150">
      <c r="A150" t="inlineStr">
        <is>
          <t>PANCA IDEA KONSULTAN</t>
        </is>
      </c>
      <c r="B150" t="inlineStr">
        <is>
          <t>Kota Surakarta</t>
        </is>
      </c>
      <c r="C150" t="inlineStr">
        <is>
          <t>081228225650</t>
        </is>
      </c>
      <c r="D150" t="inlineStr">
        <is>
          <t>pancaidea@gmail.com</t>
        </is>
      </c>
      <c r="E150" t="inlineStr">
        <is>
          <t>https://lpjk.pu.go.id/search-badan-usaha-detail/OGJWNUlYUVRERGx5enVacHFVUDMrUT09</t>
        </is>
      </c>
      <c r="F150" t="n">
        <v>1</v>
      </c>
      <c r="G150" t="inlineStr">
        <is>
          <t>RK002</t>
        </is>
      </c>
      <c r="H150" t="inlineStr">
        <is>
          <t>16 September 2021</t>
        </is>
      </c>
      <c r="I150" s="2" t="n">
        <v>46270</v>
      </c>
      <c r="J150" t="inlineStr">
        <is>
          <t>Disetujui</t>
        </is>
      </c>
      <c r="K150" t="n">
        <v>60</v>
      </c>
      <c r="L150" t="inlineStr">
        <is>
          <t>5 September 2026</t>
        </is>
      </c>
      <c r="M150" t="inlineStr">
        <is>
          <t>Jasa Rekayasa Pekerjaan Teknik Sipil Sumber Daya Air</t>
        </is>
      </c>
      <c r="N150" t="inlineStr">
        <is>
          <t>K</t>
        </is>
      </c>
      <c r="O150" t="inlineStr">
        <is>
          <t>20230823</t>
        </is>
      </c>
      <c r="P150" t="inlineStr">
        <is>
          <t>Jawa Tengah</t>
        </is>
      </c>
      <c r="Q150" t="inlineStr"/>
    </row>
    <row r="151">
      <c r="A151" t="inlineStr">
        <is>
          <t>PARIKESIT</t>
        </is>
      </c>
      <c r="B151" t="inlineStr">
        <is>
          <t>Kab. Blitar</t>
        </is>
      </c>
      <c r="C151" t="inlineStr">
        <is>
          <t>085649586693</t>
        </is>
      </c>
      <c r="D151" t="inlineStr">
        <is>
          <t>kantorparikesit@yahoo.com</t>
        </is>
      </c>
      <c r="E151" t="inlineStr">
        <is>
          <t>https://lpjk.pu.go.id/search-badan-usaha-detail/Q2ZEajRmZ1o2OElhSDNGanV5alZaQT09</t>
        </is>
      </c>
      <c r="F151" t="n">
        <v>2</v>
      </c>
      <c r="G151" t="inlineStr">
        <is>
          <t>BG005, BG006</t>
        </is>
      </c>
      <c r="H151" t="inlineStr">
        <is>
          <t>27 April 2015</t>
        </is>
      </c>
      <c r="I151" s="2" t="n">
        <v>46270</v>
      </c>
      <c r="J151" t="inlineStr">
        <is>
          <t>Disetujui</t>
        </is>
      </c>
      <c r="K151" t="n">
        <v>60</v>
      </c>
      <c r="L151" t="inlineStr">
        <is>
          <t>5 September 2026</t>
        </is>
      </c>
      <c r="M151" t="inlineStr">
        <is>
          <t>Konstruksi Gedung Kesehatan, Konstruksi Gedung Pendidikan</t>
        </is>
      </c>
      <c r="N151" t="inlineStr">
        <is>
          <t>K</t>
        </is>
      </c>
      <c r="O151" t="inlineStr">
        <is>
          <t>20230904</t>
        </is>
      </c>
      <c r="P151" t="inlineStr">
        <is>
          <t>Jawa Timur</t>
        </is>
      </c>
      <c r="Q151" t="inlineStr"/>
    </row>
    <row r="152">
      <c r="A152" t="inlineStr">
        <is>
          <t>PASUNDAN JAYA</t>
        </is>
      </c>
      <c r="B152" t="inlineStr">
        <is>
          <t>Kota Bandung</t>
        </is>
      </c>
      <c r="C152" t="inlineStr">
        <is>
          <t>08112322999</t>
        </is>
      </c>
      <c r="D152" t="inlineStr">
        <is>
          <t>pasundanjaya.cv@yahoo.com</t>
        </is>
      </c>
      <c r="E152" t="inlineStr">
        <is>
          <t>https://lpjk.pu.go.id/search-badan-usaha-detail/YjYraWljOW5Jb1dEcDM1V21EZ1FwUT09</t>
        </is>
      </c>
      <c r="F152" t="n">
        <v>4</v>
      </c>
      <c r="G152" t="inlineStr">
        <is>
          <t>BG006, BG009</t>
        </is>
      </c>
      <c r="H152" t="inlineStr">
        <is>
          <t>12 Maret 2007</t>
        </is>
      </c>
      <c r="I152" s="2" t="n">
        <v>46270</v>
      </c>
      <c r="J152" t="inlineStr">
        <is>
          <t>Disetujui</t>
        </is>
      </c>
      <c r="K152" t="n">
        <v>60</v>
      </c>
      <c r="L152" t="inlineStr">
        <is>
          <t>5 September 2026</t>
        </is>
      </c>
      <c r="M152" t="inlineStr">
        <is>
          <t>Konstruksi Gedung Lainnya, Konstruksi Gedung Pendidikan</t>
        </is>
      </c>
      <c r="N152" t="inlineStr">
        <is>
          <t>K</t>
        </is>
      </c>
      <c r="O152" t="inlineStr">
        <is>
          <t>20230905</t>
        </is>
      </c>
      <c r="P152" t="inlineStr">
        <is>
          <t>Jawa Barat</t>
        </is>
      </c>
      <c r="Q152" t="inlineStr"/>
    </row>
    <row r="153">
      <c r="A153" t="inlineStr">
        <is>
          <t>PERDANA MANDIRI</t>
        </is>
      </c>
      <c r="B153" t="inlineStr">
        <is>
          <t>Kab. Banggai</t>
        </is>
      </c>
      <c r="C153" t="inlineStr">
        <is>
          <t>081214431144</t>
        </is>
      </c>
      <c r="D153" t="inlineStr">
        <is>
          <t>ahmad.yahya977@gmail.com</t>
        </is>
      </c>
      <c r="E153" t="inlineStr">
        <is>
          <t>https://lpjk.pu.go.id/search-badan-usaha-detail/S0ZTM29kR0h6Z29FN3F1aGJJTXp4QT09</t>
        </is>
      </c>
      <c r="F153" t="n">
        <v>4</v>
      </c>
      <c r="G153" t="inlineStr">
        <is>
          <t>BG002, BG005, BG006, BG009</t>
        </is>
      </c>
      <c r="H153" t="inlineStr">
        <is>
          <t>15 Februari 2016</t>
        </is>
      </c>
      <c r="I153" s="2" t="n">
        <v>46270</v>
      </c>
      <c r="J153" t="inlineStr">
        <is>
          <t>Disetujui</t>
        </is>
      </c>
      <c r="K153" t="n">
        <v>60</v>
      </c>
      <c r="L153" t="inlineStr">
        <is>
          <t>5 September 2026</t>
        </is>
      </c>
      <c r="M153" t="inlineStr">
        <is>
          <t>Konstruksi Gedung Kesehatan, Konstruksi Gedung Lainnya, Konstruksi Gedung Pendidikan, Konstruksi Gedung Perkantoran</t>
        </is>
      </c>
      <c r="N153" t="inlineStr">
        <is>
          <t>K</t>
        </is>
      </c>
      <c r="O153" t="inlineStr">
        <is>
          <t>20230904</t>
        </is>
      </c>
      <c r="P153" t="inlineStr">
        <is>
          <t>Sulawesi Tengah</t>
        </is>
      </c>
      <c r="Q153" t="inlineStr"/>
    </row>
    <row r="154">
      <c r="A154" t="inlineStr">
        <is>
          <t>PETRA PUTRA BENISAN</t>
        </is>
      </c>
      <c r="B154" t="inlineStr">
        <is>
          <t>Kota Adm. Jakarta Barat</t>
        </is>
      </c>
      <c r="C154" t="inlineStr">
        <is>
          <t>081399199164</t>
        </is>
      </c>
      <c r="D154" t="inlineStr">
        <is>
          <t>aminsagala@yahoo.com</t>
        </is>
      </c>
      <c r="E154" t="inlineStr">
        <is>
          <t>https://lpjk.pu.go.id/search-badan-usaha-detail/U3Y0aVBRaVlodzlka1RjckE5NXJYZz09</t>
        </is>
      </c>
      <c r="F154" t="n">
        <v>1</v>
      </c>
      <c r="G154" t="inlineStr">
        <is>
          <t>BS001</t>
        </is>
      </c>
      <c r="H154" t="inlineStr">
        <is>
          <t>30 April 1999</t>
        </is>
      </c>
      <c r="I154" s="2" t="n">
        <v>46270</v>
      </c>
      <c r="J154" t="inlineStr">
        <is>
          <t>Disetujui</t>
        </is>
      </c>
      <c r="K154" t="n">
        <v>60</v>
      </c>
      <c r="L154" t="inlineStr">
        <is>
          <t>5 September 2026</t>
        </is>
      </c>
      <c r="M154" t="inlineStr">
        <is>
          <t>Konstruksi Bangunan Sipil Jalan</t>
        </is>
      </c>
      <c r="N154" t="inlineStr">
        <is>
          <t>M</t>
        </is>
      </c>
      <c r="O154" t="inlineStr">
        <is>
          <t>20230830</t>
        </is>
      </c>
      <c r="P154" t="inlineStr">
        <is>
          <t>DKI Jakarta</t>
        </is>
      </c>
      <c r="Q154" t="inlineStr"/>
    </row>
    <row r="155">
      <c r="A155" t="inlineStr">
        <is>
          <t>PRAKARSA</t>
        </is>
      </c>
      <c r="B155" t="inlineStr">
        <is>
          <t>Kab. Nunukan</t>
        </is>
      </c>
      <c r="C155" t="inlineStr">
        <is>
          <t>085387877878</t>
        </is>
      </c>
      <c r="D155" t="inlineStr">
        <is>
          <t>ahmadfauzi.pmi@gmail.com</t>
        </is>
      </c>
      <c r="E155" t="inlineStr">
        <is>
          <t>https://lpjk.pu.go.id/search-badan-usaha-detail/VFJXMSsxSVY2dWNpRjZnaHBrS2FRZz09</t>
        </is>
      </c>
      <c r="F155" t="n">
        <v>1</v>
      </c>
      <c r="G155" t="inlineStr">
        <is>
          <t>BG009</t>
        </is>
      </c>
      <c r="H155" t="inlineStr">
        <is>
          <t>17 November 2008</t>
        </is>
      </c>
      <c r="I155" s="2" t="n">
        <v>46270</v>
      </c>
      <c r="J155" t="inlineStr">
        <is>
          <t>Disetujui</t>
        </is>
      </c>
      <c r="K155" t="n">
        <v>60</v>
      </c>
      <c r="L155" t="inlineStr">
        <is>
          <t>5 September 2026</t>
        </is>
      </c>
      <c r="M155" t="inlineStr">
        <is>
          <t>Konstruksi Gedung Lainnya</t>
        </is>
      </c>
      <c r="N155" t="inlineStr">
        <is>
          <t>K</t>
        </is>
      </c>
      <c r="O155" t="inlineStr">
        <is>
          <t>20230823</t>
        </is>
      </c>
      <c r="P155" t="inlineStr">
        <is>
          <t>Kalimantan Utara</t>
        </is>
      </c>
      <c r="Q155" t="inlineStr"/>
    </row>
    <row r="156">
      <c r="A156" t="inlineStr">
        <is>
          <t>PRASETYO PUTRA MANDIRI</t>
        </is>
      </c>
      <c r="B156" t="inlineStr">
        <is>
          <t>Kota Surabaya</t>
        </is>
      </c>
      <c r="C156" t="inlineStr">
        <is>
          <t>081331761027</t>
        </is>
      </c>
      <c r="D156" t="inlineStr">
        <is>
          <t>ptprasetyopm@gmail.com</t>
        </is>
      </c>
      <c r="E156" t="inlineStr">
        <is>
          <t>https://lpjk.pu.go.id/search-badan-usaha-detail/cFRpT0lJRnZqUDB3N2RsUy9meU5oZz09</t>
        </is>
      </c>
      <c r="F156" t="n">
        <v>2</v>
      </c>
      <c r="G156" t="inlineStr">
        <is>
          <t>BG009, BS003</t>
        </is>
      </c>
      <c r="H156" t="inlineStr">
        <is>
          <t>6 Juli 2022</t>
        </is>
      </c>
      <c r="I156" s="2" t="n">
        <v>46270</v>
      </c>
      <c r="J156" t="inlineStr">
        <is>
          <t>Disetujui</t>
        </is>
      </c>
      <c r="K156" t="n">
        <v>60</v>
      </c>
      <c r="L156" t="inlineStr">
        <is>
          <t>5 September 2026</t>
        </is>
      </c>
      <c r="M156" t="inlineStr">
        <is>
          <t>Konstruksi Gedung Lainnya, Konstruksi Jalan Rel</t>
        </is>
      </c>
      <c r="N156" t="inlineStr">
        <is>
          <t>K</t>
        </is>
      </c>
      <c r="O156" t="inlineStr">
        <is>
          <t>20230904, 20230905</t>
        </is>
      </c>
      <c r="P156" t="inlineStr">
        <is>
          <t>Jawa Timur</t>
        </is>
      </c>
      <c r="Q156" t="inlineStr"/>
    </row>
    <row r="157">
      <c r="A157" t="inlineStr">
        <is>
          <t>PRATAMA</t>
        </is>
      </c>
      <c r="B157" t="inlineStr">
        <is>
          <t>Kab. Asahan</t>
        </is>
      </c>
      <c r="C157" t="inlineStr">
        <is>
          <t>081360144666</t>
        </is>
      </c>
      <c r="D157" t="inlineStr">
        <is>
          <t>pratamacv85@yahoo.co.id</t>
        </is>
      </c>
      <c r="E157" t="inlineStr">
        <is>
          <t>https://lpjk.pu.go.id/search-badan-usaha-detail/RVhnNGY2UTczYjY5R29ydVZ3RnNxdz09</t>
        </is>
      </c>
      <c r="F157" t="n">
        <v>2</v>
      </c>
      <c r="G157" t="inlineStr">
        <is>
          <t>BG005, BG006</t>
        </is>
      </c>
      <c r="H157" t="inlineStr">
        <is>
          <t>13 Maret 1997</t>
        </is>
      </c>
      <c r="I157" s="2" t="n">
        <v>46270</v>
      </c>
      <c r="J157" t="inlineStr">
        <is>
          <t>Disetujui</t>
        </is>
      </c>
      <c r="K157" t="n">
        <v>60</v>
      </c>
      <c r="L157" t="inlineStr">
        <is>
          <t>5 September 2026</t>
        </is>
      </c>
      <c r="M157" t="inlineStr">
        <is>
          <t>Konstruksi Gedung Kesehatan, Konstruksi Gedung Pendidikan</t>
        </is>
      </c>
      <c r="N157" t="inlineStr">
        <is>
          <t>K</t>
        </is>
      </c>
      <c r="O157" t="inlineStr">
        <is>
          <t>20230905, 20230906</t>
        </is>
      </c>
      <c r="P157" t="inlineStr">
        <is>
          <t>Sumatera Utara</t>
        </is>
      </c>
      <c r="Q157" t="inlineStr"/>
    </row>
    <row r="158">
      <c r="A158" t="inlineStr">
        <is>
          <t>PRO MILENIAL MANDIRI</t>
        </is>
      </c>
      <c r="B158" t="inlineStr">
        <is>
          <t>Kota Serang</t>
        </is>
      </c>
      <c r="C158" t="inlineStr">
        <is>
          <t>081286463546</t>
        </is>
      </c>
      <c r="D158" t="inlineStr">
        <is>
          <t>cv.promilenialmandiri@gmail.com</t>
        </is>
      </c>
      <c r="E158" t="inlineStr">
        <is>
          <t>https://lpjk.pu.go.id/search-badan-usaha-detail/VVM2Q05oNmtzVXlpNUZ4U1VMODYrQT09</t>
        </is>
      </c>
      <c r="F158" t="n">
        <v>1</v>
      </c>
      <c r="G158" t="inlineStr">
        <is>
          <t>BG002</t>
        </is>
      </c>
      <c r="H158" t="inlineStr">
        <is>
          <t>15 Juli 2020</t>
        </is>
      </c>
      <c r="I158" s="2" t="n">
        <v>46270</v>
      </c>
      <c r="J158" t="inlineStr">
        <is>
          <t>Disetujui</t>
        </is>
      </c>
      <c r="K158" t="n">
        <v>60</v>
      </c>
      <c r="L158" t="inlineStr">
        <is>
          <t>5 September 2026</t>
        </is>
      </c>
      <c r="M158" t="inlineStr">
        <is>
          <t>Konstruksi Gedung Perkantoran</t>
        </is>
      </c>
      <c r="N158" t="inlineStr">
        <is>
          <t>K</t>
        </is>
      </c>
      <c r="O158" t="inlineStr">
        <is>
          <t>20230901</t>
        </is>
      </c>
      <c r="P158" t="inlineStr">
        <is>
          <t>Banten</t>
        </is>
      </c>
      <c r="Q158" t="inlineStr"/>
    </row>
    <row r="159">
      <c r="A159" t="inlineStr">
        <is>
          <t>PULAU BINTAN BESTARI</t>
        </is>
      </c>
      <c r="B159" t="inlineStr">
        <is>
          <t>Kota Tanjung Pinang</t>
        </is>
      </c>
      <c r="C159" t="inlineStr">
        <is>
          <t>081293285559</t>
        </is>
      </c>
      <c r="D159" t="inlineStr">
        <is>
          <t>widyapbb6@gmail.com</t>
        </is>
      </c>
      <c r="E159" t="inlineStr">
        <is>
          <t>https://lpjk.pu.go.id/search-badan-usaha-detail/blNaTXEvcVhjMXNIY3FRRnB2aHJpZz09</t>
        </is>
      </c>
      <c r="F159" t="n">
        <v>1</v>
      </c>
      <c r="G159" t="inlineStr">
        <is>
          <t>IN001</t>
        </is>
      </c>
      <c r="H159" t="inlineStr">
        <is>
          <t>1 Desember 2004</t>
        </is>
      </c>
      <c r="I159" s="2" t="n">
        <v>46270</v>
      </c>
      <c r="J159" t="inlineStr">
        <is>
          <t>Disetujui</t>
        </is>
      </c>
      <c r="K159" t="n">
        <v>60</v>
      </c>
      <c r="L159" t="inlineStr">
        <is>
          <t>5 September 2026</t>
        </is>
      </c>
      <c r="M159" t="inlineStr">
        <is>
          <t>Instalasi Mekanikal</t>
        </is>
      </c>
      <c r="N159" t="inlineStr">
        <is>
          <t>Spesialis</t>
        </is>
      </c>
      <c r="O159" t="inlineStr">
        <is>
          <t>20230903</t>
        </is>
      </c>
      <c r="P159" t="inlineStr">
        <is>
          <t>Kepulauan Riau</t>
        </is>
      </c>
      <c r="Q159" t="inlineStr"/>
    </row>
    <row r="160">
      <c r="A160" t="inlineStr">
        <is>
          <t>PUTRA ALJAZAIR</t>
        </is>
      </c>
      <c r="B160" t="inlineStr">
        <is>
          <t>Kab. Sumenep</t>
        </is>
      </c>
      <c r="C160" t="inlineStr">
        <is>
          <t>081939493941</t>
        </is>
      </c>
      <c r="D160" t="inlineStr">
        <is>
          <t>aljazaircvputra@gmail.com</t>
        </is>
      </c>
      <c r="E160" t="inlineStr">
        <is>
          <t>https://lpjk.pu.go.id/search-badan-usaha-detail/LzlFd3hPTkFkWXJ3SEJsVkhBTXQ2QT09</t>
        </is>
      </c>
      <c r="F160" t="n">
        <v>6</v>
      </c>
      <c r="G160" t="inlineStr">
        <is>
          <t>BG006, BG009, BS001, BS004, BS005, BS010</t>
        </is>
      </c>
      <c r="H160" t="inlineStr">
        <is>
          <t>31 Desember 2002</t>
        </is>
      </c>
      <c r="I160" s="2" t="n">
        <v>46270</v>
      </c>
      <c r="J160" t="inlineStr">
        <is>
          <t>Disetujui</t>
        </is>
      </c>
      <c r="K160" t="n">
        <v>60</v>
      </c>
      <c r="L160" t="inlineStr">
        <is>
          <t>5 September 2026</t>
        </is>
      </c>
      <c r="M160" t="inlineStr">
        <is>
          <t>Konstruksi Bangunan Prasarana Sumber Daya Air, Konstruksi Bangunan Sipil Jalan, Konstruksi Bangunan Sipil Pengolahan Air Bersih, Konstruksi Gedung Lainnya, Konstruksi Gedung Pendidikan, Konstruksi Jaringan Irigasi dan Drainase</t>
        </is>
      </c>
      <c r="N160" t="inlineStr">
        <is>
          <t>K</t>
        </is>
      </c>
      <c r="O160" t="inlineStr">
        <is>
          <t>20230811, 20230905</t>
        </is>
      </c>
      <c r="P160" t="inlineStr">
        <is>
          <t>Jawa Timur</t>
        </is>
      </c>
      <c r="Q160" t="inlineStr"/>
    </row>
    <row r="161">
      <c r="A161" t="inlineStr">
        <is>
          <t>PUTRA MAHKOTA ADYAKSA</t>
        </is>
      </c>
      <c r="B161" t="inlineStr">
        <is>
          <t>Kab. Luwu Utara</t>
        </is>
      </c>
      <c r="C161" t="inlineStr">
        <is>
          <t>085396177272</t>
        </is>
      </c>
      <c r="D161" t="inlineStr">
        <is>
          <t>mahkota_adyaksa@yahoo.com</t>
        </is>
      </c>
      <c r="E161" t="inlineStr">
        <is>
          <t>https://lpjk.pu.go.id/search-badan-usaha-detail/ZEVZaFQvcG5WREYvZ1F3T1RxQ3dZQT09</t>
        </is>
      </c>
      <c r="F161" t="n">
        <v>1</v>
      </c>
      <c r="G161" t="inlineStr">
        <is>
          <t>BS002</t>
        </is>
      </c>
      <c r="H161" t="inlineStr">
        <is>
          <t>11 Januari 2016</t>
        </is>
      </c>
      <c r="I161" s="2" t="n">
        <v>46270</v>
      </c>
      <c r="J161" t="inlineStr">
        <is>
          <t>Disetujui</t>
        </is>
      </c>
      <c r="K161" t="n">
        <v>60</v>
      </c>
      <c r="L161" t="inlineStr">
        <is>
          <t>5 September 2026</t>
        </is>
      </c>
      <c r="M161" t="inlineStr">
        <is>
          <t>Bangunan Sipil Jembatan, Jalan Layang, Fly Over, dan Underpass</t>
        </is>
      </c>
      <c r="N161" t="inlineStr">
        <is>
          <t>K</t>
        </is>
      </c>
      <c r="O161" t="inlineStr">
        <is>
          <t>20230905</t>
        </is>
      </c>
      <c r="P161" t="inlineStr">
        <is>
          <t>Sulawesi Selatan</t>
        </is>
      </c>
      <c r="Q161" t="inlineStr"/>
    </row>
    <row r="162">
      <c r="A162" t="inlineStr">
        <is>
          <t>PUTRA TUNGGAL JAYA</t>
        </is>
      </c>
      <c r="B162" t="inlineStr">
        <is>
          <t>Kota Samarinda</t>
        </is>
      </c>
      <c r="C162" t="inlineStr">
        <is>
          <t>081350175000</t>
        </is>
      </c>
      <c r="D162" t="inlineStr">
        <is>
          <t>cvputratunggaljaya7@gmail.com</t>
        </is>
      </c>
      <c r="E162" t="inlineStr">
        <is>
          <t>https://lpjk.pu.go.id/search-badan-usaha-detail/OHR6QnRpc3NXZjZRbE1NNkV6RjRLUT09</t>
        </is>
      </c>
      <c r="F162" t="n">
        <v>1</v>
      </c>
      <c r="G162" t="inlineStr">
        <is>
          <t>BS001</t>
        </is>
      </c>
      <c r="H162" t="inlineStr">
        <is>
          <t>25 Maret 2011</t>
        </is>
      </c>
      <c r="I162" s="2" t="n">
        <v>46270</v>
      </c>
      <c r="J162" t="inlineStr">
        <is>
          <t>Disetujui</t>
        </is>
      </c>
      <c r="K162" t="n">
        <v>60</v>
      </c>
      <c r="L162" t="inlineStr">
        <is>
          <t>5 September 2026</t>
        </is>
      </c>
      <c r="M162" t="inlineStr">
        <is>
          <t>Konstruksi Bangunan Sipil Jalan</t>
        </is>
      </c>
      <c r="N162" t="inlineStr">
        <is>
          <t>K</t>
        </is>
      </c>
      <c r="O162" t="inlineStr">
        <is>
          <t>20230904</t>
        </is>
      </c>
      <c r="P162" t="inlineStr">
        <is>
          <t>Kalimantan Timur</t>
        </is>
      </c>
      <c r="Q162" t="inlineStr"/>
    </row>
    <row r="163">
      <c r="A163" t="inlineStr">
        <is>
          <t>PUTRI INTAN ANUGERAH</t>
        </is>
      </c>
      <c r="B163" t="inlineStr">
        <is>
          <t>Kota Tangerang Selatan</t>
        </is>
      </c>
      <c r="C163" t="inlineStr">
        <is>
          <t>0816988692</t>
        </is>
      </c>
      <c r="D163" t="inlineStr">
        <is>
          <t>putriintananugerah@gmail.com</t>
        </is>
      </c>
      <c r="E163" t="inlineStr">
        <is>
          <t>https://lpjk.pu.go.id/search-badan-usaha-detail/VWNQSnBZUzJ1bmYxZnhBT21wZUMxdz09</t>
        </is>
      </c>
      <c r="F163" t="n">
        <v>1</v>
      </c>
      <c r="G163" t="inlineStr">
        <is>
          <t>BS001</t>
        </is>
      </c>
      <c r="H163" t="inlineStr">
        <is>
          <t>26 Oktober 1998</t>
        </is>
      </c>
      <c r="I163" s="2" t="n">
        <v>46270</v>
      </c>
      <c r="J163" t="inlineStr">
        <is>
          <t>Pembekuan</t>
        </is>
      </c>
      <c r="K163" t="n">
        <v>60</v>
      </c>
      <c r="L163" t="inlineStr">
        <is>
          <t>5 September 2026</t>
        </is>
      </c>
      <c r="M163" t="inlineStr">
        <is>
          <t>Konstruksi Bangunan Sipil Jalan</t>
        </is>
      </c>
      <c r="N163" t="inlineStr">
        <is>
          <t>M</t>
        </is>
      </c>
      <c r="O163" t="inlineStr">
        <is>
          <t>20230905</t>
        </is>
      </c>
      <c r="P163" t="inlineStr">
        <is>
          <t>Banten</t>
        </is>
      </c>
      <c r="Q163" t="inlineStr"/>
    </row>
    <row r="164">
      <c r="A164" t="inlineStr">
        <is>
          <t>PUTRI OLIV</t>
        </is>
      </c>
      <c r="B164" t="inlineStr">
        <is>
          <t>Kota Sibolga</t>
        </is>
      </c>
      <c r="C164" t="inlineStr">
        <is>
          <t>081396822007</t>
        </is>
      </c>
      <c r="D164" t="inlineStr">
        <is>
          <t>cv.putrioliv@gmail.com</t>
        </is>
      </c>
      <c r="E164" t="inlineStr">
        <is>
          <t>https://lpjk.pu.go.id/search-badan-usaha-detail/YmNGaWZCaVRTZE5FWkIrRzRiZi9YUT09</t>
        </is>
      </c>
      <c r="F164" t="n">
        <v>6</v>
      </c>
      <c r="G164" t="inlineStr">
        <is>
          <t>BG002, BG004, BG005, BG006, BS001, BS004</t>
        </is>
      </c>
      <c r="H164" t="inlineStr">
        <is>
          <t>2 April 2014</t>
        </is>
      </c>
      <c r="I164" s="2" t="n">
        <v>46270</v>
      </c>
      <c r="J164" t="inlineStr">
        <is>
          <t>Disetujui</t>
        </is>
      </c>
      <c r="K164" t="n">
        <v>60</v>
      </c>
      <c r="L164" t="inlineStr">
        <is>
          <t>5 September 2026</t>
        </is>
      </c>
      <c r="M164" t="inlineStr">
        <is>
          <t>Konstruksi Bangunan Sipil Jalan, Konstruksi Gedung Kesehatan, Konstruksi Gedung Pendidikan, Konstruksi Gedung Perbelanjaan, Konstruksi Gedung Perkantoran, Konstruksi Jaringan Irigasi dan Drainase</t>
        </is>
      </c>
      <c r="N164" t="inlineStr">
        <is>
          <t>K</t>
        </is>
      </c>
      <c r="O164" t="inlineStr">
        <is>
          <t>20230902, 20230905</t>
        </is>
      </c>
      <c r="P164" t="inlineStr">
        <is>
          <t>Sumatera Utara</t>
        </is>
      </c>
      <c r="Q164" t="inlineStr"/>
    </row>
    <row r="165">
      <c r="A165" t="inlineStr">
        <is>
          <t>RAJA JAYA MANDIRI</t>
        </is>
      </c>
      <c r="B165" t="inlineStr">
        <is>
          <t>Kota Bandung</t>
        </is>
      </c>
      <c r="C165" t="inlineStr">
        <is>
          <t>081312097372</t>
        </is>
      </c>
      <c r="D165" t="inlineStr">
        <is>
          <t>rajajayamandiri78@gmail.com</t>
        </is>
      </c>
      <c r="E165" t="inlineStr">
        <is>
          <t>https://lpjk.pu.go.id/search-badan-usaha-detail/bXMzU2ZBaDc0V0NnUEx0MlppVDJIZz09</t>
        </is>
      </c>
      <c r="F165" t="n">
        <v>3</v>
      </c>
      <c r="G165" t="inlineStr">
        <is>
          <t>BG006, BS001, BS004</t>
        </is>
      </c>
      <c r="H165" t="inlineStr">
        <is>
          <t>14 Oktober 2021</t>
        </is>
      </c>
      <c r="I165" s="2" t="n">
        <v>46270</v>
      </c>
      <c r="J165" t="inlineStr">
        <is>
          <t>Disetujui</t>
        </is>
      </c>
      <c r="K165" t="n">
        <v>60</v>
      </c>
      <c r="L165" t="inlineStr">
        <is>
          <t>5 September 2026</t>
        </is>
      </c>
      <c r="M165" t="inlineStr">
        <is>
          <t>Konstruksi Bangunan Sipil Jalan, Konstruksi Gedung Pendidikan, Konstruksi Jaringan Irigasi dan Drainase</t>
        </is>
      </c>
      <c r="N165" t="inlineStr">
        <is>
          <t>K</t>
        </is>
      </c>
      <c r="O165" t="inlineStr">
        <is>
          <t>20220922, 20220923</t>
        </is>
      </c>
      <c r="P165" t="inlineStr">
        <is>
          <t>Jawa Barat</t>
        </is>
      </c>
      <c r="Q165" t="inlineStr"/>
    </row>
    <row r="166">
      <c r="A166" t="inlineStr">
        <is>
          <t>RIA JAYA ABADI</t>
        </is>
      </c>
      <c r="B166" t="inlineStr">
        <is>
          <t>Kota Madiun</t>
        </is>
      </c>
      <c r="C166" t="inlineStr">
        <is>
          <t>081333967054</t>
        </is>
      </c>
      <c r="D166" t="inlineStr">
        <is>
          <t>abadiriajaya@gmail.com</t>
        </is>
      </c>
      <c r="E166" t="inlineStr">
        <is>
          <t>https://lpjk.pu.go.id/search-badan-usaha-detail/Z0I1TU1WUmVjWHVTKzVIZVYreEJoZz09</t>
        </is>
      </c>
      <c r="F166" t="n">
        <v>1</v>
      </c>
      <c r="G166" t="inlineStr">
        <is>
          <t>BG009</t>
        </is>
      </c>
      <c r="H166" t="inlineStr">
        <is>
          <t>3 September 2020</t>
        </is>
      </c>
      <c r="I166" s="2" t="n">
        <v>46270</v>
      </c>
      <c r="J166" t="inlineStr">
        <is>
          <t>Disetujui</t>
        </is>
      </c>
      <c r="K166" t="n">
        <v>60</v>
      </c>
      <c r="L166" t="inlineStr">
        <is>
          <t>5 September 2026</t>
        </is>
      </c>
      <c r="M166" t="inlineStr">
        <is>
          <t>Konstruksi Gedung Lainnya</t>
        </is>
      </c>
      <c r="N166" t="inlineStr">
        <is>
          <t>K</t>
        </is>
      </c>
      <c r="O166" t="inlineStr">
        <is>
          <t>20230905</t>
        </is>
      </c>
      <c r="P166" t="inlineStr">
        <is>
          <t>Jawa Timur</t>
        </is>
      </c>
      <c r="Q166" t="inlineStr"/>
    </row>
    <row r="167">
      <c r="A167" t="inlineStr">
        <is>
          <t>RIHIT MAS</t>
        </is>
      </c>
      <c r="B167" t="inlineStr">
        <is>
          <t>Kab. Simalungun</t>
        </is>
      </c>
      <c r="C167" t="inlineStr">
        <is>
          <t>-</t>
        </is>
      </c>
      <c r="D167" t="inlineStr">
        <is>
          <t>cvrihitmas@gmail.com</t>
        </is>
      </c>
      <c r="E167" t="inlineStr">
        <is>
          <t>https://lpjk.pu.go.id/search-badan-usaha-detail/dnJTa01IV2dmM1pzOWlHTHA2ME42Zz09</t>
        </is>
      </c>
      <c r="F167" t="n">
        <v>1</v>
      </c>
      <c r="G167" t="inlineStr">
        <is>
          <t>BG005</t>
        </is>
      </c>
      <c r="H167" t="inlineStr">
        <is>
          <t>24 April 2000</t>
        </is>
      </c>
      <c r="I167" s="2" t="n">
        <v>46270</v>
      </c>
      <c r="J167" t="inlineStr">
        <is>
          <t>Disetujui</t>
        </is>
      </c>
      <c r="K167" t="n">
        <v>60</v>
      </c>
      <c r="L167" t="inlineStr">
        <is>
          <t>5 September 2026</t>
        </is>
      </c>
      <c r="M167" t="inlineStr">
        <is>
          <t>Konstruksi Gedung Kesehatan</t>
        </is>
      </c>
      <c r="N167" t="inlineStr">
        <is>
          <t>K</t>
        </is>
      </c>
      <c r="O167" t="inlineStr">
        <is>
          <t>20230831</t>
        </is>
      </c>
      <c r="P167" t="inlineStr">
        <is>
          <t>Sumatera Utara</t>
        </is>
      </c>
      <c r="Q167" t="inlineStr"/>
    </row>
    <row r="168">
      <c r="A168" t="inlineStr">
        <is>
          <t>RIZKY ARISANDI JAYA PERKASA</t>
        </is>
      </c>
      <c r="B168" t="inlineStr">
        <is>
          <t>Kab. Sukabumi</t>
        </is>
      </c>
      <c r="C168" t="inlineStr">
        <is>
          <t>085795522343</t>
        </is>
      </c>
      <c r="D168" t="inlineStr">
        <is>
          <t>cvrizkyarisandijayaperkasa@gmail.com</t>
        </is>
      </c>
      <c r="E168" t="inlineStr">
        <is>
          <t>https://lpjk.pu.go.id/search-badan-usaha-detail/WTdZNFNXS2pLRCtMb2ZzRmZrbmFKQT09</t>
        </is>
      </c>
      <c r="F168" t="n">
        <v>1</v>
      </c>
      <c r="G168" t="inlineStr">
        <is>
          <t>BG009</t>
        </is>
      </c>
      <c r="H168" t="inlineStr">
        <is>
          <t>31 Mei 2023</t>
        </is>
      </c>
      <c r="I168" s="2" t="n">
        <v>46270</v>
      </c>
      <c r="J168" t="inlineStr">
        <is>
          <t>Disetujui</t>
        </is>
      </c>
      <c r="K168" t="n">
        <v>60</v>
      </c>
      <c r="L168" t="inlineStr">
        <is>
          <t>5 September 2026</t>
        </is>
      </c>
      <c r="M168" t="inlineStr">
        <is>
          <t>Konstruksi Gedung Lainnya</t>
        </is>
      </c>
      <c r="N168" t="inlineStr">
        <is>
          <t>K</t>
        </is>
      </c>
      <c r="O168" t="inlineStr">
        <is>
          <t>20230905</t>
        </is>
      </c>
      <c r="P168" t="inlineStr">
        <is>
          <t>Jawa Barat</t>
        </is>
      </c>
      <c r="Q168" t="inlineStr"/>
    </row>
    <row r="169">
      <c r="A169" t="inlineStr">
        <is>
          <t>RIZKY YUDHA PRATAMA</t>
        </is>
      </c>
      <c r="B169" t="inlineStr">
        <is>
          <t>Kota Bandar Lampung</t>
        </is>
      </c>
      <c r="C169" t="inlineStr">
        <is>
          <t>081272475000</t>
        </is>
      </c>
      <c r="D169" t="inlineStr">
        <is>
          <t>rypyudhapratama@gmail.com</t>
        </is>
      </c>
      <c r="E169" t="inlineStr">
        <is>
          <t>https://lpjk.pu.go.id/search-badan-usaha-detail/MHQ1TnFJd0wzV2R3OGEwdVBGQ251UT09</t>
        </is>
      </c>
      <c r="F169" t="n">
        <v>2</v>
      </c>
      <c r="G169" t="inlineStr">
        <is>
          <t>BS001, BS004</t>
        </is>
      </c>
      <c r="H169" t="inlineStr">
        <is>
          <t>7 Februari 2011</t>
        </is>
      </c>
      <c r="I169" s="2" t="n">
        <v>46270</v>
      </c>
      <c r="J169" t="inlineStr">
        <is>
          <t>Disetujui</t>
        </is>
      </c>
      <c r="K169" t="n">
        <v>60</v>
      </c>
      <c r="L169" t="inlineStr">
        <is>
          <t>5 September 2026</t>
        </is>
      </c>
      <c r="M169" t="inlineStr">
        <is>
          <t>Konstruksi Bangunan Sipil Jalan, Konstruksi Jaringan Irigasi dan Drainase</t>
        </is>
      </c>
      <c r="N169" t="inlineStr">
        <is>
          <t>K</t>
        </is>
      </c>
      <c r="O169" t="inlineStr">
        <is>
          <t>20230701, 20230814</t>
        </is>
      </c>
      <c r="P169" t="inlineStr">
        <is>
          <t>Lampung</t>
        </is>
      </c>
      <c r="Q169" t="inlineStr"/>
    </row>
    <row r="170">
      <c r="A170" t="inlineStr">
        <is>
          <t>SABILA WARDHANA</t>
        </is>
      </c>
      <c r="B170" t="inlineStr">
        <is>
          <t>Kota Semarang</t>
        </is>
      </c>
      <c r="C170" t="inlineStr">
        <is>
          <t>081329668668</t>
        </is>
      </c>
      <c r="D170" t="inlineStr">
        <is>
          <t>sabila_wardhana@yahoo.com</t>
        </is>
      </c>
      <c r="E170" t="inlineStr">
        <is>
          <t>https://lpjk.pu.go.id/search-badan-usaha-detail/OWFoUXZ1K0tDbisxVmJraFdsQ1hhdz09</t>
        </is>
      </c>
      <c r="F170" t="n">
        <v>1</v>
      </c>
      <c r="G170" t="inlineStr">
        <is>
          <t>BG002</t>
        </is>
      </c>
      <c r="H170" t="inlineStr">
        <is>
          <t>19 September 2005</t>
        </is>
      </c>
      <c r="I170" s="2" t="n">
        <v>46270</v>
      </c>
      <c r="J170" t="inlineStr">
        <is>
          <t>Pencabutan</t>
        </is>
      </c>
      <c r="K170" t="n">
        <v>60</v>
      </c>
      <c r="L170" t="inlineStr">
        <is>
          <t>5 September 2026</t>
        </is>
      </c>
      <c r="M170" t="inlineStr">
        <is>
          <t>Konstruksi Gedung Perkantoran</t>
        </is>
      </c>
      <c r="N170" t="inlineStr">
        <is>
          <t>K</t>
        </is>
      </c>
      <c r="O170" t="inlineStr">
        <is>
          <t>20230831</t>
        </is>
      </c>
      <c r="P170" t="inlineStr">
        <is>
          <t>Jawa Tengah</t>
        </is>
      </c>
      <c r="Q170" t="inlineStr"/>
    </row>
    <row r="171">
      <c r="A171" t="inlineStr">
        <is>
          <t>SAGALA JAYA</t>
        </is>
      </c>
      <c r="B171" t="inlineStr">
        <is>
          <t>Kab. Asahan</t>
        </is>
      </c>
      <c r="C171" t="inlineStr">
        <is>
          <t>085362787158</t>
        </is>
      </c>
      <c r="D171" t="inlineStr">
        <is>
          <t>SAGALAJAYA@YAHOO.COM</t>
        </is>
      </c>
      <c r="E171" t="inlineStr">
        <is>
          <t>https://lpjk.pu.go.id/search-badan-usaha-detail/aTVmNWFwWi9CdGNBVkZhUHNRUjRoQT09</t>
        </is>
      </c>
      <c r="F171" t="n">
        <v>2</v>
      </c>
      <c r="G171" t="inlineStr">
        <is>
          <t>BS004, BS005</t>
        </is>
      </c>
      <c r="H171" t="inlineStr">
        <is>
          <t>22 Februari 2017</t>
        </is>
      </c>
      <c r="I171" s="2" t="n">
        <v>46270</v>
      </c>
      <c r="J171" t="inlineStr">
        <is>
          <t>Disetujui</t>
        </is>
      </c>
      <c r="K171" t="n">
        <v>60</v>
      </c>
      <c r="L171" t="inlineStr">
        <is>
          <t>5 September 2026</t>
        </is>
      </c>
      <c r="M171" t="inlineStr">
        <is>
          <t>Konstruksi Bangunan Sipil Pengolahan Air Bersih, Konstruksi Jaringan Irigasi dan Drainase</t>
        </is>
      </c>
      <c r="N171" t="inlineStr">
        <is>
          <t>K</t>
        </is>
      </c>
      <c r="O171" t="inlineStr">
        <is>
          <t>20230906</t>
        </is>
      </c>
      <c r="P171" t="inlineStr">
        <is>
          <t>Sumatera Utara</t>
        </is>
      </c>
      <c r="Q171" t="inlineStr"/>
    </row>
    <row r="172">
      <c r="A172" t="inlineStr">
        <is>
          <t>SAHABAT SARANA TEKNIK MANDIRI</t>
        </is>
      </c>
      <c r="B172" t="inlineStr">
        <is>
          <t>Kab. Tapin</t>
        </is>
      </c>
      <c r="C172" t="inlineStr">
        <is>
          <t>081253008804</t>
        </is>
      </c>
      <c r="D172" t="inlineStr">
        <is>
          <t>sahabat.sarana1779@gmail.com</t>
        </is>
      </c>
      <c r="E172" t="inlineStr">
        <is>
          <t>https://lpjk.pu.go.id/search-badan-usaha-detail/eDU3Rmd2R0E3b2Z0RzYraExIZkpKQT09</t>
        </is>
      </c>
      <c r="F172" t="n">
        <v>8</v>
      </c>
      <c r="G172" t="inlineStr">
        <is>
          <t>BG002, BG006, BG009, BS001, BS002, BS004, BS010</t>
        </is>
      </c>
      <c r="H172" t="inlineStr">
        <is>
          <t>24 Juli 2019</t>
        </is>
      </c>
      <c r="I172" s="2" t="n">
        <v>46270</v>
      </c>
      <c r="J172" t="inlineStr">
        <is>
          <t>Disetujui</t>
        </is>
      </c>
      <c r="K172" t="n">
        <v>60</v>
      </c>
      <c r="L172" t="inlineStr">
        <is>
          <t>5 September 2026</t>
        </is>
      </c>
      <c r="M172" t="inlineStr">
        <is>
          <t>Bangunan Sipil Jembatan, Jalan Layang, Fly Over, dan Underpass, Konstruksi Bangunan Prasarana Sumber Daya Air, Konstruksi Bangunan Sipil Jalan, Konstruksi Gedung Lainnya, Konstruksi Gedung Pendidikan, Konstruksi Gedung Perkantoran, Konstruksi Jaringan Irigasi dan Drainase</t>
        </is>
      </c>
      <c r="N172" t="inlineStr">
        <is>
          <t>K</t>
        </is>
      </c>
      <c r="O172" t="inlineStr">
        <is>
          <t>20230819, 20230906</t>
        </is>
      </c>
      <c r="P172" t="inlineStr">
        <is>
          <t>Kalimantan Selatan</t>
        </is>
      </c>
      <c r="Q172" t="inlineStr"/>
    </row>
    <row r="173">
      <c r="A173" t="inlineStr">
        <is>
          <t>SAMPULUR CIPTA GUNA</t>
        </is>
      </c>
      <c r="B173" t="inlineStr">
        <is>
          <t>Kota Cimahi</t>
        </is>
      </c>
      <c r="C173" t="inlineStr">
        <is>
          <t>081222216103</t>
        </is>
      </c>
      <c r="D173" t="inlineStr">
        <is>
          <t>sampurna411.pt@gmail.com</t>
        </is>
      </c>
      <c r="E173" t="inlineStr">
        <is>
          <t>https://lpjk.pu.go.id/search-badan-usaha-detail/Zkg3NUtEdGUxQ2d5ZnJsUUJxVm12dz09</t>
        </is>
      </c>
      <c r="F173" t="n">
        <v>1</v>
      </c>
      <c r="G173" t="inlineStr">
        <is>
          <t>RK005</t>
        </is>
      </c>
      <c r="H173" t="inlineStr">
        <is>
          <t>4 November 2022</t>
        </is>
      </c>
      <c r="I173" s="2" t="n">
        <v>46270</v>
      </c>
      <c r="J173" t="inlineStr">
        <is>
          <t>Disetujui</t>
        </is>
      </c>
      <c r="K173" t="n">
        <v>60</v>
      </c>
      <c r="L173" t="inlineStr">
        <is>
          <t>5 September 2026</t>
        </is>
      </c>
      <c r="M173" t="inlineStr">
        <is>
          <t>Jasa Rekayasa Lainnya</t>
        </is>
      </c>
      <c r="N173" t="inlineStr">
        <is>
          <t>K</t>
        </is>
      </c>
      <c r="O173" t="inlineStr">
        <is>
          <t>20230830</t>
        </is>
      </c>
      <c r="P173" t="inlineStr">
        <is>
          <t>Jawa Barat</t>
        </is>
      </c>
      <c r="Q173" t="inlineStr"/>
    </row>
    <row r="174">
      <c r="A174" t="inlineStr">
        <is>
          <t>SAMUDRA JAYAKARTA</t>
        </is>
      </c>
      <c r="B174" t="inlineStr">
        <is>
          <t>Kab. Lumajang</t>
        </is>
      </c>
      <c r="C174" t="inlineStr">
        <is>
          <t>081222000909</t>
        </is>
      </c>
      <c r="D174" t="inlineStr">
        <is>
          <t>samudrajayakarta49@gmail.com</t>
        </is>
      </c>
      <c r="E174" t="inlineStr">
        <is>
          <t>https://lpjk.pu.go.id/search-badan-usaha-detail/U01jMHpWdkxRNlNlbmk5SHY4UmlWQT09</t>
        </is>
      </c>
      <c r="F174" t="n">
        <v>2</v>
      </c>
      <c r="G174" t="inlineStr">
        <is>
          <t>BS002, BS004</t>
        </is>
      </c>
      <c r="H174" t="inlineStr">
        <is>
          <t>1 Agustus 2023</t>
        </is>
      </c>
      <c r="I174" s="2" t="n">
        <v>46270</v>
      </c>
      <c r="J174" t="inlineStr">
        <is>
          <t>Disetujui</t>
        </is>
      </c>
      <c r="K174" t="n">
        <v>60</v>
      </c>
      <c r="L174" t="inlineStr">
        <is>
          <t>5 September 2026</t>
        </is>
      </c>
      <c r="M174" t="inlineStr">
        <is>
          <t>Bangunan Sipil Jembatan, Jalan Layang, Fly Over, dan Underpass, Konstruksi Jaringan Irigasi dan Drainase</t>
        </is>
      </c>
      <c r="N174" t="inlineStr">
        <is>
          <t>K</t>
        </is>
      </c>
      <c r="O174" t="inlineStr">
        <is>
          <t>20230901</t>
        </is>
      </c>
      <c r="P174" t="inlineStr">
        <is>
          <t>Jawa Timur</t>
        </is>
      </c>
      <c r="Q174" t="inlineStr"/>
    </row>
    <row r="175">
      <c r="A175" t="inlineStr">
        <is>
          <t>SANGJAYA ABADI</t>
        </is>
      </c>
      <c r="B175" t="inlineStr">
        <is>
          <t>Kota Bandar Lampung</t>
        </is>
      </c>
      <c r="C175" t="inlineStr">
        <is>
          <t>082176116606</t>
        </is>
      </c>
      <c r="D175" t="inlineStr">
        <is>
          <t>sangjayaabadi11@yahoo.com</t>
        </is>
      </c>
      <c r="E175" t="inlineStr">
        <is>
          <t>https://lpjk.pu.go.id/search-badan-usaha-detail/alhaeGswVXI5NXlLWXRUQ0txTDNnQT09</t>
        </is>
      </c>
      <c r="F175" t="n">
        <v>1</v>
      </c>
      <c r="G175" t="inlineStr">
        <is>
          <t>BS001</t>
        </is>
      </c>
      <c r="H175" t="inlineStr">
        <is>
          <t>26 Februari 2015</t>
        </is>
      </c>
      <c r="I175" s="2" t="n">
        <v>46270</v>
      </c>
      <c r="J175" t="inlineStr">
        <is>
          <t>Disetujui</t>
        </is>
      </c>
      <c r="K175" t="n">
        <v>60</v>
      </c>
      <c r="L175" t="inlineStr">
        <is>
          <t>5 September 2026</t>
        </is>
      </c>
      <c r="M175" t="inlineStr">
        <is>
          <t>Konstruksi Bangunan Sipil Jalan</t>
        </is>
      </c>
      <c r="N175" t="inlineStr">
        <is>
          <t>K</t>
        </is>
      </c>
      <c r="O175" t="inlineStr">
        <is>
          <t>20230906</t>
        </is>
      </c>
      <c r="P175" t="inlineStr">
        <is>
          <t>Lampung</t>
        </is>
      </c>
      <c r="Q175" t="inlineStr"/>
    </row>
    <row r="176">
      <c r="A176" t="inlineStr">
        <is>
          <t>SARANA BHUANA JAYA</t>
        </is>
      </c>
      <c r="B176" t="inlineStr">
        <is>
          <t>Kota Bandung</t>
        </is>
      </c>
      <c r="C176" t="inlineStr">
        <is>
          <t>0227315904</t>
        </is>
      </c>
      <c r="D176" t="inlineStr">
        <is>
          <t>sarana.sbj@gmail.com</t>
        </is>
      </c>
      <c r="E176" t="inlineStr">
        <is>
          <t>https://lpjk.pu.go.id/search-badan-usaha-detail/WGRmTUxJUmxmTEdsMFhjb1ZRSFpoUT09</t>
        </is>
      </c>
      <c r="F176" t="n">
        <v>1</v>
      </c>
      <c r="G176" t="inlineStr">
        <is>
          <t>RK002</t>
        </is>
      </c>
      <c r="H176" t="inlineStr">
        <is>
          <t>16 Oktober 1985</t>
        </is>
      </c>
      <c r="I176" s="2" t="n">
        <v>46270</v>
      </c>
      <c r="J176" t="inlineStr">
        <is>
          <t>Disetujui</t>
        </is>
      </c>
      <c r="K176" t="n">
        <v>60</v>
      </c>
      <c r="L176" t="inlineStr">
        <is>
          <t>5 September 2026</t>
        </is>
      </c>
      <c r="M176" t="inlineStr">
        <is>
          <t>Jasa Rekayasa Pekerjaan Teknik Sipil Sumber Daya Air</t>
        </is>
      </c>
      <c r="N176" t="inlineStr">
        <is>
          <t>B</t>
        </is>
      </c>
      <c r="O176" t="inlineStr">
        <is>
          <t>20230824</t>
        </is>
      </c>
      <c r="P176" t="inlineStr">
        <is>
          <t>Jawa Barat</t>
        </is>
      </c>
      <c r="Q176" t="inlineStr"/>
    </row>
    <row r="177">
      <c r="A177" t="inlineStr">
        <is>
          <t>SARTIKA 37 STEEL</t>
        </is>
      </c>
      <c r="B177" t="inlineStr">
        <is>
          <t>Kab. Aceh Barat</t>
        </is>
      </c>
      <c r="C177" t="inlineStr">
        <is>
          <t>085358289029</t>
        </is>
      </c>
      <c r="D177" t="inlineStr">
        <is>
          <t>sartika_37steel@yahoo.com</t>
        </is>
      </c>
      <c r="E177" t="inlineStr">
        <is>
          <t>https://lpjk.pu.go.id/search-badan-usaha-detail/VlNucEFmZzhRek5uNXdSN3NoSGVwdz09</t>
        </is>
      </c>
      <c r="F177" t="n">
        <v>1</v>
      </c>
      <c r="G177" t="inlineStr">
        <is>
          <t>BS001</t>
        </is>
      </c>
      <c r="H177" t="inlineStr">
        <is>
          <t>17 Juli 2017</t>
        </is>
      </c>
      <c r="I177" s="2" t="n">
        <v>46270</v>
      </c>
      <c r="J177" t="inlineStr">
        <is>
          <t>Disetujui</t>
        </is>
      </c>
      <c r="K177" t="n">
        <v>60</v>
      </c>
      <c r="L177" t="inlineStr">
        <is>
          <t>5 September 2026</t>
        </is>
      </c>
      <c r="M177" t="inlineStr">
        <is>
          <t>Konstruksi Bangunan Sipil Jalan</t>
        </is>
      </c>
      <c r="N177" t="inlineStr">
        <is>
          <t>K</t>
        </is>
      </c>
      <c r="O177" t="inlineStr">
        <is>
          <t>20230905</t>
        </is>
      </c>
      <c r="P177" t="inlineStr">
        <is>
          <t>Aceh</t>
        </is>
      </c>
      <c r="Q177" t="inlineStr"/>
    </row>
    <row r="178">
      <c r="A178" t="inlineStr">
        <is>
          <t>SHAKA PRIMA UTAMA</t>
        </is>
      </c>
      <c r="B178" t="inlineStr">
        <is>
          <t>Kota Pangkal Pinang</t>
        </is>
      </c>
      <c r="C178" t="inlineStr">
        <is>
          <t>081271910220</t>
        </is>
      </c>
      <c r="D178" t="inlineStr">
        <is>
          <t>cvshakaprimautama@gmail.com</t>
        </is>
      </c>
      <c r="E178" t="inlineStr">
        <is>
          <t>https://lpjk.pu.go.id/search-badan-usaha-detail/aGJDeHJqazBtZ3dqUnlYZ0o4a0VHZz09</t>
        </is>
      </c>
      <c r="F178" t="n">
        <v>1</v>
      </c>
      <c r="G178" t="inlineStr">
        <is>
          <t>BS004</t>
        </is>
      </c>
      <c r="H178" t="inlineStr">
        <is>
          <t>31 Juli 2023</t>
        </is>
      </c>
      <c r="I178" s="2" t="n">
        <v>46270</v>
      </c>
      <c r="J178" t="inlineStr">
        <is>
          <t>Disetujui</t>
        </is>
      </c>
      <c r="K178" t="n">
        <v>60</v>
      </c>
      <c r="L178" t="inlineStr">
        <is>
          <t>5 September 2026</t>
        </is>
      </c>
      <c r="M178" t="inlineStr">
        <is>
          <t>Konstruksi Jaringan Irigasi dan Drainase</t>
        </is>
      </c>
      <c r="N178" t="inlineStr">
        <is>
          <t>K</t>
        </is>
      </c>
      <c r="O178" t="inlineStr">
        <is>
          <t>20230811</t>
        </is>
      </c>
      <c r="P178" t="inlineStr">
        <is>
          <t>Kepulauan Bangka Belitung</t>
        </is>
      </c>
      <c r="Q178" t="inlineStr"/>
    </row>
    <row r="179">
      <c r="A179" t="inlineStr">
        <is>
          <t>SINAR ANUGRAH</t>
        </is>
      </c>
      <c r="B179" t="inlineStr">
        <is>
          <t>Kota Tanjung Balai</t>
        </is>
      </c>
      <c r="C179" t="inlineStr">
        <is>
          <t>082361668646</t>
        </is>
      </c>
      <c r="D179" t="inlineStr">
        <is>
          <t>anugrahsinar172@gmail.com</t>
        </is>
      </c>
      <c r="E179" t="inlineStr">
        <is>
          <t>https://lpjk.pu.go.id/search-badan-usaha-detail/UUE3L3FMRnhqQXJTLzNreG9kUE40QT09</t>
        </is>
      </c>
      <c r="F179" t="n">
        <v>1</v>
      </c>
      <c r="G179" t="inlineStr">
        <is>
          <t>BS006</t>
        </is>
      </c>
      <c r="H179" t="inlineStr">
        <is>
          <t>14 September 2016</t>
        </is>
      </c>
      <c r="I179" s="2" t="n">
        <v>46270</v>
      </c>
      <c r="J179" t="inlineStr">
        <is>
          <t>Disetujui</t>
        </is>
      </c>
      <c r="K179" t="n">
        <v>60</v>
      </c>
      <c r="L179" t="inlineStr">
        <is>
          <t>5 September 2026</t>
        </is>
      </c>
      <c r="M179" t="inlineStr">
        <is>
          <t>Konstruksi Bangunan Sipil Prasarana dan Sarana Sistem Pengolahan Limbah Padat, Cair, dan Gas</t>
        </is>
      </c>
      <c r="N179" t="inlineStr">
        <is>
          <t>K</t>
        </is>
      </c>
      <c r="O179" t="inlineStr">
        <is>
          <t>20230906</t>
        </is>
      </c>
      <c r="P179" t="inlineStr">
        <is>
          <t>Sumatera Utara</t>
        </is>
      </c>
      <c r="Q179" t="inlineStr"/>
    </row>
    <row r="180">
      <c r="A180" t="inlineStr">
        <is>
          <t>SINAR JAYA</t>
        </is>
      </c>
      <c r="B180" t="inlineStr">
        <is>
          <t>Kab. Dompu</t>
        </is>
      </c>
      <c r="C180" t="inlineStr">
        <is>
          <t>08192299923</t>
        </is>
      </c>
      <c r="D180" t="inlineStr">
        <is>
          <t>cv.sinarjaya888@ymail.com</t>
        </is>
      </c>
      <c r="E180" t="inlineStr">
        <is>
          <t>https://lpjk.pu.go.id/search-badan-usaha-detail/RENZcjcwUThPZmQvSHd1SE41NkJMZz09</t>
        </is>
      </c>
      <c r="F180" t="n">
        <v>1</v>
      </c>
      <c r="G180" t="inlineStr">
        <is>
          <t>BS004</t>
        </is>
      </c>
      <c r="H180" t="inlineStr">
        <is>
          <t>27 Desember 1974</t>
        </is>
      </c>
      <c r="I180" s="2" t="n">
        <v>46270</v>
      </c>
      <c r="J180" t="inlineStr">
        <is>
          <t>Disetujui</t>
        </is>
      </c>
      <c r="K180" t="n">
        <v>60</v>
      </c>
      <c r="L180" t="inlineStr">
        <is>
          <t>5 September 2026</t>
        </is>
      </c>
      <c r="M180" t="inlineStr">
        <is>
          <t>Konstruksi Jaringan Irigasi dan Drainase</t>
        </is>
      </c>
      <c r="N180" t="inlineStr">
        <is>
          <t>K</t>
        </is>
      </c>
      <c r="O180" t="inlineStr">
        <is>
          <t>20230830</t>
        </is>
      </c>
      <c r="P180" t="inlineStr">
        <is>
          <t>Nusa Tenggara Barat</t>
        </is>
      </c>
      <c r="Q180" t="inlineStr"/>
    </row>
    <row r="181">
      <c r="A181" t="inlineStr">
        <is>
          <t>SINERGI KARYA UTAMA</t>
        </is>
      </c>
      <c r="B181" t="inlineStr">
        <is>
          <t>Kota Pontianak</t>
        </is>
      </c>
      <c r="C181" t="inlineStr">
        <is>
          <t>08125642804</t>
        </is>
      </c>
      <c r="D181" t="inlineStr">
        <is>
          <t>ptsinergikaryautama08@gmail.com</t>
        </is>
      </c>
      <c r="E181" t="inlineStr">
        <is>
          <t>https://lpjk.pu.go.id/search-badan-usaha-detail/K2N4YTZ1KzFYbUthWWZ6RC9HK2JSQT09</t>
        </is>
      </c>
      <c r="F181" t="n">
        <v>2</v>
      </c>
      <c r="G181" t="inlineStr">
        <is>
          <t>RK002, RK003</t>
        </is>
      </c>
      <c r="H181" t="inlineStr">
        <is>
          <t>16 Desember 2009</t>
        </is>
      </c>
      <c r="I181" s="2" t="n">
        <v>46270</v>
      </c>
      <c r="J181" t="inlineStr">
        <is>
          <t>Disetujui</t>
        </is>
      </c>
      <c r="K181" t="n">
        <v>60</v>
      </c>
      <c r="L181" t="inlineStr">
        <is>
          <t>5 September 2026</t>
        </is>
      </c>
      <c r="M181" t="inlineStr">
        <is>
          <t>Jasa Rekayasa Pekerjaan Teknik Sipil Sumber Daya Air, Jasa Rekayasa Pekerjaan Teknik Sipil Transportasi</t>
        </is>
      </c>
      <c r="N181" t="inlineStr">
        <is>
          <t>K</t>
        </is>
      </c>
      <c r="O181" t="inlineStr">
        <is>
          <t>20230824, 20230831</t>
        </is>
      </c>
      <c r="P181" t="inlineStr">
        <is>
          <t>Kalimantan Barat</t>
        </is>
      </c>
      <c r="Q181" t="inlineStr"/>
    </row>
    <row r="182">
      <c r="A182" t="inlineStr">
        <is>
          <t>SUGIH ALIM</t>
        </is>
      </c>
      <c r="B182" t="inlineStr">
        <is>
          <t>Kab. Hulu Sungai Tengah</t>
        </is>
      </c>
      <c r="C182" t="inlineStr">
        <is>
          <t>085249623737</t>
        </is>
      </c>
      <c r="D182" t="inlineStr">
        <is>
          <t>cv.sugihalim@gmail.com</t>
        </is>
      </c>
      <c r="E182" t="inlineStr">
        <is>
          <t>https://lpjk.pu.go.id/search-badan-usaha-detail/cFVYbldReWlQbHEzTjg4bXlnMk52UT09</t>
        </is>
      </c>
      <c r="F182" t="n">
        <v>5</v>
      </c>
      <c r="G182" t="inlineStr">
        <is>
          <t>BG002, BG004, BG005, BG006, BG009</t>
        </is>
      </c>
      <c r="H182" t="inlineStr">
        <is>
          <t>19 Agustus 2023</t>
        </is>
      </c>
      <c r="I182" s="2" t="n">
        <v>46270</v>
      </c>
      <c r="J182" t="inlineStr">
        <is>
          <t>Disetujui, Pencabutan</t>
        </is>
      </c>
      <c r="K182" t="n">
        <v>60</v>
      </c>
      <c r="L182" t="inlineStr">
        <is>
          <t>5 September 2026</t>
        </is>
      </c>
      <c r="M182" t="inlineStr">
        <is>
          <t>Konstruksi Gedung Kesehatan, Konstruksi Gedung Lainnya, Konstruksi Gedung Pendidikan, Konstruksi Gedung Perbelanjaan, Konstruksi Gedung Perkantoran</t>
        </is>
      </c>
      <c r="N182" t="inlineStr">
        <is>
          <t>K</t>
        </is>
      </c>
      <c r="O182" t="inlineStr">
        <is>
          <t>20230826, 20230830, 20230906</t>
        </is>
      </c>
      <c r="P182" t="inlineStr">
        <is>
          <t>Kalimantan Selatan</t>
        </is>
      </c>
      <c r="Q182" t="inlineStr"/>
    </row>
    <row r="183">
      <c r="A183" t="inlineStr">
        <is>
          <t>SUJARI MULYANTO CONTRACTOR</t>
        </is>
      </c>
      <c r="B183" t="inlineStr">
        <is>
          <t>Kab. Paser</t>
        </is>
      </c>
      <c r="C183" t="inlineStr">
        <is>
          <t>082148170219</t>
        </is>
      </c>
      <c r="D183" t="inlineStr">
        <is>
          <t>sujarimulyantocontractors@gmail.com</t>
        </is>
      </c>
      <c r="E183" t="inlineStr">
        <is>
          <t>https://lpjk.pu.go.id/search-badan-usaha-detail/a05vVDBtTzUrZmFneWgrT2NWMjgvQT09</t>
        </is>
      </c>
      <c r="F183" t="n">
        <v>1</v>
      </c>
      <c r="G183" t="inlineStr">
        <is>
          <t>BG006</t>
        </is>
      </c>
      <c r="H183" t="inlineStr">
        <is>
          <t>11 Februari 2020</t>
        </is>
      </c>
      <c r="I183" s="2" t="n">
        <v>46270</v>
      </c>
      <c r="J183" t="inlineStr">
        <is>
          <t>Disetujui</t>
        </is>
      </c>
      <c r="K183" t="n">
        <v>60</v>
      </c>
      <c r="L183" t="inlineStr">
        <is>
          <t>5 September 2026</t>
        </is>
      </c>
      <c r="M183" t="inlineStr">
        <is>
          <t>Konstruksi Gedung Pendidikan</t>
        </is>
      </c>
      <c r="N183" t="inlineStr">
        <is>
          <t>K</t>
        </is>
      </c>
      <c r="O183" t="inlineStr">
        <is>
          <t>20230901</t>
        </is>
      </c>
      <c r="P183" t="inlineStr">
        <is>
          <t>Kalimantan Timur</t>
        </is>
      </c>
      <c r="Q183" t="inlineStr"/>
    </row>
    <row r="184">
      <c r="A184" t="inlineStr">
        <is>
          <t>SUMBER KARYA</t>
        </is>
      </c>
      <c r="B184" t="inlineStr">
        <is>
          <t>Kab. Agam</t>
        </is>
      </c>
      <c r="C184" t="inlineStr">
        <is>
          <t>082387407880</t>
        </is>
      </c>
      <c r="D184" t="inlineStr">
        <is>
          <t>indratalago@yahoo.co.id</t>
        </is>
      </c>
      <c r="E184" t="inlineStr">
        <is>
          <t>https://lpjk.pu.go.id/search-badan-usaha-detail/dVltbFlVTm13OGhxL3pYdDRPUzhvUT09</t>
        </is>
      </c>
      <c r="F184" t="n">
        <v>2</v>
      </c>
      <c r="G184" t="inlineStr">
        <is>
          <t>BG006, BG009</t>
        </is>
      </c>
      <c r="H184" t="inlineStr">
        <is>
          <t>1 Mei 1972</t>
        </is>
      </c>
      <c r="I184" s="2" t="n">
        <v>46270</v>
      </c>
      <c r="J184" t="inlineStr">
        <is>
          <t>Disetujui</t>
        </is>
      </c>
      <c r="K184" t="n">
        <v>60</v>
      </c>
      <c r="L184" t="inlineStr">
        <is>
          <t>5 September 2026</t>
        </is>
      </c>
      <c r="M184" t="inlineStr">
        <is>
          <t>Konstruksi Gedung Lainnya, Konstruksi Gedung Pendidikan</t>
        </is>
      </c>
      <c r="N184" t="inlineStr">
        <is>
          <t>K</t>
        </is>
      </c>
      <c r="O184" t="inlineStr">
        <is>
          <t>20230829</t>
        </is>
      </c>
      <c r="P184" t="inlineStr">
        <is>
          <t>Sumatera Barat</t>
        </is>
      </c>
      <c r="Q184" t="inlineStr"/>
    </row>
    <row r="185">
      <c r="A185" t="inlineStr">
        <is>
          <t>SURYA ADHI DAYA</t>
        </is>
      </c>
      <c r="B185" t="inlineStr">
        <is>
          <t>Kota Surabaya</t>
        </is>
      </c>
      <c r="C185" t="inlineStr">
        <is>
          <t>081233433466</t>
        </is>
      </c>
      <c r="D185" t="inlineStr">
        <is>
          <t>suryaadhidaya@yahoo.com</t>
        </is>
      </c>
      <c r="E185" t="inlineStr">
        <is>
          <t>https://lpjk.pu.go.id/search-badan-usaha-detail/R1h4bGoxLzh2dElxSlpzeDl0QWlkZz09</t>
        </is>
      </c>
      <c r="F185" t="n">
        <v>1</v>
      </c>
      <c r="G185" t="inlineStr">
        <is>
          <t>BS006</t>
        </is>
      </c>
      <c r="H185" t="inlineStr">
        <is>
          <t>25 Juli 2023</t>
        </is>
      </c>
      <c r="I185" s="2" t="n">
        <v>46270</v>
      </c>
      <c r="J185" t="inlineStr">
        <is>
          <t>Disetujui</t>
        </is>
      </c>
      <c r="K185" t="n">
        <v>60</v>
      </c>
      <c r="L185" t="inlineStr">
        <is>
          <t>5 September 2026</t>
        </is>
      </c>
      <c r="M185" t="inlineStr">
        <is>
          <t>Konstruksi Bangunan Sipil Prasarana dan Sarana Sistem Pengolahan Limbah Padat, Cair, dan Gas</t>
        </is>
      </c>
      <c r="N185" t="inlineStr">
        <is>
          <t>K</t>
        </is>
      </c>
      <c r="O185" t="inlineStr">
        <is>
          <t>20230905</t>
        </is>
      </c>
      <c r="P185" t="inlineStr">
        <is>
          <t>Jawa Timur</t>
        </is>
      </c>
      <c r="Q185" t="inlineStr"/>
    </row>
    <row r="186">
      <c r="A186" t="inlineStr">
        <is>
          <t>SURYA PANJI</t>
        </is>
      </c>
      <c r="B186" t="inlineStr">
        <is>
          <t>Kota Solok</t>
        </is>
      </c>
      <c r="C186" t="inlineStr">
        <is>
          <t>082386414525</t>
        </is>
      </c>
      <c r="D186" t="inlineStr">
        <is>
          <t>cvsuryapanji@yahoo.com</t>
        </is>
      </c>
      <c r="E186" t="inlineStr">
        <is>
          <t>https://lpjk.pu.go.id/search-badan-usaha-detail/aE04YmRYbUFFUXp2dk8yRndEK2g5UT09</t>
        </is>
      </c>
      <c r="F186" t="n">
        <v>2</v>
      </c>
      <c r="G186" t="inlineStr">
        <is>
          <t>BG004, BG006</t>
        </is>
      </c>
      <c r="H186" t="inlineStr">
        <is>
          <t>3 September 1990</t>
        </is>
      </c>
      <c r="I186" s="2" t="n">
        <v>46270</v>
      </c>
      <c r="J186" t="inlineStr">
        <is>
          <t>Disetujui</t>
        </is>
      </c>
      <c r="K186" t="n">
        <v>60</v>
      </c>
      <c r="L186" t="inlineStr">
        <is>
          <t>5 September 2026</t>
        </is>
      </c>
      <c r="M186" t="inlineStr">
        <is>
          <t>Konstruksi Gedung Pendidikan, Konstruksi Gedung Perbelanjaan</t>
        </is>
      </c>
      <c r="N186" t="inlineStr">
        <is>
          <t>K</t>
        </is>
      </c>
      <c r="O186" t="inlineStr">
        <is>
          <t>20230813</t>
        </is>
      </c>
      <c r="P186" t="inlineStr">
        <is>
          <t>Sumatera Barat</t>
        </is>
      </c>
      <c r="Q186" t="inlineStr"/>
    </row>
    <row r="187">
      <c r="A187" t="inlineStr">
        <is>
          <t>TAHASAK</t>
        </is>
      </c>
      <c r="B187" t="inlineStr">
        <is>
          <t>Kab. Gunung Mas</t>
        </is>
      </c>
      <c r="C187" t="inlineStr">
        <is>
          <t>081256418350</t>
        </is>
      </c>
      <c r="D187" t="inlineStr">
        <is>
          <t>tahasakcv@gmail.com</t>
        </is>
      </c>
      <c r="E187" t="inlineStr">
        <is>
          <t>https://lpjk.pu.go.id/search-badan-usaha-detail/VkFYN1BhendkS3JnMFpyK3FIelc1dz09</t>
        </is>
      </c>
      <c r="F187" t="n">
        <v>6</v>
      </c>
      <c r="G187" t="inlineStr">
        <is>
          <t>BG002, BG005, BG006, BG009, BS001</t>
        </is>
      </c>
      <c r="H187" t="inlineStr">
        <is>
          <t>18 Januari 2022</t>
        </is>
      </c>
      <c r="I187" s="2" t="n">
        <v>46270</v>
      </c>
      <c r="J187" t="inlineStr">
        <is>
          <t>Pencabutan</t>
        </is>
      </c>
      <c r="K187" t="n">
        <v>60</v>
      </c>
      <c r="L187" t="inlineStr">
        <is>
          <t>5 September 2026</t>
        </is>
      </c>
      <c r="M187" t="inlineStr">
        <is>
          <t>Konstruksi Bangunan Sipil Jalan, Konstruksi Gedung Kesehatan, Konstruksi Gedung Lainnya, Konstruksi Gedung Pendidikan, Konstruksi Gedung Perkantoran</t>
        </is>
      </c>
      <c r="N187" t="inlineStr">
        <is>
          <t>K</t>
        </is>
      </c>
      <c r="O187" t="inlineStr">
        <is>
          <t>20230904</t>
        </is>
      </c>
      <c r="P187" t="inlineStr">
        <is>
          <t>Kalimantan Tengah</t>
        </is>
      </c>
      <c r="Q187" t="inlineStr"/>
    </row>
    <row r="188">
      <c r="A188" t="inlineStr">
        <is>
          <t>THREE DIMENSI CONSULTANT</t>
        </is>
      </c>
      <c r="B188" t="inlineStr">
        <is>
          <t>Kab. Kolaka Utara</t>
        </is>
      </c>
      <c r="C188" t="inlineStr">
        <is>
          <t>082238880063</t>
        </is>
      </c>
      <c r="D188" t="inlineStr">
        <is>
          <t>tigadimensi170382@gmail.com</t>
        </is>
      </c>
      <c r="E188" t="inlineStr">
        <is>
          <t>https://lpjk.pu.go.id/search-badan-usaha-detail/UEd3cU91Uk1sUXdrdU4wVU9LZk52dz09</t>
        </is>
      </c>
      <c r="F188" t="n">
        <v>2</v>
      </c>
      <c r="G188" t="inlineStr">
        <is>
          <t>RK003, RK005</t>
        </is>
      </c>
      <c r="H188" t="inlineStr">
        <is>
          <t>22 Februari 2021</t>
        </is>
      </c>
      <c r="I188" s="2" t="n">
        <v>46270</v>
      </c>
      <c r="J188" t="inlineStr">
        <is>
          <t>Disetujui</t>
        </is>
      </c>
      <c r="K188" t="n">
        <v>60</v>
      </c>
      <c r="L188" t="inlineStr">
        <is>
          <t>5 September 2026</t>
        </is>
      </c>
      <c r="M188" t="inlineStr">
        <is>
          <t>Jasa Rekayasa Lainnya, Jasa Rekayasa Pekerjaan Teknik Sipil Transportasi</t>
        </is>
      </c>
      <c r="N188" t="inlineStr">
        <is>
          <t>K</t>
        </is>
      </c>
      <c r="O188" t="inlineStr">
        <is>
          <t>20230831</t>
        </is>
      </c>
      <c r="P188" t="inlineStr">
        <is>
          <t>Sulawesi Tenggara</t>
        </is>
      </c>
      <c r="Q188" t="inlineStr"/>
    </row>
    <row r="189">
      <c r="A189" t="inlineStr">
        <is>
          <t>TIGA A</t>
        </is>
      </c>
      <c r="B189" t="inlineStr">
        <is>
          <t>Kab. Banyuwangi</t>
        </is>
      </c>
      <c r="C189" t="inlineStr">
        <is>
          <t>0333410700</t>
        </is>
      </c>
      <c r="D189" t="inlineStr">
        <is>
          <t>cvtigaa@gmail.com</t>
        </is>
      </c>
      <c r="E189" t="inlineStr">
        <is>
          <t>https://lpjk.pu.go.id/search-badan-usaha-detail/N3JuMjB2d2JtbTMyaFZsMWZQTVJJdz09</t>
        </is>
      </c>
      <c r="F189" t="n">
        <v>1</v>
      </c>
      <c r="G189" t="inlineStr">
        <is>
          <t>BS004</t>
        </is>
      </c>
      <c r="H189" t="inlineStr">
        <is>
          <t>12 Oktober 2017</t>
        </is>
      </c>
      <c r="I189" s="2" t="n">
        <v>46270</v>
      </c>
      <c r="J189" t="inlineStr">
        <is>
          <t>Disetujui</t>
        </is>
      </c>
      <c r="K189" t="n">
        <v>60</v>
      </c>
      <c r="L189" t="inlineStr">
        <is>
          <t>5 September 2026</t>
        </is>
      </c>
      <c r="M189" t="inlineStr">
        <is>
          <t>Konstruksi Jaringan Irigasi dan Drainase</t>
        </is>
      </c>
      <c r="N189" t="inlineStr">
        <is>
          <t>K</t>
        </is>
      </c>
      <c r="O189" t="inlineStr">
        <is>
          <t>20230901</t>
        </is>
      </c>
      <c r="P189" t="inlineStr">
        <is>
          <t>Jawa Timur</t>
        </is>
      </c>
      <c r="Q189" t="inlineStr"/>
    </row>
    <row r="190">
      <c r="A190" t="inlineStr">
        <is>
          <t>TIGA BERLIAN</t>
        </is>
      </c>
      <c r="B190" t="inlineStr">
        <is>
          <t>Kab. Tuban</t>
        </is>
      </c>
      <c r="C190" t="inlineStr">
        <is>
          <t>085259457026</t>
        </is>
      </c>
      <c r="D190" t="inlineStr">
        <is>
          <t>cv_tigaberlianc@yahoo.com</t>
        </is>
      </c>
      <c r="E190" t="inlineStr">
        <is>
          <t>https://lpjk.pu.go.id/search-badan-usaha-detail/NDBhb1l6K1QvQ252K0tNaXUwRU1JQT09</t>
        </is>
      </c>
      <c r="F190" t="n">
        <v>1</v>
      </c>
      <c r="G190" t="inlineStr">
        <is>
          <t>BS001</t>
        </is>
      </c>
      <c r="H190" t="inlineStr">
        <is>
          <t>22 September 1988</t>
        </is>
      </c>
      <c r="I190" s="2" t="n">
        <v>46270</v>
      </c>
      <c r="J190" t="inlineStr">
        <is>
          <t>Disetujui</t>
        </is>
      </c>
      <c r="K190" t="n">
        <v>60</v>
      </c>
      <c r="L190" t="inlineStr">
        <is>
          <t>5 September 2026</t>
        </is>
      </c>
      <c r="M190" t="inlineStr">
        <is>
          <t>Konstruksi Bangunan Sipil Jalan</t>
        </is>
      </c>
      <c r="N190" t="inlineStr">
        <is>
          <t>K</t>
        </is>
      </c>
      <c r="O190" t="inlineStr">
        <is>
          <t>20230901</t>
        </is>
      </c>
      <c r="P190" t="inlineStr">
        <is>
          <t>Jawa Timur</t>
        </is>
      </c>
      <c r="Q190" t="inlineStr"/>
    </row>
    <row r="191">
      <c r="A191" t="inlineStr">
        <is>
          <t>TIGA MENARA KARYA</t>
        </is>
      </c>
      <c r="B191" t="inlineStr">
        <is>
          <t>Kab. Kaimana</t>
        </is>
      </c>
      <c r="C191" t="inlineStr">
        <is>
          <t>082238494539</t>
        </is>
      </c>
      <c r="D191" t="inlineStr">
        <is>
          <t>tigamenarakarya@gmail.com</t>
        </is>
      </c>
      <c r="E191" t="inlineStr">
        <is>
          <t>https://lpjk.pu.go.id/search-badan-usaha-detail/a24zSVRzNmJ0Q0ozdElYeGhCUXJBTlFEUE1DNCtBN0g0NlZ0RGsvcFdRND0</t>
        </is>
      </c>
      <c r="F191" t="n">
        <v>1</v>
      </c>
      <c r="G191" t="inlineStr">
        <is>
          <t>BG006</t>
        </is>
      </c>
      <c r="H191" t="inlineStr">
        <is>
          <t>22 Juli 2020</t>
        </is>
      </c>
      <c r="I191" s="2" t="n">
        <v>46270</v>
      </c>
      <c r="J191" t="inlineStr">
        <is>
          <t>Disetujui</t>
        </is>
      </c>
      <c r="K191" t="n">
        <v>60</v>
      </c>
      <c r="L191" t="inlineStr">
        <is>
          <t>5 September 2026</t>
        </is>
      </c>
      <c r="M191" t="inlineStr">
        <is>
          <t>Konstruksi Gedung Pendidikan</t>
        </is>
      </c>
      <c r="N191" t="inlineStr">
        <is>
          <t>K</t>
        </is>
      </c>
      <c r="O191" t="inlineStr">
        <is>
          <t>20230830</t>
        </is>
      </c>
      <c r="P191" t="inlineStr">
        <is>
          <t>Papua Barat</t>
        </is>
      </c>
      <c r="Q191" t="inlineStr"/>
    </row>
    <row r="192">
      <c r="A192" t="inlineStr">
        <is>
          <t>TIMAS SUPLINDO</t>
        </is>
      </c>
      <c r="B192" t="inlineStr">
        <is>
          <t>Kota Adm. Jakarta Pusat</t>
        </is>
      </c>
      <c r="C192" t="inlineStr">
        <is>
          <t>0213522828</t>
        </is>
      </c>
      <c r="D192" t="inlineStr">
        <is>
          <t>hrga@timas.com</t>
        </is>
      </c>
      <c r="E192" t="inlineStr">
        <is>
          <t>https://lpjk.pu.go.id/search-badan-usaha-detail/T3VYVXVLSzd5WkRCd3M2RDRQUnp1UT09</t>
        </is>
      </c>
      <c r="F192" t="n">
        <v>1</v>
      </c>
      <c r="G192" t="inlineStr">
        <is>
          <t>BS013</t>
        </is>
      </c>
      <c r="H192" t="inlineStr">
        <is>
          <t>21 November 1989</t>
        </is>
      </c>
      <c r="I192" s="2" t="n">
        <v>46270</v>
      </c>
      <c r="J192" t="inlineStr">
        <is>
          <t>Disetujui</t>
        </is>
      </c>
      <c r="K192" t="n">
        <v>60</v>
      </c>
      <c r="L192" t="inlineStr">
        <is>
          <t>5 September 2026</t>
        </is>
      </c>
      <c r="M192" t="inlineStr">
        <is>
          <t>Konstruksi Bangunan Sipil Minyak dan Gas Bumi</t>
        </is>
      </c>
      <c r="N192" t="inlineStr">
        <is>
          <t>B</t>
        </is>
      </c>
      <c r="O192" t="inlineStr">
        <is>
          <t>20230710</t>
        </is>
      </c>
      <c r="P192" t="inlineStr">
        <is>
          <t>DKI Jakarta</t>
        </is>
      </c>
      <c r="Q192" t="inlineStr"/>
    </row>
    <row r="193">
      <c r="A193" t="inlineStr">
        <is>
          <t>TRANSFORMASI RAHAYU</t>
        </is>
      </c>
      <c r="B193" t="inlineStr">
        <is>
          <t>Kota Surabaya</t>
        </is>
      </c>
      <c r="C193" t="inlineStr">
        <is>
          <t>085755618967</t>
        </is>
      </c>
      <c r="D193" t="inlineStr">
        <is>
          <t>transformasi.rahayu@gmail.com</t>
        </is>
      </c>
      <c r="E193" t="inlineStr">
        <is>
          <t>https://lpjk.pu.go.id/search-badan-usaha-detail/SnZ1VjhyR1Z2VEVTbDlSRm5BQ0FrZz09</t>
        </is>
      </c>
      <c r="F193" t="n">
        <v>6</v>
      </c>
      <c r="G193" t="inlineStr">
        <is>
          <t>RK001, RK002, RK003</t>
        </is>
      </c>
      <c r="H193" t="inlineStr">
        <is>
          <t>27 Mei 2016</t>
        </is>
      </c>
      <c r="I193" s="2" t="n">
        <v>46270</v>
      </c>
      <c r="J193" t="inlineStr">
        <is>
          <t>Disetujui</t>
        </is>
      </c>
      <c r="K193" t="n">
        <v>60</v>
      </c>
      <c r="L193" t="inlineStr">
        <is>
          <t>5 September 2026</t>
        </is>
      </c>
      <c r="M193" t="inlineStr">
        <is>
          <t>Jasa Rekayasa Konstruksi Bangunan Gedung Hunian dan Non Hunian, Jasa Rekayasa Pekerjaan Teknik Sipil Sumber Daya Air, Jasa Rekayasa Pekerjaan Teknik Sipil Transportasi</t>
        </is>
      </c>
      <c r="N193" t="inlineStr">
        <is>
          <t>K</t>
        </is>
      </c>
      <c r="O193" t="inlineStr">
        <is>
          <t>20230828</t>
        </is>
      </c>
      <c r="P193" t="inlineStr">
        <is>
          <t>Jawa Timur</t>
        </is>
      </c>
      <c r="Q193" t="inlineStr"/>
    </row>
    <row r="194">
      <c r="A194" t="inlineStr">
        <is>
          <t>TRI KARYA WIRATAMA</t>
        </is>
      </c>
      <c r="B194" t="inlineStr">
        <is>
          <t>Kota Tangerang</t>
        </is>
      </c>
      <c r="C194" t="inlineStr">
        <is>
          <t>081219000306</t>
        </is>
      </c>
      <c r="D194" t="inlineStr">
        <is>
          <t>trikaryawiratama@gmail.com</t>
        </is>
      </c>
      <c r="E194" t="inlineStr">
        <is>
          <t>https://lpjk.pu.go.id/search-badan-usaha-detail/c1grQWZNQi9ONzRRcE9Rc1JwSmovUT09</t>
        </is>
      </c>
      <c r="F194" t="n">
        <v>3</v>
      </c>
      <c r="G194" t="inlineStr">
        <is>
          <t>BG005, BG006, BG009</t>
        </is>
      </c>
      <c r="H194" t="inlineStr">
        <is>
          <t>13 Maret 2023</t>
        </is>
      </c>
      <c r="I194" s="2" t="n">
        <v>46270</v>
      </c>
      <c r="J194" t="inlineStr">
        <is>
          <t>Disetujui</t>
        </is>
      </c>
      <c r="K194" t="n">
        <v>60</v>
      </c>
      <c r="L194" t="inlineStr">
        <is>
          <t>5 September 2026</t>
        </is>
      </c>
      <c r="M194" t="inlineStr">
        <is>
          <t>Konstruksi Gedung Kesehatan, Konstruksi Gedung Lainnya, Konstruksi Gedung Pendidikan</t>
        </is>
      </c>
      <c r="N194" t="inlineStr">
        <is>
          <t>K</t>
        </is>
      </c>
      <c r="O194" t="inlineStr">
        <is>
          <t>20230904</t>
        </is>
      </c>
      <c r="P194" t="inlineStr">
        <is>
          <t>Banten</t>
        </is>
      </c>
      <c r="Q194" t="inlineStr"/>
    </row>
    <row r="195">
      <c r="A195" t="inlineStr">
        <is>
          <t>TRIO PUSPA PERDANA</t>
        </is>
      </c>
      <c r="B195" t="inlineStr">
        <is>
          <t>Kota Langsa</t>
        </is>
      </c>
      <c r="C195" t="inlineStr">
        <is>
          <t>081269992254</t>
        </is>
      </c>
      <c r="D195" t="inlineStr">
        <is>
          <t>triopuspaperdana@gmail.com</t>
        </is>
      </c>
      <c r="E195" t="inlineStr">
        <is>
          <t>https://lpjk.pu.go.id/search-badan-usaha-detail/YUdZS0JNNVo5V1RNdGtkeHhjQjVCUT09</t>
        </is>
      </c>
      <c r="F195" t="n">
        <v>4</v>
      </c>
      <c r="G195" t="inlineStr">
        <is>
          <t>BG001, BG005, BG009, BS010</t>
        </is>
      </c>
      <c r="H195" t="inlineStr">
        <is>
          <t>17 Maret 2016</t>
        </is>
      </c>
      <c r="I195" s="2" t="n">
        <v>46270</v>
      </c>
      <c r="J195" t="inlineStr">
        <is>
          <t>Disetujui</t>
        </is>
      </c>
      <c r="K195" t="n">
        <v>60</v>
      </c>
      <c r="L195" t="inlineStr">
        <is>
          <t>5 September 2026</t>
        </is>
      </c>
      <c r="M195" t="inlineStr">
        <is>
          <t>Konstruksi Bangunan Prasarana Sumber Daya Air, Konstruksi Gedung Hunian, Konstruksi Gedung Kesehatan, Konstruksi Gedung Lainnya</t>
        </is>
      </c>
      <c r="N195" t="inlineStr">
        <is>
          <t>K</t>
        </is>
      </c>
      <c r="O195" t="inlineStr">
        <is>
          <t>20220315, 20230828</t>
        </is>
      </c>
      <c r="P195" t="inlineStr">
        <is>
          <t>Aceh</t>
        </is>
      </c>
      <c r="Q195" t="inlineStr"/>
    </row>
    <row r="196">
      <c r="A196" t="inlineStr">
        <is>
          <t>WIGUNA INTI KARYA</t>
        </is>
      </c>
      <c r="B196" t="inlineStr">
        <is>
          <t>Kota Adm. Jakarta Pusat</t>
        </is>
      </c>
      <c r="C196" t="inlineStr">
        <is>
          <t>087881452727</t>
        </is>
      </c>
      <c r="D196" t="inlineStr">
        <is>
          <t>ptwigunaintikarya@gmail.com</t>
        </is>
      </c>
      <c r="E196" t="inlineStr">
        <is>
          <t>https://lpjk.pu.go.id/search-badan-usaha-detail/anhEMU9XbkVwWFhIbjlpaE9JbFJ4dz09</t>
        </is>
      </c>
      <c r="F196" t="n">
        <v>1</v>
      </c>
      <c r="G196" t="inlineStr">
        <is>
          <t>BG004</t>
        </is>
      </c>
      <c r="H196" t="inlineStr">
        <is>
          <t>2 Januari 2023</t>
        </is>
      </c>
      <c r="I196" s="2" t="n">
        <v>46270</v>
      </c>
      <c r="J196" t="inlineStr">
        <is>
          <t>Disetujui</t>
        </is>
      </c>
      <c r="K196" t="n">
        <v>60</v>
      </c>
      <c r="L196" t="inlineStr">
        <is>
          <t>5 September 2026</t>
        </is>
      </c>
      <c r="M196" t="inlineStr">
        <is>
          <t>Konstruksi Gedung Perbelanjaan</t>
        </is>
      </c>
      <c r="N196" t="inlineStr">
        <is>
          <t>K</t>
        </is>
      </c>
      <c r="O196" t="inlineStr">
        <is>
          <t>20230831</t>
        </is>
      </c>
      <c r="P196" t="inlineStr">
        <is>
          <t>DKI Jakarta</t>
        </is>
      </c>
      <c r="Q196" t="inlineStr"/>
    </row>
    <row r="197">
      <c r="A197" t="inlineStr">
        <is>
          <t>WIRA SANTIKA</t>
        </is>
      </c>
      <c r="B197" t="inlineStr">
        <is>
          <t>Kota Serang</t>
        </is>
      </c>
      <c r="C197" t="inlineStr">
        <is>
          <t>083192333904</t>
        </is>
      </c>
      <c r="D197" t="inlineStr">
        <is>
          <t>wsantika99@gmail.com</t>
        </is>
      </c>
      <c r="E197" t="inlineStr">
        <is>
          <t>https://lpjk.pu.go.id/search-badan-usaha-detail/NGxyeEhGOFF3VE9ZVWdNY0I5RHNGZz09</t>
        </is>
      </c>
      <c r="F197" t="n">
        <v>1</v>
      </c>
      <c r="G197" t="inlineStr">
        <is>
          <t>BS005</t>
        </is>
      </c>
      <c r="H197" t="inlineStr">
        <is>
          <t>16 Oktober 2014</t>
        </is>
      </c>
      <c r="I197" s="2" t="n">
        <v>46270</v>
      </c>
      <c r="J197" t="inlineStr">
        <is>
          <t>Disetujui</t>
        </is>
      </c>
      <c r="K197" t="n">
        <v>60</v>
      </c>
      <c r="L197" t="inlineStr">
        <is>
          <t>5 September 2026</t>
        </is>
      </c>
      <c r="M197" t="inlineStr">
        <is>
          <t>Konstruksi Bangunan Sipil Pengolahan Air Bersih</t>
        </is>
      </c>
      <c r="N197" t="inlineStr">
        <is>
          <t>K</t>
        </is>
      </c>
      <c r="O197" t="inlineStr">
        <is>
          <t>20230806</t>
        </is>
      </c>
      <c r="P197" t="inlineStr">
        <is>
          <t>Banten</t>
        </is>
      </c>
      <c r="Q197" t="inlineStr"/>
    </row>
    <row r="198">
      <c r="A198" t="inlineStr">
        <is>
          <t>WIRATAMA JAYA</t>
        </is>
      </c>
      <c r="B198" t="inlineStr">
        <is>
          <t>Kota Malang</t>
        </is>
      </c>
      <c r="C198" t="inlineStr">
        <is>
          <t>0341478456</t>
        </is>
      </c>
      <c r="D198" t="inlineStr">
        <is>
          <t>wiratamajaya12_cv@yahoo.co.id</t>
        </is>
      </c>
      <c r="E198" t="inlineStr">
        <is>
          <t>https://lpjk.pu.go.id/search-badan-usaha-detail/eE94cHBCSXh2N09MOVFNM2puQ1hsUT09</t>
        </is>
      </c>
      <c r="F198" t="n">
        <v>2</v>
      </c>
      <c r="G198" t="inlineStr">
        <is>
          <t>BG008</t>
        </is>
      </c>
      <c r="H198" t="inlineStr">
        <is>
          <t>20 Juni 1990</t>
        </is>
      </c>
      <c r="I198" s="2" t="n">
        <v>46270</v>
      </c>
      <c r="J198" t="inlineStr">
        <is>
          <t>Disetujui</t>
        </is>
      </c>
      <c r="K198" t="n">
        <v>60</v>
      </c>
      <c r="L198" t="inlineStr">
        <is>
          <t>5 September 2026</t>
        </is>
      </c>
      <c r="M198" t="inlineStr">
        <is>
          <t>Konstruksi Gedung Tempat Hiburan dan Olahraga</t>
        </is>
      </c>
      <c r="N198" t="inlineStr">
        <is>
          <t>K</t>
        </is>
      </c>
      <c r="O198" t="inlineStr">
        <is>
          <t>20230901</t>
        </is>
      </c>
      <c r="P198" t="inlineStr">
        <is>
          <t>Jawa Timur</t>
        </is>
      </c>
      <c r="Q198" t="inlineStr"/>
    </row>
    <row r="199">
      <c r="A199" t="inlineStr">
        <is>
          <t>YULIAWAN HADI</t>
        </is>
      </c>
      <c r="B199" t="inlineStr">
        <is>
          <t>Kab. Lombok Timur</t>
        </is>
      </c>
      <c r="C199" t="inlineStr">
        <is>
          <t>081918496440</t>
        </is>
      </c>
      <c r="D199" t="inlineStr">
        <is>
          <t>cvyuliawanhadi@gmail.com</t>
        </is>
      </c>
      <c r="E199" t="inlineStr">
        <is>
          <t>https://lpjk.pu.go.id/search-badan-usaha-detail/YmkzeDhXZHhhS3VNeThIWG1ZWTZXdz09</t>
        </is>
      </c>
      <c r="F199" t="n">
        <v>2</v>
      </c>
      <c r="G199" t="inlineStr">
        <is>
          <t>BG005, BG006</t>
        </is>
      </c>
      <c r="H199" t="inlineStr">
        <is>
          <t>13 Maret 1981</t>
        </is>
      </c>
      <c r="I199" s="2" t="n">
        <v>46270</v>
      </c>
      <c r="J199" t="inlineStr">
        <is>
          <t>Disetujui</t>
        </is>
      </c>
      <c r="K199" t="n">
        <v>60</v>
      </c>
      <c r="L199" t="inlineStr">
        <is>
          <t>5 September 2026</t>
        </is>
      </c>
      <c r="M199" t="inlineStr">
        <is>
          <t>Konstruksi Gedung Kesehatan, Konstruksi Gedung Pendidikan</t>
        </is>
      </c>
      <c r="N199" t="inlineStr">
        <is>
          <t>K</t>
        </is>
      </c>
      <c r="O199" t="inlineStr">
        <is>
          <t>20230903</t>
        </is>
      </c>
      <c r="P199" t="inlineStr">
        <is>
          <t>Nusa Tenggara Barat</t>
        </is>
      </c>
      <c r="Q1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1"/>
  <sheetViews>
    <sheetView workbookViewId="0">
      <selection activeCell="A1" sqref="A1"/>
    </sheetView>
  </sheetViews>
  <sheetFormatPr baseColWidth="8" defaultRowHeight="15"/>
  <cols>
    <col width="49"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DINASTI RAJA SEJAGAT</t>
        </is>
      </c>
      <c r="B2" t="inlineStr">
        <is>
          <t>Kota Bekasi</t>
        </is>
      </c>
      <c r="C2" t="inlineStr">
        <is>
          <t>02122865165</t>
        </is>
      </c>
      <c r="D2" t="inlineStr">
        <is>
          <t>dinastirajasejagat22@gmail.com</t>
        </is>
      </c>
      <c r="E2" t="inlineStr">
        <is>
          <t>https://lpjk.pu.go.id/search-badan-usaha-detail/Y01GZHFlZll0UVhHYkMzQnZncHVKUT09</t>
        </is>
      </c>
      <c r="F2" t="n">
        <v>3</v>
      </c>
      <c r="G2" t="inlineStr">
        <is>
          <t>BG009</t>
        </is>
      </c>
      <c r="H2" t="inlineStr">
        <is>
          <t>20 Juli 2010</t>
        </is>
      </c>
      <c r="I2" s="2" t="n">
        <v>46240</v>
      </c>
      <c r="J2" t="inlineStr">
        <is>
          <t>Disetujui</t>
        </is>
      </c>
      <c r="K2" t="n">
        <v>30</v>
      </c>
      <c r="L2" t="inlineStr">
        <is>
          <t>6 Agustus 2026</t>
        </is>
      </c>
      <c r="M2" t="inlineStr">
        <is>
          <t>Konstruksi Gedung Lainnya</t>
        </is>
      </c>
      <c r="N2" t="inlineStr">
        <is>
          <t>M</t>
        </is>
      </c>
      <c r="O2" t="inlineStr">
        <is>
          <t>20230803</t>
        </is>
      </c>
      <c r="P2" t="inlineStr">
        <is>
          <t>Jawa Barat</t>
        </is>
      </c>
      <c r="Q2" t="inlineStr"/>
    </row>
    <row r="3">
      <c r="A3" t="inlineStr">
        <is>
          <t>HARIZKA SARANA MEDIKA</t>
        </is>
      </c>
      <c r="B3" t="inlineStr">
        <is>
          <t>Kab. Bogor</t>
        </is>
      </c>
      <c r="C3" t="inlineStr">
        <is>
          <t>02175676950</t>
        </is>
      </c>
      <c r="D3" t="inlineStr">
        <is>
          <t>pthsm.idealcare@gmail.com</t>
        </is>
      </c>
      <c r="E3" t="inlineStr">
        <is>
          <t>https://lpjk.pu.go.id/search-badan-usaha-detail/eUs5NFhDRE9SNnhCQ3B3aVRPbVhLdz09</t>
        </is>
      </c>
      <c r="F3" t="n">
        <v>2</v>
      </c>
      <c r="G3" t="inlineStr">
        <is>
          <t>BG004</t>
        </is>
      </c>
      <c r="H3" t="inlineStr">
        <is>
          <t>22 Juni 2012</t>
        </is>
      </c>
      <c r="I3" s="2" t="n">
        <v>46240</v>
      </c>
      <c r="J3" t="inlineStr">
        <is>
          <t>Disetujui</t>
        </is>
      </c>
      <c r="K3" t="n">
        <v>30</v>
      </c>
      <c r="L3" t="inlineStr">
        <is>
          <t>6 Agustus 2026</t>
        </is>
      </c>
      <c r="M3" t="inlineStr">
        <is>
          <t>Konstruksi Gedung Perbelanjaan</t>
        </is>
      </c>
      <c r="N3" t="inlineStr">
        <is>
          <t>K</t>
        </is>
      </c>
      <c r="O3" t="inlineStr">
        <is>
          <t>20230803</t>
        </is>
      </c>
      <c r="P3" t="inlineStr">
        <is>
          <t>Jawa Barat</t>
        </is>
      </c>
      <c r="Q3" t="inlineStr"/>
    </row>
    <row r="4">
      <c r="A4" t="inlineStr">
        <is>
          <t>INDAH BANGUN SARANA</t>
        </is>
      </c>
      <c r="B4" t="inlineStr">
        <is>
          <t>Kab. Bogor</t>
        </is>
      </c>
      <c r="C4" t="inlineStr">
        <is>
          <t>081270701116</t>
        </is>
      </c>
      <c r="D4" t="inlineStr">
        <is>
          <t>ibscv@ymail.com</t>
        </is>
      </c>
      <c r="E4" t="inlineStr">
        <is>
          <t>https://lpjk.pu.go.id/search-badan-usaha-detail/RlBxOVhNZzZYeDdTQW9weVpaNU1Ndz09</t>
        </is>
      </c>
      <c r="F4" t="n">
        <v>1</v>
      </c>
      <c r="G4" t="inlineStr">
        <is>
          <t>BG006</t>
        </is>
      </c>
      <c r="H4" t="inlineStr">
        <is>
          <t>17 Mei 2003</t>
        </is>
      </c>
      <c r="I4" s="2" t="n">
        <v>46240</v>
      </c>
      <c r="J4" t="inlineStr">
        <is>
          <t>Disetujui</t>
        </is>
      </c>
      <c r="K4" t="n">
        <v>30</v>
      </c>
      <c r="L4" t="inlineStr">
        <is>
          <t>6 Agustus 2026</t>
        </is>
      </c>
      <c r="M4" t="inlineStr">
        <is>
          <t>Konstruksi Gedung Pendidikan</t>
        </is>
      </c>
      <c r="N4" t="inlineStr">
        <is>
          <t>K</t>
        </is>
      </c>
      <c r="O4" t="inlineStr">
        <is>
          <t>20230803</t>
        </is>
      </c>
      <c r="P4" t="inlineStr">
        <is>
          <t>Jawa Barat</t>
        </is>
      </c>
      <c r="Q4" s="3">
        <f>HYPERLINK("https://wa.me/6281270701116?text=*[Pengingat Masa Berlaku SBU INDAH BANGUN SARANA]*%0A%0AYth. Pimpinan INDAH BANGUN SARANA,%0AMohon izin menginformasikan status SBU Anda:%0A%0A📄 SBU: BG006%0A📅 Expired: 6 Agustus 2026 (30 Hari Lagi)%0A%0AKami tim PT. ESDEA Assistance Management siap men-support proses perpanjangan segera agar administrasi proyek tidak terhambat%0A%0AApakah boleh saya bantu siapkan estimasi biaya dan waktu pengerjaannya?.", "Hubungi")</f>
        <v/>
      </c>
    </row>
    <row r="5">
      <c r="A5" t="inlineStr">
        <is>
          <t>IRSAN MANDIRI</t>
        </is>
      </c>
      <c r="B5" t="inlineStr">
        <is>
          <t>Kab. Bogor</t>
        </is>
      </c>
      <c r="C5" t="inlineStr">
        <is>
          <t>081282788637</t>
        </is>
      </c>
      <c r="D5" t="inlineStr">
        <is>
          <t>cvirsanmandiri@yahoo.co.id</t>
        </is>
      </c>
      <c r="E5" t="inlineStr">
        <is>
          <t>https://lpjk.pu.go.id/search-badan-usaha-detail/bjEzWWRxeWxUNzVLcHlnUGttUGZRZz09</t>
        </is>
      </c>
      <c r="F5" t="n">
        <v>1</v>
      </c>
      <c r="G5" t="inlineStr">
        <is>
          <t>BG002</t>
        </is>
      </c>
      <c r="H5" t="inlineStr">
        <is>
          <t>22 Juni 2012</t>
        </is>
      </c>
      <c r="I5" s="2" t="n">
        <v>46240</v>
      </c>
      <c r="J5" t="inlineStr">
        <is>
          <t>Disetujui</t>
        </is>
      </c>
      <c r="K5" t="n">
        <v>30</v>
      </c>
      <c r="L5" t="inlineStr">
        <is>
          <t>6 Agustus 2026</t>
        </is>
      </c>
      <c r="M5" t="inlineStr">
        <is>
          <t>Konstruksi Gedung Perkantoran</t>
        </is>
      </c>
      <c r="N5" t="inlineStr">
        <is>
          <t>K</t>
        </is>
      </c>
      <c r="O5" t="inlineStr">
        <is>
          <t>20230804</t>
        </is>
      </c>
      <c r="P5" t="inlineStr">
        <is>
          <t>Jawa Barat</t>
        </is>
      </c>
      <c r="Q5" s="3">
        <f>HYPERLINK("https://wa.me/6281282788637?text=*[Pengingat Masa Berlaku SBU IRSAN MANDIRI]*%0A%0AYth. Pimpinan IRSAN MANDIRI,%0AMohon izin menginformasikan status SBU Anda:%0A%0A📄 SBU: BG002%0A📅 Expired: 6 Agustus 2026 (30 Hari Lagi)%0A%0AKami tim PT. ESDEA Assistance Management siap men-support proses perpanjangan segera agar administrasi proyek tidak terhambat%0A%0AApakah boleh saya bantu siapkan estimasi biaya dan waktu pengerjaannya?.", "Hubungi")</f>
        <v/>
      </c>
    </row>
    <row r="6">
      <c r="A6" t="inlineStr">
        <is>
          <t>KERTAU LINGKAR SELARAS</t>
        </is>
      </c>
      <c r="B6" t="inlineStr">
        <is>
          <t>Kota Depok</t>
        </is>
      </c>
      <c r="C6" t="inlineStr">
        <is>
          <t>081295219474</t>
        </is>
      </c>
      <c r="D6" t="inlineStr">
        <is>
          <t>ptkertaulingkar.selaras2019@gmail.com</t>
        </is>
      </c>
      <c r="E6" t="inlineStr">
        <is>
          <t>https://lpjk.pu.go.id/search-badan-usaha-detail/YmVYQnNKK3BIeGFFL0NIZkNrNG9PZz09</t>
        </is>
      </c>
      <c r="F6" t="n">
        <v>6</v>
      </c>
      <c r="G6" t="inlineStr">
        <is>
          <t>BG005, BG006, BG009</t>
        </is>
      </c>
      <c r="H6" t="inlineStr">
        <is>
          <t>30 November 2018</t>
        </is>
      </c>
      <c r="I6" s="2" t="n">
        <v>46240</v>
      </c>
      <c r="J6" t="inlineStr">
        <is>
          <t>Disetujui</t>
        </is>
      </c>
      <c r="K6" t="n">
        <v>30</v>
      </c>
      <c r="L6" t="inlineStr">
        <is>
          <t>6 Agustus 2026</t>
        </is>
      </c>
      <c r="M6" t="inlineStr">
        <is>
          <t>Konstruksi Gedung Kesehatan, Konstruksi Gedung Lainnya, Konstruksi Gedung Pendidikan</t>
        </is>
      </c>
      <c r="N6" t="inlineStr">
        <is>
          <t>K</t>
        </is>
      </c>
      <c r="O6" t="inlineStr">
        <is>
          <t>20230801</t>
        </is>
      </c>
      <c r="P6" t="inlineStr">
        <is>
          <t>Jawa Barat</t>
        </is>
      </c>
      <c r="Q6" s="3">
        <f>HYPERLINK("https://wa.me/6281295219474?text=*[Pengingat Masa Berlaku SBU KERTAU LINGKAR SELARAS]*%0A%0AYth. Pimpinan KERTAU LINGKAR SELARAS,%0AMohon izin menginformasikan status SBU Anda:%0A%0A📄 SBU: BG005, BG006, BG009%0A📅 Expired: 6 Agustus 2026 (30 Hari Lagi)%0A%0AKami tim PT. ESDEA Assistance Management siap men-support proses perpanjangan segera agar administrasi proyek tidak terhambat%0A%0AApakah boleh saya bantu siapkan estimasi biaya dan waktu pengerjaannya?.", "Hubungi")</f>
        <v/>
      </c>
    </row>
    <row r="7">
      <c r="A7" t="inlineStr">
        <is>
          <t>PAL MOROO LAND</t>
        </is>
      </c>
      <c r="B7" t="inlineStr">
        <is>
          <t>Kab. Bogor</t>
        </is>
      </c>
      <c r="C7" t="inlineStr">
        <is>
          <t>08111013909</t>
        </is>
      </c>
      <c r="D7" t="inlineStr">
        <is>
          <t>contactus.palmoroo@gmail.com</t>
        </is>
      </c>
      <c r="E7" t="inlineStr">
        <is>
          <t>https://lpjk.pu.go.id/search-badan-usaha-detail/RWY1T0x2R3VBQ1BJK0RCU3o4S2RSZz09</t>
        </is>
      </c>
      <c r="F7" t="n">
        <v>2</v>
      </c>
      <c r="G7" t="inlineStr">
        <is>
          <t>BG009</t>
        </is>
      </c>
      <c r="H7" t="inlineStr">
        <is>
          <t>26 April 2021</t>
        </is>
      </c>
      <c r="I7" s="2" t="n">
        <v>46240</v>
      </c>
      <c r="J7" t="inlineStr">
        <is>
          <t>Pencabutan</t>
        </is>
      </c>
      <c r="K7" t="n">
        <v>30</v>
      </c>
      <c r="L7" t="inlineStr">
        <is>
          <t>6 Agustus 2026</t>
        </is>
      </c>
      <c r="M7" t="inlineStr">
        <is>
          <t>Konstruksi Gedung Lainnya</t>
        </is>
      </c>
      <c r="N7" t="inlineStr">
        <is>
          <t>K</t>
        </is>
      </c>
      <c r="O7" t="inlineStr">
        <is>
          <t>20230801</t>
        </is>
      </c>
      <c r="P7" t="inlineStr">
        <is>
          <t>Jawa Barat</t>
        </is>
      </c>
      <c r="Q7" s="3">
        <f>HYPERLINK("https://wa.me/628111013909?text=*[Pengingat Masa Berlaku SBU PAL MOROO LAND]*%0A%0AYth. Pimpinan PAL MOROO LAND,%0AMohon izin menginformasikan status SBU Anda:%0A%0A📄 SBU: BG009%0A📅 Expired: 6 Agustus 2026 (30 Hari Lagi)%0A%0AKami tim PT. ESDEA Assistance Management siap men-support proses perpanjangan segera agar administrasi proyek tidak terhambat%0A%0AApakah boleh saya bantu siapkan estimasi biaya dan waktu pengerjaannya?.", "Hubungi")</f>
        <v/>
      </c>
    </row>
    <row r="8">
      <c r="A8" t="inlineStr">
        <is>
          <t>PANTANG MUNDUR SEJAHTERA</t>
        </is>
      </c>
      <c r="B8" t="inlineStr">
        <is>
          <t>Kota Bogor</t>
        </is>
      </c>
      <c r="C8" t="inlineStr">
        <is>
          <t>082114395100</t>
        </is>
      </c>
      <c r="D8" t="inlineStr">
        <is>
          <t>pmsbogor2022@gmail.com</t>
        </is>
      </c>
      <c r="E8" t="inlineStr">
        <is>
          <t>https://lpjk.pu.go.id/search-badan-usaha-detail/RkcwZjEvRXRuMFBiNCt6R09zTDd0dz09</t>
        </is>
      </c>
      <c r="F8" t="n">
        <v>3</v>
      </c>
      <c r="G8" t="inlineStr">
        <is>
          <t>BG005, BG008, BG009</t>
        </is>
      </c>
      <c r="H8" t="inlineStr">
        <is>
          <t>8 Mei 2023</t>
        </is>
      </c>
      <c r="I8" s="2" t="n">
        <v>46240</v>
      </c>
      <c r="J8" t="inlineStr">
        <is>
          <t>Pencabutan</t>
        </is>
      </c>
      <c r="K8" t="n">
        <v>30</v>
      </c>
      <c r="L8" t="inlineStr">
        <is>
          <t>6 Agustus 2026</t>
        </is>
      </c>
      <c r="M8" t="inlineStr">
        <is>
          <t>Konstruksi Gedung Kesehatan, Konstruksi Gedung Lainnya, Konstruksi Gedung Tempat Hiburan dan Olahraga</t>
        </is>
      </c>
      <c r="N8" t="inlineStr">
        <is>
          <t>K</t>
        </is>
      </c>
      <c r="O8" t="inlineStr">
        <is>
          <t>20230706, 20230802</t>
        </is>
      </c>
      <c r="P8" t="inlineStr">
        <is>
          <t>Jawa Barat</t>
        </is>
      </c>
      <c r="Q8" s="3">
        <f>HYPERLINK("https://wa.me/6282114395100?text=*[Pengingat Masa Berlaku SBU PANTANG MUNDUR SEJAHTERA]*%0A%0AYth. Pimpinan PANTANG MUNDUR SEJAHTERA,%0AMohon izin menginformasikan status SBU Anda:%0A%0A📄 SBU: BG005, BG008, BG009%0A📅 Expired: 6 Agustus 2026 (30 Hari Lagi)%0A%0AKami tim PT. ESDEA Assistance Management siap men-support proses perpanjangan segera agar administrasi proyek tidak terhambat%0A%0AApakah boleh saya bantu siapkan estimasi biaya dan waktu pengerjaannya?.", "Hubungi")</f>
        <v/>
      </c>
    </row>
    <row r="9">
      <c r="A9" t="inlineStr">
        <is>
          <t>PERUSAHAAN PERSEROAN (PERSERO) PT. WIJAYA KARYA</t>
        </is>
      </c>
      <c r="B9" t="inlineStr">
        <is>
          <t>Kota Adm. Jakarta Timur</t>
        </is>
      </c>
      <c r="C9" t="inlineStr">
        <is>
          <t>81909549222</t>
        </is>
      </c>
      <c r="D9" t="inlineStr">
        <is>
          <t>epc@wika.co.id</t>
        </is>
      </c>
      <c r="E9" t="inlineStr">
        <is>
          <t>https://lpjk.pu.go.id/search-badan-usaha-detail/bzdZcTV0SlVvYThqaTlPV09YSXVDUT09</t>
        </is>
      </c>
      <c r="F9" t="n">
        <v>1</v>
      </c>
      <c r="G9" t="inlineStr">
        <is>
          <t>IN001</t>
        </is>
      </c>
      <c r="H9" t="inlineStr">
        <is>
          <t>20 Desember 1972</t>
        </is>
      </c>
      <c r="I9" s="2" t="n">
        <v>46240</v>
      </c>
      <c r="J9" t="inlineStr">
        <is>
          <t>Disetujui</t>
        </is>
      </c>
      <c r="K9" t="n">
        <v>30</v>
      </c>
      <c r="L9" t="inlineStr">
        <is>
          <t>6 Agustus 2026</t>
        </is>
      </c>
      <c r="M9" t="inlineStr">
        <is>
          <t>Instalasi Mekanikal</t>
        </is>
      </c>
      <c r="N9" t="inlineStr">
        <is>
          <t>Spesialis</t>
        </is>
      </c>
      <c r="O9" t="inlineStr">
        <is>
          <t>20230727</t>
        </is>
      </c>
      <c r="P9" t="inlineStr">
        <is>
          <t>DKI Jakarta</t>
        </is>
      </c>
      <c r="Q9" s="3">
        <f>HYPERLINK("https://wa.me/6281909549222?text=*[Pengingat Masa Berlaku SBU PERUSAHAAN PERSEROAN (PERSERO) PT. WIJAYA KARYA]*%0A%0AYth. Pimpinan PERUSAHAAN PERSEROAN (PERSERO) PT. WIJAYA KARYA,%0AMohon izin menginformasikan status SBU Anda:%0A%0A📄 SBU: IN001%0A📅 Expired: 6 Agustus 2026 (30 Hari Lagi)%0A%0AKami tim PT. ESDEA Assistance Management siap men-support proses perpanjangan segera agar administrasi proyek tidak terhambat%0A%0AApakah boleh saya bantu siapkan estimasi biaya dan waktu pengerjaannya?.", "Hubungi")</f>
        <v/>
      </c>
    </row>
    <row r="10">
      <c r="A10" t="inlineStr">
        <is>
          <t>SINAR GUNUNG SEJATI</t>
        </is>
      </c>
      <c r="B10" t="inlineStr">
        <is>
          <t>Kab. Bogor</t>
        </is>
      </c>
      <c r="C10" t="inlineStr">
        <is>
          <t>02129099618</t>
        </is>
      </c>
      <c r="D10" t="inlineStr">
        <is>
          <t>pt.sinargunungsejati@gmail.com</t>
        </is>
      </c>
      <c r="E10" t="inlineStr">
        <is>
          <t>https://lpjk.pu.go.id/search-badan-usaha-detail/NDlMWGdpNDBiOUxJS0pmSzA0Y1JjUT09</t>
        </is>
      </c>
      <c r="F10" t="n">
        <v>1</v>
      </c>
      <c r="G10" t="inlineStr">
        <is>
          <t>BG001</t>
        </is>
      </c>
      <c r="H10" t="inlineStr">
        <is>
          <t>20 Agustus 2009</t>
        </is>
      </c>
      <c r="I10" s="2" t="n">
        <v>46240</v>
      </c>
      <c r="J10" t="inlineStr">
        <is>
          <t>Disetujui</t>
        </is>
      </c>
      <c r="K10" t="n">
        <v>30</v>
      </c>
      <c r="L10" t="inlineStr">
        <is>
          <t>6 Agustus 2026</t>
        </is>
      </c>
      <c r="M10" t="inlineStr">
        <is>
          <t>Konstruksi Gedung Hunian</t>
        </is>
      </c>
      <c r="N10" t="inlineStr">
        <is>
          <t>M</t>
        </is>
      </c>
      <c r="O10" t="inlineStr">
        <is>
          <t>20230801</t>
        </is>
      </c>
      <c r="P10" t="inlineStr">
        <is>
          <t>Jawa Barat</t>
        </is>
      </c>
      <c r="Q10" t="inlineStr"/>
    </row>
    <row r="11">
      <c r="A11" t="inlineStr">
        <is>
          <t>VITALOKA JUNIOR</t>
        </is>
      </c>
      <c r="B11" t="inlineStr">
        <is>
          <t>Kab. Bogor</t>
        </is>
      </c>
      <c r="C11" t="inlineStr">
        <is>
          <t>082111306262</t>
        </is>
      </c>
      <c r="D11" t="inlineStr">
        <is>
          <t>cv.vitalokajunior@yahoo.com</t>
        </is>
      </c>
      <c r="E11" t="inlineStr">
        <is>
          <t>https://lpjk.pu.go.id/search-badan-usaha-detail/aUxoUDJMZllRZ084bDl6MHVDMnA2UT09</t>
        </is>
      </c>
      <c r="F11" t="n">
        <v>2</v>
      </c>
      <c r="G11" t="inlineStr">
        <is>
          <t>BS001, BS004</t>
        </is>
      </c>
      <c r="H11" t="inlineStr">
        <is>
          <t>22 Oktober 2013</t>
        </is>
      </c>
      <c r="I11" s="2" t="n">
        <v>46240</v>
      </c>
      <c r="J11" t="inlineStr">
        <is>
          <t>Disetujui</t>
        </is>
      </c>
      <c r="K11" t="n">
        <v>30</v>
      </c>
      <c r="L11" t="inlineStr">
        <is>
          <t>6 Agustus 2026</t>
        </is>
      </c>
      <c r="M11" t="inlineStr">
        <is>
          <t>Konstruksi Bangunan Sipil Jalan, Konstruksi Jaringan Irigasi dan Drainase</t>
        </is>
      </c>
      <c r="N11" t="inlineStr">
        <is>
          <t>K</t>
        </is>
      </c>
      <c r="O11" t="inlineStr">
        <is>
          <t>20230802</t>
        </is>
      </c>
      <c r="P11" t="inlineStr">
        <is>
          <t>Jawa Barat</t>
        </is>
      </c>
      <c r="Q11" s="3">
        <f>HYPERLINK("https://wa.me/6282111306262?text=*[Pengingat Masa Berlaku SBU VITALOKA JUNIOR]*%0A%0AYth. Pimpinan VITALOKA JUNIOR,%0AMohon izin menginformasikan status SBU Anda:%0A%0A📄 SBU: BS001, BS004%0A📅 Expired: 6 Agustus 2026 (30 Hari Lagi)%0A%0AKami tim PT. ESDEA Assistance Management siap men-support proses perpanjangan segera agar administrasi proyek tidak terhambat%0A%0AApakah boleh saya bantu siapkan estimasi biaya dan waktu pengerjaannya?.", "Hubungi")</f>
        <v/>
      </c>
    </row>
    <row r="12">
      <c r="A12" t="inlineStr">
        <is>
          <t>ADHI CIPTA MANDIRI</t>
        </is>
      </c>
      <c r="B12" t="inlineStr">
        <is>
          <t>Kab. Sukoharjo</t>
        </is>
      </c>
      <c r="C12" t="inlineStr">
        <is>
          <t>081226887009</t>
        </is>
      </c>
      <c r="D12" t="inlineStr">
        <is>
          <t>adhiciptamandiri@gmail.com</t>
        </is>
      </c>
      <c r="E12" t="inlineStr">
        <is>
          <t>https://lpjk.pu.go.id/search-badan-usaha-detail/dUhteDhreWtOenJuSHkxQVRPZE1nQT09</t>
        </is>
      </c>
      <c r="F12" t="n">
        <v>1</v>
      </c>
      <c r="G12" t="inlineStr">
        <is>
          <t>BG006</t>
        </is>
      </c>
      <c r="H12" t="inlineStr">
        <is>
          <t>29 Maret 1995</t>
        </is>
      </c>
      <c r="I12" s="2" t="n">
        <v>46240</v>
      </c>
      <c r="J12" t="inlineStr">
        <is>
          <t>Disetujui</t>
        </is>
      </c>
      <c r="K12" t="n">
        <v>30</v>
      </c>
      <c r="L12" t="inlineStr">
        <is>
          <t>6 Agustus 2026</t>
        </is>
      </c>
      <c r="M12" t="inlineStr">
        <is>
          <t>Konstruksi Gedung Pendidikan</t>
        </is>
      </c>
      <c r="N12" t="inlineStr">
        <is>
          <t>K</t>
        </is>
      </c>
      <c r="O12" t="inlineStr">
        <is>
          <t>20230802</t>
        </is>
      </c>
      <c r="P12" t="inlineStr">
        <is>
          <t>Jawa Tengah</t>
        </is>
      </c>
      <c r="Q12" t="inlineStr"/>
    </row>
    <row r="13">
      <c r="A13" t="inlineStr">
        <is>
          <t>ADI LAKSANA MANDIRI</t>
        </is>
      </c>
      <c r="B13" t="inlineStr">
        <is>
          <t>Kab. Boyolali</t>
        </is>
      </c>
      <c r="C13" t="inlineStr">
        <is>
          <t>081393699774</t>
        </is>
      </c>
      <c r="D13" t="inlineStr">
        <is>
          <t>adi.laksana.mandiri@gmail.com</t>
        </is>
      </c>
      <c r="E13" t="inlineStr">
        <is>
          <t>https://lpjk.pu.go.id/search-badan-usaha-detail/Q2t5MXA0enBPS0c0WEI5SnhlaS9Qdz09</t>
        </is>
      </c>
      <c r="F13" t="n">
        <v>1</v>
      </c>
      <c r="G13" t="inlineStr">
        <is>
          <t>BS001</t>
        </is>
      </c>
      <c r="H13" t="inlineStr">
        <is>
          <t>24 Juli 2020</t>
        </is>
      </c>
      <c r="I13" s="2" t="n">
        <v>46240</v>
      </c>
      <c r="J13" t="inlineStr">
        <is>
          <t>Disetujui</t>
        </is>
      </c>
      <c r="K13" t="n">
        <v>30</v>
      </c>
      <c r="L13" t="inlineStr">
        <is>
          <t>6 Agustus 2026</t>
        </is>
      </c>
      <c r="M13" t="inlineStr">
        <is>
          <t>Konstruksi Bangunan Sipil Jalan</t>
        </is>
      </c>
      <c r="N13" t="inlineStr">
        <is>
          <t>K</t>
        </is>
      </c>
      <c r="O13" t="inlineStr">
        <is>
          <t>20230731</t>
        </is>
      </c>
      <c r="P13" t="inlineStr">
        <is>
          <t>Jawa Tengah</t>
        </is>
      </c>
      <c r="Q13" t="inlineStr"/>
    </row>
    <row r="14">
      <c r="A14" t="inlineStr">
        <is>
          <t>AEK AMBAR TUKKO</t>
        </is>
      </c>
      <c r="B14" t="inlineStr">
        <is>
          <t>Kab. Deli Serdang</t>
        </is>
      </c>
      <c r="C14" t="inlineStr">
        <is>
          <t>0</t>
        </is>
      </c>
      <c r="D14" t="inlineStr">
        <is>
          <t>aekambar150@gmail.com</t>
        </is>
      </c>
      <c r="E14" t="inlineStr">
        <is>
          <t>https://lpjk.pu.go.id/search-badan-usaha-detail/ZzJUeXc0RXBTdUhFbmRIYnhXV3lNQT09</t>
        </is>
      </c>
      <c r="F14" t="n">
        <v>3</v>
      </c>
      <c r="G14" t="inlineStr">
        <is>
          <t>BG005, BG006, BG009</t>
        </is>
      </c>
      <c r="H14" t="inlineStr">
        <is>
          <t>17 Januari 2023</t>
        </is>
      </c>
      <c r="I14" s="2" t="n">
        <v>46240</v>
      </c>
      <c r="J14" t="inlineStr">
        <is>
          <t>Disetujui</t>
        </is>
      </c>
      <c r="K14" t="n">
        <v>30</v>
      </c>
      <c r="L14" t="inlineStr">
        <is>
          <t>6 Agustus 2026</t>
        </is>
      </c>
      <c r="M14" t="inlineStr">
        <is>
          <t>Konstruksi Gedung Kesehatan, Konstruksi Gedung Lainnya, Konstruksi Gedung Pendidikan</t>
        </is>
      </c>
      <c r="N14" t="inlineStr">
        <is>
          <t>K</t>
        </is>
      </c>
      <c r="O14" t="inlineStr">
        <is>
          <t>20230802</t>
        </is>
      </c>
      <c r="P14" t="inlineStr">
        <is>
          <t>Sumatera Utara</t>
        </is>
      </c>
      <c r="Q14" t="inlineStr"/>
    </row>
    <row r="15">
      <c r="A15" t="inlineStr">
        <is>
          <t>AISYAH NZ</t>
        </is>
      </c>
      <c r="B15" t="inlineStr">
        <is>
          <t>Kab. Konawe Selatan</t>
        </is>
      </c>
      <c r="C15" t="inlineStr">
        <is>
          <t>085397975091</t>
        </is>
      </c>
      <c r="D15" t="inlineStr">
        <is>
          <t>cv.aisyah.nz@gmail.com</t>
        </is>
      </c>
      <c r="E15" t="inlineStr">
        <is>
          <t>https://lpjk.pu.go.id/search-badan-usaha-detail/K2hQajcyOG9zVHZsM1Q2OWlwQXFmQT09</t>
        </is>
      </c>
      <c r="F15" t="n">
        <v>2</v>
      </c>
      <c r="G15" t="inlineStr">
        <is>
          <t>BG006</t>
        </is>
      </c>
      <c r="H15" t="inlineStr">
        <is>
          <t>13 Januari 2022</t>
        </is>
      </c>
      <c r="I15" s="2" t="n">
        <v>46240</v>
      </c>
      <c r="J15" t="inlineStr">
        <is>
          <t>Disetujui</t>
        </is>
      </c>
      <c r="K15" t="n">
        <v>30</v>
      </c>
      <c r="L15" t="inlineStr">
        <is>
          <t>6 Agustus 2026</t>
        </is>
      </c>
      <c r="M15" t="inlineStr">
        <is>
          <t>Konstruksi Gedung Pendidikan</t>
        </is>
      </c>
      <c r="N15" t="inlineStr">
        <is>
          <t>K</t>
        </is>
      </c>
      <c r="O15" t="inlineStr">
        <is>
          <t>20230803</t>
        </is>
      </c>
      <c r="P15" t="inlineStr">
        <is>
          <t>Sulawesi Tenggara</t>
        </is>
      </c>
      <c r="Q15" t="inlineStr"/>
    </row>
    <row r="16">
      <c r="A16" t="inlineStr">
        <is>
          <t>AMALIA PRATAMA</t>
        </is>
      </c>
      <c r="B16" t="inlineStr">
        <is>
          <t>Kota Ambon</t>
        </is>
      </c>
      <c r="C16" t="inlineStr">
        <is>
          <t>081343351451</t>
        </is>
      </c>
      <c r="D16" t="inlineStr">
        <is>
          <t>amaliapratama19@yahoo.com</t>
        </is>
      </c>
      <c r="E16" t="inlineStr">
        <is>
          <t>https://lpjk.pu.go.id/search-badan-usaha-detail/MUR1azVENEFlWlFtVE53aXYyWElsQT09</t>
        </is>
      </c>
      <c r="F16" t="n">
        <v>1</v>
      </c>
      <c r="G16" t="inlineStr">
        <is>
          <t>BG009</t>
        </is>
      </c>
      <c r="H16" t="inlineStr">
        <is>
          <t>25 November 1993</t>
        </is>
      </c>
      <c r="I16" s="2" t="n">
        <v>46240</v>
      </c>
      <c r="J16" t="inlineStr">
        <is>
          <t>Disetujui</t>
        </is>
      </c>
      <c r="K16" t="n">
        <v>30</v>
      </c>
      <c r="L16" t="inlineStr">
        <is>
          <t>6 Agustus 2026</t>
        </is>
      </c>
      <c r="M16" t="inlineStr">
        <is>
          <t>Konstruksi Gedung Lainnya</t>
        </is>
      </c>
      <c r="N16" t="inlineStr">
        <is>
          <t>K</t>
        </is>
      </c>
      <c r="O16" t="inlineStr">
        <is>
          <t>20230805</t>
        </is>
      </c>
      <c r="P16" t="inlineStr">
        <is>
          <t>Maluku</t>
        </is>
      </c>
      <c r="Q16" t="inlineStr"/>
    </row>
    <row r="17">
      <c r="A17" t="inlineStr">
        <is>
          <t>AMANAH BERKAH SENTOSA</t>
        </is>
      </c>
      <c r="B17" t="inlineStr">
        <is>
          <t>Kab. Jombang</t>
        </is>
      </c>
      <c r="C17" t="inlineStr">
        <is>
          <t>081226590126</t>
        </is>
      </c>
      <c r="D17" t="inlineStr">
        <is>
          <t>arissafirotulf.ks115@gmail.com</t>
        </is>
      </c>
      <c r="E17" t="inlineStr">
        <is>
          <t>https://lpjk.pu.go.id/search-badan-usaha-detail/L3o4cFlrSzNrUzFaT0lxOXljZitNUT09</t>
        </is>
      </c>
      <c r="F17" t="n">
        <v>3</v>
      </c>
      <c r="G17" t="inlineStr">
        <is>
          <t>BG001</t>
        </is>
      </c>
      <c r="H17" t="inlineStr">
        <is>
          <t>28 Juni 2019</t>
        </is>
      </c>
      <c r="I17" s="2" t="n">
        <v>46240</v>
      </c>
      <c r="J17" t="inlineStr">
        <is>
          <t>Pencabutan</t>
        </is>
      </c>
      <c r="K17" t="n">
        <v>30</v>
      </c>
      <c r="L17" t="inlineStr">
        <is>
          <t>6 Agustus 2026</t>
        </is>
      </c>
      <c r="M17" t="inlineStr">
        <is>
          <t>Konstruksi Gedung Hunian</t>
        </is>
      </c>
      <c r="N17" t="inlineStr">
        <is>
          <t>K</t>
        </is>
      </c>
      <c r="O17" t="inlineStr">
        <is>
          <t>20230705</t>
        </is>
      </c>
      <c r="P17" t="inlineStr">
        <is>
          <t>Jawa Timur</t>
        </is>
      </c>
      <c r="Q17" t="inlineStr"/>
    </row>
    <row r="18">
      <c r="A18" t="inlineStr">
        <is>
          <t>AMELIA</t>
        </is>
      </c>
      <c r="B18" t="inlineStr">
        <is>
          <t>Kota Pasuruan</t>
        </is>
      </c>
      <c r="C18" t="inlineStr">
        <is>
          <t>082232131247</t>
        </is>
      </c>
      <c r="D18" t="inlineStr">
        <is>
          <t>noviekeanu_20@yahoo.co.id</t>
        </is>
      </c>
      <c r="E18" t="inlineStr">
        <is>
          <t>https://lpjk.pu.go.id/search-badan-usaha-detail/QnArRmdpbGN6MmFPTjVESHRxZjB3Zz09</t>
        </is>
      </c>
      <c r="F18" t="n">
        <v>4</v>
      </c>
      <c r="G18" t="inlineStr">
        <is>
          <t>BG006, BG009</t>
        </is>
      </c>
      <c r="H18" t="inlineStr">
        <is>
          <t>12 Januari 2006</t>
        </is>
      </c>
      <c r="I18" s="2" t="n">
        <v>46240</v>
      </c>
      <c r="J18" t="inlineStr">
        <is>
          <t>Disetujui</t>
        </is>
      </c>
      <c r="K18" t="n">
        <v>30</v>
      </c>
      <c r="L18" t="inlineStr">
        <is>
          <t>6 Agustus 2026</t>
        </is>
      </c>
      <c r="M18" t="inlineStr">
        <is>
          <t>Konstruksi Gedung Lainnya, Konstruksi Gedung Pendidikan</t>
        </is>
      </c>
      <c r="N18" t="inlineStr">
        <is>
          <t>K</t>
        </is>
      </c>
      <c r="O18" t="inlineStr">
        <is>
          <t>20230713, 20230807</t>
        </is>
      </c>
      <c r="P18" t="inlineStr">
        <is>
          <t>Jawa Timur</t>
        </is>
      </c>
      <c r="Q18" t="inlineStr"/>
    </row>
    <row r="19">
      <c r="A19" t="inlineStr">
        <is>
          <t>ANANTA WIDYA UTAMA</t>
        </is>
      </c>
      <c r="B19" t="inlineStr">
        <is>
          <t>Kota Probolinggo</t>
        </is>
      </c>
      <c r="C19" t="inlineStr">
        <is>
          <t>081336000222</t>
        </is>
      </c>
      <c r="D19" t="inlineStr">
        <is>
          <t>AWU.bromo@yahoo.co.id</t>
        </is>
      </c>
      <c r="E19" t="inlineStr">
        <is>
          <t>https://lpjk.pu.go.id/search-badan-usaha-detail/bnJyR1NHdk03ckRZdDRCWDEyd21hZz09</t>
        </is>
      </c>
      <c r="F19" t="n">
        <v>1</v>
      </c>
      <c r="G19" t="inlineStr">
        <is>
          <t>BG005</t>
        </is>
      </c>
      <c r="H19" t="inlineStr">
        <is>
          <t>9 September 2006</t>
        </is>
      </c>
      <c r="I19" s="2" t="n">
        <v>46240</v>
      </c>
      <c r="J19" t="inlineStr">
        <is>
          <t>Disetujui</t>
        </is>
      </c>
      <c r="K19" t="n">
        <v>30</v>
      </c>
      <c r="L19" t="inlineStr">
        <is>
          <t>6 Agustus 2026</t>
        </is>
      </c>
      <c r="M19" t="inlineStr">
        <is>
          <t>Konstruksi Gedung Kesehatan</t>
        </is>
      </c>
      <c r="N19" t="inlineStr">
        <is>
          <t>K</t>
        </is>
      </c>
      <c r="O19" t="inlineStr">
        <is>
          <t>20230804</t>
        </is>
      </c>
      <c r="P19" t="inlineStr">
        <is>
          <t>Jawa Timur</t>
        </is>
      </c>
      <c r="Q19" t="inlineStr"/>
    </row>
    <row r="20">
      <c r="A20" t="inlineStr">
        <is>
          <t>ANEKA SENTRATAMA CAHAYA OPTIMA</t>
        </is>
      </c>
      <c r="B20" t="inlineStr">
        <is>
          <t>Kota Adm. Jakarta Utara</t>
        </is>
      </c>
      <c r="C20" t="inlineStr">
        <is>
          <t>N/A</t>
        </is>
      </c>
      <c r="D20" t="inlineStr">
        <is>
          <t>N/A</t>
        </is>
      </c>
      <c r="E20" t="inlineStr">
        <is>
          <t>https://lpjk.pu.go.id/search-badan-usaha-detail/NTh0K0l0bWVpK0JqSnUxaFhjUnJ3UT09</t>
        </is>
      </c>
      <c r="F20" t="n">
        <v>1</v>
      </c>
      <c r="G20" t="inlineStr">
        <is>
          <t>BG007</t>
        </is>
      </c>
      <c r="H20" t="inlineStr"/>
      <c r="I20" s="2" t="n">
        <v>46240</v>
      </c>
      <c r="J20" t="inlineStr">
        <is>
          <t>Pembekuan</t>
        </is>
      </c>
      <c r="K20" t="n">
        <v>30</v>
      </c>
      <c r="L20" t="inlineStr">
        <is>
          <t>6 Agustus 2026</t>
        </is>
      </c>
      <c r="M20" t="inlineStr">
        <is>
          <t>Konstruksi Gedung Penginapan</t>
        </is>
      </c>
      <c r="N20" t="inlineStr">
        <is>
          <t>M</t>
        </is>
      </c>
      <c r="O20" t="inlineStr">
        <is>
          <t>20230718</t>
        </is>
      </c>
      <c r="P20" t="inlineStr">
        <is>
          <t>DKI Jakarta</t>
        </is>
      </c>
      <c r="Q20" t="inlineStr"/>
    </row>
    <row r="21">
      <c r="A21" t="inlineStr">
        <is>
          <t>ANGGA PUTRA</t>
        </is>
      </c>
      <c r="B21" t="inlineStr">
        <is>
          <t>Kab. Mamuju</t>
        </is>
      </c>
      <c r="C21" t="inlineStr">
        <is>
          <t>081340247062</t>
        </is>
      </c>
      <c r="D21" t="inlineStr">
        <is>
          <t>anggaputra.cv@yahoo.com</t>
        </is>
      </c>
      <c r="E21" t="inlineStr">
        <is>
          <t>https://lpjk.pu.go.id/search-badan-usaha-detail/MEptTk5JQk9Td1ZTN1A0Y3RTSU5yQT09</t>
        </is>
      </c>
      <c r="F21" t="n">
        <v>5</v>
      </c>
      <c r="G21" t="inlineStr">
        <is>
          <t>BG001, BG002, BG004, BG006, BG009</t>
        </is>
      </c>
      <c r="H21" t="inlineStr">
        <is>
          <t>30 Januari 2002</t>
        </is>
      </c>
      <c r="I21" s="2" t="n">
        <v>46240</v>
      </c>
      <c r="J21" t="inlineStr">
        <is>
          <t>Disetujui</t>
        </is>
      </c>
      <c r="K21" t="n">
        <v>30</v>
      </c>
      <c r="L21" t="inlineStr">
        <is>
          <t>6 Agustus 2026</t>
        </is>
      </c>
      <c r="M21" t="inlineStr">
        <is>
          <t>Konstruksi Gedung Hunian, Konstruksi Gedung Lainnya, Konstruksi Gedung Pendidikan, Konstruksi Gedung Perbelanjaan, Konstruksi Gedung Perkantoran</t>
        </is>
      </c>
      <c r="N21" t="inlineStr">
        <is>
          <t>K</t>
        </is>
      </c>
      <c r="O21" t="inlineStr">
        <is>
          <t>20230731</t>
        </is>
      </c>
      <c r="P21" t="inlineStr">
        <is>
          <t>Sulawesi Barat</t>
        </is>
      </c>
      <c r="Q21" t="inlineStr"/>
    </row>
    <row r="22">
      <c r="A22" t="inlineStr">
        <is>
          <t>ANISA</t>
        </is>
      </c>
      <c r="B22" t="inlineStr">
        <is>
          <t>Kab. Muna</t>
        </is>
      </c>
      <c r="C22" t="inlineStr">
        <is>
          <t>085231040910</t>
        </is>
      </c>
      <c r="D22" t="inlineStr">
        <is>
          <t>cv.anisa2020@gmail.com</t>
        </is>
      </c>
      <c r="E22" t="inlineStr">
        <is>
          <t>https://lpjk.pu.go.id/search-badan-usaha-detail/SXNCNk5obU1RWVRxSEpaK2paREhHdz09</t>
        </is>
      </c>
      <c r="F22" t="n">
        <v>8</v>
      </c>
      <c r="G22" t="inlineStr">
        <is>
          <t>BG001, BG005, BG006, BG009</t>
        </is>
      </c>
      <c r="H22" t="inlineStr">
        <is>
          <t>10 Januari 2011</t>
        </is>
      </c>
      <c r="I22" s="2" t="n">
        <v>46240</v>
      </c>
      <c r="J22" t="inlineStr">
        <is>
          <t>Disetujui</t>
        </is>
      </c>
      <c r="K22" t="n">
        <v>30</v>
      </c>
      <c r="L22" t="inlineStr">
        <is>
          <t>6 Agustus 2026</t>
        </is>
      </c>
      <c r="M22" t="inlineStr">
        <is>
          <t>Konstruksi Gedung Hunian, Konstruksi Gedung Kesehatan, Konstruksi Gedung Lainnya, Konstruksi Gedung Pendidikan</t>
        </is>
      </c>
      <c r="N22" t="inlineStr">
        <is>
          <t>K</t>
        </is>
      </c>
      <c r="O22" t="inlineStr">
        <is>
          <t>20230803, 20230804</t>
        </is>
      </c>
      <c r="P22" t="inlineStr">
        <is>
          <t>Sulawesi Tenggara</t>
        </is>
      </c>
      <c r="Q22" t="inlineStr"/>
    </row>
    <row r="23">
      <c r="A23" t="inlineStr">
        <is>
          <t>ARCHINDO INTI MAS</t>
        </is>
      </c>
      <c r="B23" t="inlineStr">
        <is>
          <t>Kota Surabaya</t>
        </is>
      </c>
      <c r="C23" t="inlineStr">
        <is>
          <t>081217331982</t>
        </is>
      </c>
      <c r="D23" t="inlineStr">
        <is>
          <t>archindo_intimas@yahoo.co.id</t>
        </is>
      </c>
      <c r="E23" t="inlineStr">
        <is>
          <t>https://lpjk.pu.go.id/search-badan-usaha-detail/QlFxbEw3MitBZHkwQmNPdEhVN3BUQT09</t>
        </is>
      </c>
      <c r="F23" t="n">
        <v>1</v>
      </c>
      <c r="G23" t="inlineStr">
        <is>
          <t>BS005</t>
        </is>
      </c>
      <c r="H23" t="inlineStr">
        <is>
          <t>24 Desember 1998</t>
        </is>
      </c>
      <c r="I23" s="2" t="n">
        <v>46240</v>
      </c>
      <c r="J23" t="inlineStr">
        <is>
          <t>Disetujui</t>
        </is>
      </c>
      <c r="K23" t="n">
        <v>30</v>
      </c>
      <c r="L23" t="inlineStr">
        <is>
          <t>6 Agustus 2026</t>
        </is>
      </c>
      <c r="M23" t="inlineStr">
        <is>
          <t>Konstruksi Bangunan Sipil Pengolahan Air Bersih</t>
        </is>
      </c>
      <c r="N23" t="inlineStr">
        <is>
          <t>K</t>
        </is>
      </c>
      <c r="O23" t="inlineStr">
        <is>
          <t>20230807</t>
        </is>
      </c>
      <c r="P23" t="inlineStr">
        <is>
          <t>Jawa Timur</t>
        </is>
      </c>
      <c r="Q23" t="inlineStr"/>
    </row>
    <row r="24">
      <c r="A24" t="inlineStr">
        <is>
          <t>ARIONMA KARYA</t>
        </is>
      </c>
      <c r="B24" t="inlineStr">
        <is>
          <t>Kota Bitung</t>
        </is>
      </c>
      <c r="C24" t="inlineStr">
        <is>
          <t>081356813333</t>
        </is>
      </c>
      <c r="D24" t="inlineStr">
        <is>
          <t>arionmakarya@gmail.com</t>
        </is>
      </c>
      <c r="E24" t="inlineStr">
        <is>
          <t>https://lpjk.pu.go.id/search-badan-usaha-detail/WXJFMWlnREpJQThNMDRMcmZhSU1MQT09</t>
        </is>
      </c>
      <c r="F24" t="n">
        <v>1</v>
      </c>
      <c r="G24" t="inlineStr">
        <is>
          <t>BS001</t>
        </is>
      </c>
      <c r="H24" t="inlineStr">
        <is>
          <t>28 Januari 2000</t>
        </is>
      </c>
      <c r="I24" s="2" t="n">
        <v>46240</v>
      </c>
      <c r="J24" t="inlineStr">
        <is>
          <t>Disetujui</t>
        </is>
      </c>
      <c r="K24" t="n">
        <v>30</v>
      </c>
      <c r="L24" t="inlineStr">
        <is>
          <t>6 Agustus 2026</t>
        </is>
      </c>
      <c r="M24" t="inlineStr">
        <is>
          <t>Konstruksi Bangunan Sipil Jalan</t>
        </is>
      </c>
      <c r="N24" t="inlineStr">
        <is>
          <t>K</t>
        </is>
      </c>
      <c r="O24" t="inlineStr">
        <is>
          <t>20230801</t>
        </is>
      </c>
      <c r="P24" t="inlineStr">
        <is>
          <t>Sulawesi Utara</t>
        </is>
      </c>
      <c r="Q24" t="inlineStr"/>
    </row>
    <row r="25">
      <c r="A25" t="inlineStr">
        <is>
          <t>ARKA BISATA ENGINEERING</t>
        </is>
      </c>
      <c r="B25" t="inlineStr">
        <is>
          <t>Kota Makassar</t>
        </is>
      </c>
      <c r="C25" t="inlineStr">
        <is>
          <t>000000000000</t>
        </is>
      </c>
      <c r="D25" t="inlineStr">
        <is>
          <t>arkabisata@gmail.com</t>
        </is>
      </c>
      <c r="E25" t="inlineStr">
        <is>
          <t>https://lpjk.pu.go.id/search-badan-usaha-detail/RHowNlR2b1JWQkpicVlOeXJJK3lmdz09</t>
        </is>
      </c>
      <c r="F25" t="n">
        <v>1</v>
      </c>
      <c r="G25" t="inlineStr">
        <is>
          <t>BG002</t>
        </is>
      </c>
      <c r="H25" t="inlineStr">
        <is>
          <t>13 Agustus 2019</t>
        </is>
      </c>
      <c r="I25" s="2" t="n">
        <v>46240</v>
      </c>
      <c r="J25" t="inlineStr">
        <is>
          <t>Disetujui</t>
        </is>
      </c>
      <c r="K25" t="n">
        <v>30</v>
      </c>
      <c r="L25" t="inlineStr">
        <is>
          <t>6 Agustus 2026</t>
        </is>
      </c>
      <c r="M25" t="inlineStr">
        <is>
          <t>Konstruksi Gedung Perkantoran</t>
        </is>
      </c>
      <c r="N25" t="inlineStr">
        <is>
          <t>K</t>
        </is>
      </c>
      <c r="O25" t="inlineStr">
        <is>
          <t>20230210</t>
        </is>
      </c>
      <c r="P25" t="inlineStr">
        <is>
          <t>Sulawesi Selatan</t>
        </is>
      </c>
      <c r="Q25" t="inlineStr"/>
    </row>
    <row r="26">
      <c r="A26" t="inlineStr">
        <is>
          <t>ARKAAN WA TAMAAM</t>
        </is>
      </c>
      <c r="B26" t="inlineStr">
        <is>
          <t>Kab. Karawang</t>
        </is>
      </c>
      <c r="C26" t="inlineStr">
        <is>
          <t>082318479089</t>
        </is>
      </c>
      <c r="D26" t="inlineStr">
        <is>
          <t>cvarkaan@gmail.com</t>
        </is>
      </c>
      <c r="E26" t="inlineStr">
        <is>
          <t>https://lpjk.pu.go.id/search-badan-usaha-detail/eHdoQ053eUdrWW14Z3FqVWhmSFhjQT09</t>
        </is>
      </c>
      <c r="F26" t="n">
        <v>2</v>
      </c>
      <c r="G26" t="inlineStr">
        <is>
          <t>BG006</t>
        </is>
      </c>
      <c r="H26" t="inlineStr">
        <is>
          <t>3 Mei 2019</t>
        </is>
      </c>
      <c r="I26" s="2" t="n">
        <v>46240</v>
      </c>
      <c r="J26" t="inlineStr">
        <is>
          <t>Disetujui</t>
        </is>
      </c>
      <c r="K26" t="n">
        <v>30</v>
      </c>
      <c r="L26" t="inlineStr">
        <is>
          <t>6 Agustus 2026</t>
        </is>
      </c>
      <c r="M26" t="inlineStr">
        <is>
          <t>Konstruksi Gedung Pendidikan</t>
        </is>
      </c>
      <c r="N26" t="inlineStr">
        <is>
          <t>K</t>
        </is>
      </c>
      <c r="O26" t="inlineStr">
        <is>
          <t>20230803</t>
        </is>
      </c>
      <c r="P26" t="inlineStr">
        <is>
          <t>Jawa Barat</t>
        </is>
      </c>
      <c r="Q26" t="inlineStr"/>
    </row>
    <row r="27">
      <c r="A27" t="inlineStr">
        <is>
          <t>ARTHA KARYA</t>
        </is>
      </c>
      <c r="B27" t="inlineStr">
        <is>
          <t>Kab. Pasaman Barat</t>
        </is>
      </c>
      <c r="C27" t="inlineStr">
        <is>
          <t>081268130209</t>
        </is>
      </c>
      <c r="D27" t="inlineStr">
        <is>
          <t>arthakarya.yusuf@gmail.com</t>
        </is>
      </c>
      <c r="E27" t="inlineStr">
        <is>
          <t>https://lpjk.pu.go.id/search-badan-usaha-detail/dUV2WjVUZm1RT29tZ3NzNHNUeHVvdz09</t>
        </is>
      </c>
      <c r="F27" t="n">
        <v>1</v>
      </c>
      <c r="G27" t="inlineStr">
        <is>
          <t>BS001</t>
        </is>
      </c>
      <c r="H27" t="inlineStr">
        <is>
          <t>20 Februari 2007</t>
        </is>
      </c>
      <c r="I27" s="2" t="n">
        <v>46240</v>
      </c>
      <c r="J27" t="inlineStr">
        <is>
          <t>Disetujui</t>
        </is>
      </c>
      <c r="K27" t="n">
        <v>30</v>
      </c>
      <c r="L27" t="inlineStr">
        <is>
          <t>6 Agustus 2026</t>
        </is>
      </c>
      <c r="M27" t="inlineStr">
        <is>
          <t>Konstruksi Bangunan Sipil Jalan</t>
        </is>
      </c>
      <c r="N27" t="inlineStr">
        <is>
          <t>K</t>
        </is>
      </c>
      <c r="O27" t="inlineStr">
        <is>
          <t>20230805</t>
        </is>
      </c>
      <c r="P27" t="inlineStr">
        <is>
          <t>Sumatera Barat</t>
        </is>
      </c>
      <c r="Q27" t="inlineStr"/>
    </row>
    <row r="28">
      <c r="A28" t="inlineStr">
        <is>
          <t>ASA BANGUN MANDIRI</t>
        </is>
      </c>
      <c r="B28" t="inlineStr">
        <is>
          <t>Kota Cilegon</t>
        </is>
      </c>
      <c r="C28" t="inlineStr">
        <is>
          <t>081906445322</t>
        </is>
      </c>
      <c r="D28" t="inlineStr">
        <is>
          <t>asabangunmandiri@yahoo.com</t>
        </is>
      </c>
      <c r="E28" t="inlineStr">
        <is>
          <t>https://lpjk.pu.go.id/search-badan-usaha-detail/SUMwbllFTmM0Q085czdQNncva3d6Zz09</t>
        </is>
      </c>
      <c r="F28" t="n">
        <v>1</v>
      </c>
      <c r="G28" t="inlineStr">
        <is>
          <t>BG009</t>
        </is>
      </c>
      <c r="H28" t="inlineStr">
        <is>
          <t>31 Mei 2014</t>
        </is>
      </c>
      <c r="I28" s="2" t="n">
        <v>46240</v>
      </c>
      <c r="J28" t="inlineStr">
        <is>
          <t>Disetujui</t>
        </is>
      </c>
      <c r="K28" t="n">
        <v>30</v>
      </c>
      <c r="L28" t="inlineStr">
        <is>
          <t>6 Agustus 2026</t>
        </is>
      </c>
      <c r="M28" t="inlineStr">
        <is>
          <t>Konstruksi Gedung Lainnya</t>
        </is>
      </c>
      <c r="N28" t="inlineStr">
        <is>
          <t>K</t>
        </is>
      </c>
      <c r="O28" t="inlineStr">
        <is>
          <t>20230806</t>
        </is>
      </c>
      <c r="P28" t="inlineStr">
        <is>
          <t>Banten</t>
        </is>
      </c>
      <c r="Q28" t="inlineStr"/>
    </row>
    <row r="29">
      <c r="A29" t="inlineStr">
        <is>
          <t>BANGUN BUANA PERSADA</t>
        </is>
      </c>
      <c r="B29" t="inlineStr">
        <is>
          <t>Kab. Maluku Barat Daya</t>
        </is>
      </c>
      <c r="C29" t="inlineStr">
        <is>
          <t>082122727114</t>
        </is>
      </c>
      <c r="D29" t="inlineStr">
        <is>
          <t>cvbangunbuanapersada21@gmail.com</t>
        </is>
      </c>
      <c r="E29" t="inlineStr">
        <is>
          <t>https://lpjk.pu.go.id/search-badan-usaha-detail/M3ZJbTBERHM4aENML1hIYU93V21LUT09</t>
        </is>
      </c>
      <c r="F29" t="n">
        <v>6</v>
      </c>
      <c r="G29" t="inlineStr">
        <is>
          <t>AL001, AL002, AL003, AL004, AR001, AR003</t>
        </is>
      </c>
      <c r="H29" t="inlineStr">
        <is>
          <t>27 April 2021</t>
        </is>
      </c>
      <c r="I29" s="2" t="n">
        <v>46240</v>
      </c>
      <c r="J29" t="inlineStr">
        <is>
          <t>Disetujui</t>
        </is>
      </c>
      <c r="K29" t="n">
        <v>30</v>
      </c>
      <c r="L29" t="inlineStr">
        <is>
          <t>6 Agustus 2026</t>
        </is>
      </c>
      <c r="M29" t="inlineStr">
        <is>
          <t>Jasa Arsitektural Bangunan Gedung Hunian dan Non Hunian, Jasa Desain Interior pada Bangunan Gedung dan Bangunan Sipil, Jasa Pengembangan Lingkungan Bangunan dan Lanskap, Jasa Pengembangan Pemanfaatan Ruang, Jasa Pengembangan Perkotaan, Jasa Pengembangan Wilayah</t>
        </is>
      </c>
      <c r="N29" t="inlineStr">
        <is>
          <t>K</t>
        </is>
      </c>
      <c r="O29" t="inlineStr">
        <is>
          <t>20230726</t>
        </is>
      </c>
      <c r="P29" t="inlineStr">
        <is>
          <t>Maluku</t>
        </is>
      </c>
      <c r="Q29" t="inlineStr"/>
    </row>
    <row r="30">
      <c r="A30" t="inlineStr">
        <is>
          <t>BAROKAH BERKAH BERSAMA</t>
        </is>
      </c>
      <c r="B30" t="inlineStr">
        <is>
          <t>Kab. Kudus</t>
        </is>
      </c>
      <c r="C30" t="inlineStr">
        <is>
          <t>085293127282</t>
        </is>
      </c>
      <c r="D30" t="inlineStr">
        <is>
          <t>barokahberkahbersama@gmail.com</t>
        </is>
      </c>
      <c r="E30" t="inlineStr">
        <is>
          <t>https://lpjk.pu.go.id/search-badan-usaha-detail/NEFLRy9NTnZCNVN5Mmx3OWhtMTg5Zz09</t>
        </is>
      </c>
      <c r="F30" t="n">
        <v>2</v>
      </c>
      <c r="G30" t="inlineStr">
        <is>
          <t>BG006</t>
        </is>
      </c>
      <c r="H30" t="inlineStr">
        <is>
          <t>18 Januari 2019</t>
        </is>
      </c>
      <c r="I30" s="2" t="n">
        <v>46240</v>
      </c>
      <c r="J30" t="inlineStr">
        <is>
          <t>Disetujui</t>
        </is>
      </c>
      <c r="K30" t="n">
        <v>30</v>
      </c>
      <c r="L30" t="inlineStr">
        <is>
          <t>6 Agustus 2026</t>
        </is>
      </c>
      <c r="M30" t="inlineStr">
        <is>
          <t>Konstruksi Gedung Pendidikan</t>
        </is>
      </c>
      <c r="N30" t="inlineStr">
        <is>
          <t>K</t>
        </is>
      </c>
      <c r="O30" t="inlineStr">
        <is>
          <t>20230718</t>
        </is>
      </c>
      <c r="P30" t="inlineStr">
        <is>
          <t>Jawa Tengah</t>
        </is>
      </c>
      <c r="Q30" t="inlineStr"/>
    </row>
    <row r="31">
      <c r="A31" t="inlineStr">
        <is>
          <t>BAROKAH JAYA MANDIRI</t>
        </is>
      </c>
      <c r="B31" t="inlineStr">
        <is>
          <t>Kota Tegal</t>
        </is>
      </c>
      <c r="C31" t="inlineStr">
        <is>
          <t>081575059660</t>
        </is>
      </c>
      <c r="D31" t="inlineStr">
        <is>
          <t>cvbarokahjayamandiri2023@gmail.com</t>
        </is>
      </c>
      <c r="E31" t="inlineStr">
        <is>
          <t>https://lpjk.pu.go.id/search-badan-usaha-detail/VkxmOXNEWkFoUnVtUllOazNTYnFaZz09</t>
        </is>
      </c>
      <c r="F31" t="n">
        <v>2</v>
      </c>
      <c r="G31" t="inlineStr">
        <is>
          <t>BG009</t>
        </is>
      </c>
      <c r="H31" t="inlineStr">
        <is>
          <t>26 Oktober 2004</t>
        </is>
      </c>
      <c r="I31" s="2" t="n">
        <v>46240</v>
      </c>
      <c r="J31" t="inlineStr">
        <is>
          <t>Disetujui</t>
        </is>
      </c>
      <c r="K31" t="n">
        <v>30</v>
      </c>
      <c r="L31" t="inlineStr">
        <is>
          <t>6 Agustus 2026</t>
        </is>
      </c>
      <c r="M31" t="inlineStr">
        <is>
          <t>Konstruksi Gedung Lainnya</t>
        </is>
      </c>
      <c r="N31" t="inlineStr">
        <is>
          <t>K</t>
        </is>
      </c>
      <c r="O31" t="inlineStr">
        <is>
          <t>20230726</t>
        </is>
      </c>
      <c r="P31" t="inlineStr">
        <is>
          <t>Jawa Tengah</t>
        </is>
      </c>
      <c r="Q31" t="inlineStr"/>
    </row>
    <row r="32">
      <c r="A32" t="inlineStr">
        <is>
          <t>BINAKREASI INTI GEMILANG</t>
        </is>
      </c>
      <c r="B32" t="inlineStr">
        <is>
          <t>Kota Adm. Jakarta Barat</t>
        </is>
      </c>
      <c r="C32" t="inlineStr">
        <is>
          <t>0215406038</t>
        </is>
      </c>
      <c r="D32" t="inlineStr">
        <is>
          <t>bina.inti@yahoo.com</t>
        </is>
      </c>
      <c r="E32" t="inlineStr">
        <is>
          <t>https://lpjk.pu.go.id/search-badan-usaha-detail/S2FuL2hTZWhKbXQvbmJrWkZWK0ZLdz09</t>
        </is>
      </c>
      <c r="F32" t="n">
        <v>1</v>
      </c>
      <c r="G32" t="inlineStr">
        <is>
          <t>BG006</t>
        </is>
      </c>
      <c r="H32" t="inlineStr">
        <is>
          <t>20 Februari 2002</t>
        </is>
      </c>
      <c r="I32" s="2" t="n">
        <v>46240</v>
      </c>
      <c r="J32" t="inlineStr">
        <is>
          <t>Disetujui</t>
        </is>
      </c>
      <c r="K32" t="n">
        <v>30</v>
      </c>
      <c r="L32" t="inlineStr">
        <is>
          <t>6 Agustus 2026</t>
        </is>
      </c>
      <c r="M32" t="inlineStr">
        <is>
          <t>Konstruksi Gedung Pendidikan</t>
        </is>
      </c>
      <c r="N32" t="inlineStr">
        <is>
          <t>K</t>
        </is>
      </c>
      <c r="O32" t="inlineStr">
        <is>
          <t>20230720</t>
        </is>
      </c>
      <c r="P32" t="inlineStr">
        <is>
          <t>DKI Jakarta</t>
        </is>
      </c>
      <c r="Q32" t="inlineStr"/>
    </row>
    <row r="33">
      <c r="A33" t="inlineStr">
        <is>
          <t>BINTANG PERKASA</t>
        </is>
      </c>
      <c r="B33" t="inlineStr">
        <is>
          <t>Kab. Kolaka Utara</t>
        </is>
      </c>
      <c r="C33" t="inlineStr">
        <is>
          <t>82187638907</t>
        </is>
      </c>
      <c r="D33" t="inlineStr">
        <is>
          <t>bintangperkasa196@gmail.com</t>
        </is>
      </c>
      <c r="E33" t="inlineStr">
        <is>
          <t>https://lpjk.pu.go.id/search-badan-usaha-detail/aC9wTmVuM251eXU5NGthUU1HazVKdz09</t>
        </is>
      </c>
      <c r="F33" t="n">
        <v>2</v>
      </c>
      <c r="G33" t="inlineStr">
        <is>
          <t>BG005</t>
        </is>
      </c>
      <c r="H33" t="inlineStr">
        <is>
          <t>29 Desember 2021</t>
        </is>
      </c>
      <c r="I33" s="2" t="n">
        <v>46240</v>
      </c>
      <c r="J33" t="inlineStr">
        <is>
          <t>Disetujui</t>
        </is>
      </c>
      <c r="K33" t="n">
        <v>30</v>
      </c>
      <c r="L33" t="inlineStr">
        <is>
          <t>6 Agustus 2026</t>
        </is>
      </c>
      <c r="M33" t="inlineStr">
        <is>
          <t>Konstruksi Gedung Kesehatan</t>
        </is>
      </c>
      <c r="N33" t="inlineStr">
        <is>
          <t>K</t>
        </is>
      </c>
      <c r="O33" t="inlineStr">
        <is>
          <t>20230803</t>
        </is>
      </c>
      <c r="P33" t="inlineStr">
        <is>
          <t>Sulawesi Tenggara</t>
        </is>
      </c>
      <c r="Q33" t="inlineStr"/>
    </row>
    <row r="34">
      <c r="A34" t="inlineStr">
        <is>
          <t>BUKIT MAS INDONESIA PERKASA</t>
        </is>
      </c>
      <c r="B34" t="inlineStr">
        <is>
          <t>Kota Adm. Jakarta Selatan</t>
        </is>
      </c>
      <c r="C34" t="inlineStr">
        <is>
          <t>081325759383</t>
        </is>
      </c>
      <c r="D34" t="inlineStr">
        <is>
          <t>bmip_jkt@yahoo.com</t>
        </is>
      </c>
      <c r="E34" t="inlineStr">
        <is>
          <t>https://lpjk.pu.go.id/search-badan-usaha-detail/Q3lBeHl6RStaR0hYbElOeWVwdERJZz09</t>
        </is>
      </c>
      <c r="F34" t="n">
        <v>1</v>
      </c>
      <c r="G34" t="inlineStr">
        <is>
          <t>BG002</t>
        </is>
      </c>
      <c r="H34" t="inlineStr">
        <is>
          <t>12 April 2021</t>
        </is>
      </c>
      <c r="I34" s="2" t="n">
        <v>46240</v>
      </c>
      <c r="J34" t="inlineStr">
        <is>
          <t>Disetujui</t>
        </is>
      </c>
      <c r="K34" t="n">
        <v>30</v>
      </c>
      <c r="L34" t="inlineStr">
        <is>
          <t>6 Agustus 2026</t>
        </is>
      </c>
      <c r="M34" t="inlineStr">
        <is>
          <t>Konstruksi Gedung Perkantoran</t>
        </is>
      </c>
      <c r="N34" t="inlineStr">
        <is>
          <t>K</t>
        </is>
      </c>
      <c r="O34" t="inlineStr">
        <is>
          <t>20230726</t>
        </is>
      </c>
      <c r="P34" t="inlineStr">
        <is>
          <t>DKI Jakarta</t>
        </is>
      </c>
      <c r="Q34" t="inlineStr"/>
    </row>
    <row r="35">
      <c r="A35" t="inlineStr">
        <is>
          <t>BUMI RETANI</t>
        </is>
      </c>
      <c r="B35" t="inlineStr">
        <is>
          <t>Kab. Trenggalek</t>
        </is>
      </c>
      <c r="C35" t="inlineStr">
        <is>
          <t>082229745326</t>
        </is>
      </c>
      <c r="D35" t="inlineStr">
        <is>
          <t>sumardibumiretani1973@gmail.com</t>
        </is>
      </c>
      <c r="E35" t="inlineStr">
        <is>
          <t>https://lpjk.pu.go.id/search-badan-usaha-detail/OU13Z1hwb2UrcGY1NG9PVVhtUUJhZz09</t>
        </is>
      </c>
      <c r="F35" t="n">
        <v>1</v>
      </c>
      <c r="G35" t="inlineStr">
        <is>
          <t>BS001</t>
        </is>
      </c>
      <c r="H35" t="inlineStr">
        <is>
          <t>16 Juli 2004</t>
        </is>
      </c>
      <c r="I35" s="2" t="n">
        <v>46240</v>
      </c>
      <c r="J35" t="inlineStr">
        <is>
          <t>Disetujui</t>
        </is>
      </c>
      <c r="K35" t="n">
        <v>30</v>
      </c>
      <c r="L35" t="inlineStr">
        <is>
          <t>6 Agustus 2026</t>
        </is>
      </c>
      <c r="M35" t="inlineStr">
        <is>
          <t>Konstruksi Bangunan Sipil Jalan</t>
        </is>
      </c>
      <c r="N35" t="inlineStr">
        <is>
          <t>K</t>
        </is>
      </c>
      <c r="O35" t="inlineStr">
        <is>
          <t>20230727</t>
        </is>
      </c>
      <c r="P35" t="inlineStr">
        <is>
          <t>Jawa Timur</t>
        </is>
      </c>
      <c r="Q35" t="inlineStr"/>
    </row>
    <row r="36">
      <c r="A36" t="inlineStr">
        <is>
          <t>CAHAYA HAZANAH ABADI</t>
        </is>
      </c>
      <c r="B36" t="inlineStr">
        <is>
          <t>Kab. Manokwari</t>
        </is>
      </c>
      <c r="C36" t="inlineStr">
        <is>
          <t>081248625443</t>
        </is>
      </c>
      <c r="D36" t="inlineStr">
        <is>
          <t>cahayahazanahabadi@gmail.com</t>
        </is>
      </c>
      <c r="E36" t="inlineStr">
        <is>
          <t>https://lpjk.pu.go.id/search-badan-usaha-detail/R2ZabXduVlpIZlpYQ3d1Rng3aDQvQT09</t>
        </is>
      </c>
      <c r="F36" t="n">
        <v>1</v>
      </c>
      <c r="G36" t="inlineStr">
        <is>
          <t>BS001</t>
        </is>
      </c>
      <c r="H36" t="inlineStr">
        <is>
          <t>25 Juli 2016</t>
        </is>
      </c>
      <c r="I36" s="2" t="n">
        <v>46240</v>
      </c>
      <c r="J36" t="inlineStr">
        <is>
          <t>Disetujui</t>
        </is>
      </c>
      <c r="K36" t="n">
        <v>30</v>
      </c>
      <c r="L36" t="inlineStr">
        <is>
          <t>6 Agustus 2026</t>
        </is>
      </c>
      <c r="M36" t="inlineStr">
        <is>
          <t>Konstruksi Bangunan Sipil Jalan</t>
        </is>
      </c>
      <c r="N36" t="inlineStr">
        <is>
          <t>K</t>
        </is>
      </c>
      <c r="O36" t="inlineStr">
        <is>
          <t>20230805</t>
        </is>
      </c>
      <c r="P36" t="inlineStr">
        <is>
          <t>Papua Barat</t>
        </is>
      </c>
      <c r="Q36" t="inlineStr"/>
    </row>
    <row r="37">
      <c r="A37" t="inlineStr">
        <is>
          <t>CAHAYA KALTARA BORNEO</t>
        </is>
      </c>
      <c r="B37" t="inlineStr">
        <is>
          <t>Kab. Malinau</t>
        </is>
      </c>
      <c r="C37" t="inlineStr">
        <is>
          <t>081392999972</t>
        </is>
      </c>
      <c r="D37" t="inlineStr">
        <is>
          <t>pelangikaltara22@gmail.com</t>
        </is>
      </c>
      <c r="E37" t="inlineStr">
        <is>
          <t>https://lpjk.pu.go.id/search-badan-usaha-detail/LzBQTlNjRE1LUzlROUJmS0VVTzJnQT09</t>
        </is>
      </c>
      <c r="F37" t="n">
        <v>1</v>
      </c>
      <c r="G37" t="inlineStr">
        <is>
          <t>BS001</t>
        </is>
      </c>
      <c r="H37" t="inlineStr">
        <is>
          <t>9 Juni 2022</t>
        </is>
      </c>
      <c r="I37" s="2" t="n">
        <v>46240</v>
      </c>
      <c r="J37" t="inlineStr">
        <is>
          <t>Pencabutan</t>
        </is>
      </c>
      <c r="K37" t="n">
        <v>30</v>
      </c>
      <c r="L37" t="inlineStr">
        <is>
          <t>6 Agustus 2026</t>
        </is>
      </c>
      <c r="M37" t="inlineStr">
        <is>
          <t>Konstruksi Bangunan Sipil Jalan</t>
        </is>
      </c>
      <c r="N37" t="inlineStr">
        <is>
          <t>K</t>
        </is>
      </c>
      <c r="O37" t="inlineStr">
        <is>
          <t>20230805</t>
        </is>
      </c>
      <c r="P37" t="inlineStr">
        <is>
          <t>Kalimantan Utara</t>
        </is>
      </c>
      <c r="Q37" t="inlineStr"/>
    </row>
    <row r="38">
      <c r="A38" t="inlineStr">
        <is>
          <t>CAKRAWALA PAPUA</t>
        </is>
      </c>
      <c r="B38" t="inlineStr">
        <is>
          <t>Kab. Merauke</t>
        </is>
      </c>
      <c r="C38" t="inlineStr">
        <is>
          <t>08114992738</t>
        </is>
      </c>
      <c r="D38" t="inlineStr">
        <is>
          <t>CV.CAKRAWALAPAPUA@GMAIL.COM</t>
        </is>
      </c>
      <c r="E38" t="inlineStr">
        <is>
          <t>https://lpjk.pu.go.id/search-badan-usaha-detail/ZUlZSjBqTGtMWVFBTXlCbDJLbXJLZz09</t>
        </is>
      </c>
      <c r="F38" t="n">
        <v>1</v>
      </c>
      <c r="G38" t="inlineStr">
        <is>
          <t>BS010</t>
        </is>
      </c>
      <c r="H38" t="inlineStr">
        <is>
          <t>9 Agustus 2019</t>
        </is>
      </c>
      <c r="I38" s="2" t="n">
        <v>46240</v>
      </c>
      <c r="J38" t="inlineStr">
        <is>
          <t>Disetujui</t>
        </is>
      </c>
      <c r="K38" t="n">
        <v>30</v>
      </c>
      <c r="L38" t="inlineStr">
        <is>
          <t>6 Agustus 2026</t>
        </is>
      </c>
      <c r="M38" t="inlineStr">
        <is>
          <t>Konstruksi Bangunan Prasarana Sumber Daya Air</t>
        </is>
      </c>
      <c r="N38" t="inlineStr">
        <is>
          <t>K</t>
        </is>
      </c>
      <c r="O38" t="inlineStr">
        <is>
          <t>20230805</t>
        </is>
      </c>
      <c r="P38" t="inlineStr">
        <is>
          <t>Papua</t>
        </is>
      </c>
      <c r="Q38" t="inlineStr"/>
    </row>
    <row r="39">
      <c r="A39" t="inlineStr">
        <is>
          <t>CIPTA PURNAMA KONSTRUKSINDO</t>
        </is>
      </c>
      <c r="B39" t="inlineStr">
        <is>
          <t>Kab. Sragen</t>
        </is>
      </c>
      <c r="C39" t="inlineStr">
        <is>
          <t>085642085761</t>
        </is>
      </c>
      <c r="D39" t="inlineStr">
        <is>
          <t>cipurnakontruksindo@gmail.com</t>
        </is>
      </c>
      <c r="E39" t="inlineStr">
        <is>
          <t>https://lpjk.pu.go.id/search-badan-usaha-detail/SzlEc1gzUk5KVU1GV2FiYVIraTVFZz09</t>
        </is>
      </c>
      <c r="F39" t="n">
        <v>3</v>
      </c>
      <c r="G39" t="inlineStr">
        <is>
          <t>BG002</t>
        </is>
      </c>
      <c r="H39" t="inlineStr">
        <is>
          <t>19 Desember 2022</t>
        </is>
      </c>
      <c r="I39" s="2" t="n">
        <v>46240</v>
      </c>
      <c r="J39" t="inlineStr">
        <is>
          <t>Disetujui</t>
        </is>
      </c>
      <c r="K39" t="n">
        <v>30</v>
      </c>
      <c r="L39" t="inlineStr">
        <is>
          <t>6 Agustus 2026</t>
        </is>
      </c>
      <c r="M39" t="inlineStr">
        <is>
          <t>Konstruksi Gedung Perkantoran</t>
        </is>
      </c>
      <c r="N39" t="inlineStr">
        <is>
          <t>K</t>
        </is>
      </c>
      <c r="O39" t="inlineStr">
        <is>
          <t>20230725</t>
        </is>
      </c>
      <c r="P39" t="inlineStr">
        <is>
          <t>Jawa Tengah</t>
        </is>
      </c>
      <c r="Q39" t="inlineStr"/>
    </row>
    <row r="40">
      <c r="A40" t="inlineStr">
        <is>
          <t>CIPTA SEJAHTERA ABADI</t>
        </is>
      </c>
      <c r="B40" t="inlineStr">
        <is>
          <t>Kab. Kubu Raya</t>
        </is>
      </c>
      <c r="C40" t="inlineStr">
        <is>
          <t>081345829257</t>
        </is>
      </c>
      <c r="D40" t="inlineStr">
        <is>
          <t>abadisejahtera28@gmail.com</t>
        </is>
      </c>
      <c r="E40" t="inlineStr">
        <is>
          <t>https://lpjk.pu.go.id/search-badan-usaha-detail/aGt6UFVDS1V2VmNwd0xkRGFtdlBZUT09</t>
        </is>
      </c>
      <c r="F40" t="n">
        <v>10</v>
      </c>
      <c r="G40" t="inlineStr">
        <is>
          <t>BG001, BG002, BG005, BG006, BG009</t>
        </is>
      </c>
      <c r="H40" t="inlineStr">
        <is>
          <t>17 Desember 2013</t>
        </is>
      </c>
      <c r="I40" s="2" t="n">
        <v>46240</v>
      </c>
      <c r="J40" t="inlineStr">
        <is>
          <t>Disetujui</t>
        </is>
      </c>
      <c r="K40" t="n">
        <v>30</v>
      </c>
      <c r="L40" t="inlineStr">
        <is>
          <t>6 Agustus 2026</t>
        </is>
      </c>
      <c r="M40" t="inlineStr">
        <is>
          <t>Konstruksi Gedung Hunian, Konstruksi Gedung Kesehatan, Konstruksi Gedung Lainnya, Konstruksi Gedung Pendidikan, Konstruksi Gedung Perkantoran</t>
        </is>
      </c>
      <c r="N40" t="inlineStr">
        <is>
          <t>K</t>
        </is>
      </c>
      <c r="O40" t="inlineStr">
        <is>
          <t>20230806</t>
        </is>
      </c>
      <c r="P40" t="inlineStr">
        <is>
          <t>Kalimantan Barat</t>
        </is>
      </c>
      <c r="Q40" t="inlineStr"/>
    </row>
    <row r="41">
      <c r="A41" t="inlineStr">
        <is>
          <t>DAMANITO TEKNOLOGI REKATAMA</t>
        </is>
      </c>
      <c r="B41" t="inlineStr">
        <is>
          <t>Kota Medan</t>
        </is>
      </c>
      <c r="C41" t="inlineStr">
        <is>
          <t>0618452388</t>
        </is>
      </c>
      <c r="D41" t="inlineStr">
        <is>
          <t>damanito.teknologirekatama1@gmail.com</t>
        </is>
      </c>
      <c r="E41" t="inlineStr">
        <is>
          <t>https://lpjk.pu.go.id/search-badan-usaha-detail/bjUvOXpJWW42VklWak84bU1pMjdCUT09</t>
        </is>
      </c>
      <c r="F41" t="n">
        <v>1</v>
      </c>
      <c r="G41" t="inlineStr">
        <is>
          <t>RT003</t>
        </is>
      </c>
      <c r="H41" t="inlineStr">
        <is>
          <t>10 Januari 2023</t>
        </is>
      </c>
      <c r="I41" s="2" t="n">
        <v>46240</v>
      </c>
      <c r="J41" t="inlineStr">
        <is>
          <t>Disetujui</t>
        </is>
      </c>
      <c r="K41" t="n">
        <v>30</v>
      </c>
      <c r="L41" t="inlineStr">
        <is>
          <t>6 Agustus 2026</t>
        </is>
      </c>
      <c r="M41" t="inlineStr">
        <is>
          <t>Jasa Rekayasa Konstruksi Proses Industrial, Produksi, dan Fasilitas Produksi</t>
        </is>
      </c>
      <c r="N41" t="inlineStr">
        <is>
          <t>K</t>
        </is>
      </c>
      <c r="O41" t="inlineStr">
        <is>
          <t>20230718</t>
        </is>
      </c>
      <c r="P41" t="inlineStr">
        <is>
          <t>Sumatera Utara</t>
        </is>
      </c>
      <c r="Q41" t="inlineStr"/>
    </row>
    <row r="42">
      <c r="A42" t="inlineStr">
        <is>
          <t>DELAPAN TUJUH CORP</t>
        </is>
      </c>
      <c r="B42" t="inlineStr">
        <is>
          <t>Kota Medan</t>
        </is>
      </c>
      <c r="C42" t="inlineStr">
        <is>
          <t>082162628789</t>
        </is>
      </c>
      <c r="D42" t="inlineStr">
        <is>
          <t>Delapan7corp@gmail.com</t>
        </is>
      </c>
      <c r="E42" t="inlineStr">
        <is>
          <t>https://lpjk.pu.go.id/search-badan-usaha-detail/NFFWdXgrU0NhNjlxdnBWOHg3TTVOUT09</t>
        </is>
      </c>
      <c r="F42" t="n">
        <v>2</v>
      </c>
      <c r="G42" t="inlineStr">
        <is>
          <t>BG002</t>
        </is>
      </c>
      <c r="H42" t="inlineStr">
        <is>
          <t>2 Mei 2023</t>
        </is>
      </c>
      <c r="I42" s="2" t="n">
        <v>46240</v>
      </c>
      <c r="J42" t="inlineStr">
        <is>
          <t>Pencabutan</t>
        </is>
      </c>
      <c r="K42" t="n">
        <v>30</v>
      </c>
      <c r="L42" t="inlineStr">
        <is>
          <t>6 Agustus 2026</t>
        </is>
      </c>
      <c r="M42" t="inlineStr">
        <is>
          <t>Konstruksi Gedung Perkantoran</t>
        </is>
      </c>
      <c r="N42" t="inlineStr">
        <is>
          <t>K</t>
        </is>
      </c>
      <c r="O42" t="inlineStr">
        <is>
          <t>20230724</t>
        </is>
      </c>
      <c r="P42" t="inlineStr">
        <is>
          <t>Sumatera Utara</t>
        </is>
      </c>
      <c r="Q42" t="inlineStr"/>
    </row>
    <row r="43">
      <c r="A43" t="inlineStr">
        <is>
          <t>DEVA</t>
        </is>
      </c>
      <c r="B43" t="inlineStr">
        <is>
          <t>Kab. Sanggau</t>
        </is>
      </c>
      <c r="C43" t="inlineStr">
        <is>
          <t>082149821004</t>
        </is>
      </c>
      <c r="D43" t="inlineStr">
        <is>
          <t>cv.deva1981@gmail.com</t>
        </is>
      </c>
      <c r="E43" t="inlineStr">
        <is>
          <t>https://lpjk.pu.go.id/search-badan-usaha-detail/K1MvYVpOa2tUakNUclJtbEhhSmlVQT09</t>
        </is>
      </c>
      <c r="F43" t="n">
        <v>1</v>
      </c>
      <c r="G43" t="inlineStr">
        <is>
          <t>BS001</t>
        </is>
      </c>
      <c r="H43" t="inlineStr">
        <is>
          <t>6 November 2003</t>
        </is>
      </c>
      <c r="I43" s="2" t="n">
        <v>46240</v>
      </c>
      <c r="J43" t="inlineStr">
        <is>
          <t>Pencabutan</t>
        </is>
      </c>
      <c r="K43" t="n">
        <v>30</v>
      </c>
      <c r="L43" t="inlineStr">
        <is>
          <t>6 Agustus 2026</t>
        </is>
      </c>
      <c r="M43" t="inlineStr">
        <is>
          <t>Konstruksi Bangunan Sipil Jalan</t>
        </is>
      </c>
      <c r="N43" t="inlineStr">
        <is>
          <t>K</t>
        </is>
      </c>
      <c r="O43" t="inlineStr">
        <is>
          <t>20230806</t>
        </is>
      </c>
      <c r="P43" t="inlineStr">
        <is>
          <t>Kalimantan Barat</t>
        </is>
      </c>
      <c r="Q43" t="inlineStr"/>
    </row>
    <row r="44">
      <c r="A44" t="inlineStr">
        <is>
          <t>DIANA ANDALAS MANDIRI</t>
        </is>
      </c>
      <c r="B44" t="inlineStr">
        <is>
          <t>Kota Palembang</t>
        </is>
      </c>
      <c r="C44" t="inlineStr">
        <is>
          <t>08117887520</t>
        </is>
      </c>
      <c r="D44" t="inlineStr">
        <is>
          <t>cv.dianandalasmandiri@gmail.com</t>
        </is>
      </c>
      <c r="E44" t="inlineStr">
        <is>
          <t>https://lpjk.pu.go.id/search-badan-usaha-detail/Z3pWZjVPUWxvTlFmT0tDL3hRdWVGQT09</t>
        </is>
      </c>
      <c r="F44" t="n">
        <v>1</v>
      </c>
      <c r="G44" t="inlineStr">
        <is>
          <t>BS002</t>
        </is>
      </c>
      <c r="H44" t="inlineStr">
        <is>
          <t>19 Februari 2016</t>
        </is>
      </c>
      <c r="I44" s="2" t="n">
        <v>46240</v>
      </c>
      <c r="J44" t="inlineStr">
        <is>
          <t>Disetujui</t>
        </is>
      </c>
      <c r="K44" t="n">
        <v>30</v>
      </c>
      <c r="L44" t="inlineStr">
        <is>
          <t>6 Agustus 2026</t>
        </is>
      </c>
      <c r="M44" t="inlineStr">
        <is>
          <t>Bangunan Sipil Jembatan, Jalan Layang, Fly Over, dan Underpass</t>
        </is>
      </c>
      <c r="N44" t="inlineStr">
        <is>
          <t>K</t>
        </is>
      </c>
      <c r="O44" t="inlineStr">
        <is>
          <t>20230803</t>
        </is>
      </c>
      <c r="P44" t="inlineStr">
        <is>
          <t>Sumatera Selatan</t>
        </is>
      </c>
      <c r="Q44" t="inlineStr"/>
    </row>
    <row r="45">
      <c r="A45" t="inlineStr">
        <is>
          <t>DIVANA PUTRI</t>
        </is>
      </c>
      <c r="B45" t="inlineStr">
        <is>
          <t>Kota Bandar Lampung</t>
        </is>
      </c>
      <c r="C45" t="inlineStr">
        <is>
          <t>081389081399</t>
        </is>
      </c>
      <c r="D45" t="inlineStr">
        <is>
          <t>divanaputricv@gmail.com</t>
        </is>
      </c>
      <c r="E45" t="inlineStr">
        <is>
          <t>https://lpjk.pu.go.id/search-badan-usaha-detail/alVCMnZRZjQ0WEdMeHJsSDRpV0NkUT09</t>
        </is>
      </c>
      <c r="F45" t="n">
        <v>1</v>
      </c>
      <c r="G45" t="inlineStr">
        <is>
          <t>BS001</t>
        </is>
      </c>
      <c r="H45" t="inlineStr">
        <is>
          <t>2 Januari 2008</t>
        </is>
      </c>
      <c r="I45" s="2" t="n">
        <v>46240</v>
      </c>
      <c r="J45" t="inlineStr">
        <is>
          <t>Disetujui</t>
        </is>
      </c>
      <c r="K45" t="n">
        <v>30</v>
      </c>
      <c r="L45" t="inlineStr">
        <is>
          <t>6 Agustus 2026</t>
        </is>
      </c>
      <c r="M45" t="inlineStr">
        <is>
          <t>Konstruksi Bangunan Sipil Jalan</t>
        </is>
      </c>
      <c r="N45" t="inlineStr">
        <is>
          <t>K</t>
        </is>
      </c>
      <c r="O45" t="inlineStr">
        <is>
          <t>20230803</t>
        </is>
      </c>
      <c r="P45" t="inlineStr">
        <is>
          <t>Lampung</t>
        </is>
      </c>
      <c r="Q45" t="inlineStr"/>
    </row>
    <row r="46">
      <c r="A46" t="inlineStr">
        <is>
          <t>DUA PUTRA SEJAHTERA ABADI</t>
        </is>
      </c>
      <c r="B46" t="inlineStr">
        <is>
          <t>Kab. Sampang</t>
        </is>
      </c>
      <c r="C46" t="inlineStr">
        <is>
          <t>082140831330</t>
        </is>
      </c>
      <c r="D46" t="inlineStr">
        <is>
          <t>cv.duaputrasejahteraabadi@gmail.com</t>
        </is>
      </c>
      <c r="E46" t="inlineStr">
        <is>
          <t>https://lpjk.pu.go.id/search-badan-usaha-detail/OGtabFdudFhzaENmQWFEMkNQTit4QT09</t>
        </is>
      </c>
      <c r="F46" t="n">
        <v>1</v>
      </c>
      <c r="G46" t="inlineStr">
        <is>
          <t>BS001</t>
        </is>
      </c>
      <c r="H46" t="inlineStr">
        <is>
          <t>9 April 2020</t>
        </is>
      </c>
      <c r="I46" s="2" t="n">
        <v>46240</v>
      </c>
      <c r="J46" t="inlineStr">
        <is>
          <t>Disetujui</t>
        </is>
      </c>
      <c r="K46" t="n">
        <v>30</v>
      </c>
      <c r="L46" t="inlineStr">
        <is>
          <t>6 Agustus 2026</t>
        </is>
      </c>
      <c r="M46" t="inlineStr">
        <is>
          <t>Konstruksi Bangunan Sipil Jalan</t>
        </is>
      </c>
      <c r="N46" t="inlineStr">
        <is>
          <t>K</t>
        </is>
      </c>
      <c r="O46" t="inlineStr">
        <is>
          <t>20230807</t>
        </is>
      </c>
      <c r="P46" t="inlineStr">
        <is>
          <t>Jawa Timur</t>
        </is>
      </c>
      <c r="Q46" t="inlineStr"/>
    </row>
    <row r="47">
      <c r="A47" t="inlineStr">
        <is>
          <t>DUTA SARANA MULIA</t>
        </is>
      </c>
      <c r="B47" t="inlineStr">
        <is>
          <t>Kota Balikpapan</t>
        </is>
      </c>
      <c r="C47" t="inlineStr">
        <is>
          <t>082134269997</t>
        </is>
      </c>
      <c r="D47" t="inlineStr">
        <is>
          <t>dutasaranamulia@gmail.com</t>
        </is>
      </c>
      <c r="E47" t="inlineStr">
        <is>
          <t>https://lpjk.pu.go.id/search-badan-usaha-detail/MU84QmUxV1g5Sk5va2hFd25kcHdEZz09</t>
        </is>
      </c>
      <c r="F47" t="n">
        <v>1</v>
      </c>
      <c r="G47" t="inlineStr">
        <is>
          <t>BG006</t>
        </is>
      </c>
      <c r="H47" t="inlineStr">
        <is>
          <t>27 Januari 2004</t>
        </is>
      </c>
      <c r="I47" s="2" t="n">
        <v>46240</v>
      </c>
      <c r="J47" t="inlineStr">
        <is>
          <t>Disetujui</t>
        </is>
      </c>
      <c r="K47" t="n">
        <v>30</v>
      </c>
      <c r="L47" t="inlineStr">
        <is>
          <t>6 Agustus 2026</t>
        </is>
      </c>
      <c r="M47" t="inlineStr">
        <is>
          <t>Konstruksi Gedung Pendidikan</t>
        </is>
      </c>
      <c r="N47" t="inlineStr">
        <is>
          <t>M</t>
        </is>
      </c>
      <c r="O47" t="inlineStr">
        <is>
          <t>20230802</t>
        </is>
      </c>
      <c r="P47" t="inlineStr">
        <is>
          <t>Kalimantan Timur</t>
        </is>
      </c>
      <c r="Q47" t="inlineStr"/>
    </row>
    <row r="48">
      <c r="A48" t="inlineStr">
        <is>
          <t>ERA BELLA UTAMA</t>
        </is>
      </c>
      <c r="B48" t="inlineStr">
        <is>
          <t>Kab. Sanggau</t>
        </is>
      </c>
      <c r="C48" t="inlineStr">
        <is>
          <t>0</t>
        </is>
      </c>
      <c r="D48" t="inlineStr">
        <is>
          <t>erabellautama.98@gmail.com</t>
        </is>
      </c>
      <c r="E48" t="inlineStr">
        <is>
          <t>https://lpjk.pu.go.id/search-badan-usaha-detail/L1pLYWpKZ3FZaEpMQ1BvWW5Ua01GZz09</t>
        </is>
      </c>
      <c r="F48" t="n">
        <v>1</v>
      </c>
      <c r="G48" t="inlineStr">
        <is>
          <t>BS002</t>
        </is>
      </c>
      <c r="H48" t="inlineStr">
        <is>
          <t>7 Mei 1998</t>
        </is>
      </c>
      <c r="I48" s="2" t="n">
        <v>46240</v>
      </c>
      <c r="J48" t="inlineStr">
        <is>
          <t>Disetujui</t>
        </is>
      </c>
      <c r="K48" t="n">
        <v>30</v>
      </c>
      <c r="L48" t="inlineStr">
        <is>
          <t>6 Agustus 2026</t>
        </is>
      </c>
      <c r="M48" t="inlineStr">
        <is>
          <t>Bangunan Sipil Jembatan, Jalan Layang, Fly Over, dan Underpass</t>
        </is>
      </c>
      <c r="N48" t="inlineStr">
        <is>
          <t>K</t>
        </is>
      </c>
      <c r="O48" t="inlineStr">
        <is>
          <t>20230724</t>
        </is>
      </c>
      <c r="P48" t="inlineStr">
        <is>
          <t>Kalimantan Barat</t>
        </is>
      </c>
      <c r="Q48" t="inlineStr"/>
    </row>
    <row r="49">
      <c r="A49" t="inlineStr">
        <is>
          <t>EVAN</t>
        </is>
      </c>
      <c r="B49" t="inlineStr">
        <is>
          <t>Kab. Pasaman</t>
        </is>
      </c>
      <c r="C49" t="inlineStr">
        <is>
          <t>081267812004</t>
        </is>
      </c>
      <c r="D49" t="inlineStr">
        <is>
          <t>cvevan86@yahoo.com</t>
        </is>
      </c>
      <c r="E49" t="inlineStr">
        <is>
          <t>https://lpjk.pu.go.id/search-badan-usaha-detail/anJGN2RPYkZtd3RXQkIxRmFMSUY3Zz09</t>
        </is>
      </c>
      <c r="F49" t="n">
        <v>2</v>
      </c>
      <c r="G49" t="inlineStr">
        <is>
          <t>BG006, BS004</t>
        </is>
      </c>
      <c r="H49" t="inlineStr">
        <is>
          <t>20 Februari 2009</t>
        </is>
      </c>
      <c r="I49" s="2" t="n">
        <v>46240</v>
      </c>
      <c r="J49" t="inlineStr">
        <is>
          <t>Disetujui</t>
        </is>
      </c>
      <c r="K49" t="n">
        <v>30</v>
      </c>
      <c r="L49" t="inlineStr">
        <is>
          <t>6 Agustus 2026</t>
        </is>
      </c>
      <c r="M49" t="inlineStr">
        <is>
          <t>Konstruksi Gedung Pendidikan, Konstruksi Jaringan Irigasi dan Drainase</t>
        </is>
      </c>
      <c r="N49" t="inlineStr">
        <is>
          <t>K</t>
        </is>
      </c>
      <c r="O49" t="inlineStr">
        <is>
          <t>20230803</t>
        </is>
      </c>
      <c r="P49" t="inlineStr">
        <is>
          <t>Sumatera Barat</t>
        </is>
      </c>
      <c r="Q49" t="inlineStr"/>
    </row>
    <row r="50">
      <c r="A50" t="inlineStr">
        <is>
          <t>FAJAR SAKTI</t>
        </is>
      </c>
      <c r="B50" t="inlineStr">
        <is>
          <t>Kab. Sintang</t>
        </is>
      </c>
      <c r="C50" t="inlineStr">
        <is>
          <t>081345119991</t>
        </is>
      </c>
      <c r="D50" t="inlineStr">
        <is>
          <t>cv.fajarsaktistg@gmail.com</t>
        </is>
      </c>
      <c r="E50" t="inlineStr">
        <is>
          <t>https://lpjk.pu.go.id/search-badan-usaha-detail/MmJleXg2NUsrNWpTZHg0bjRRMGhmdz09</t>
        </is>
      </c>
      <c r="F50" t="n">
        <v>1</v>
      </c>
      <c r="G50" t="inlineStr">
        <is>
          <t>BG001</t>
        </is>
      </c>
      <c r="H50" t="inlineStr">
        <is>
          <t>30 Juni 1983</t>
        </is>
      </c>
      <c r="I50" s="2" t="n">
        <v>46240</v>
      </c>
      <c r="J50" t="inlineStr">
        <is>
          <t>Disetujui</t>
        </is>
      </c>
      <c r="K50" t="n">
        <v>30</v>
      </c>
      <c r="L50" t="inlineStr">
        <is>
          <t>6 Agustus 2026</t>
        </is>
      </c>
      <c r="M50" t="inlineStr">
        <is>
          <t>Konstruksi Gedung Hunian</t>
        </is>
      </c>
      <c r="N50" t="inlineStr">
        <is>
          <t>K</t>
        </is>
      </c>
      <c r="O50" t="inlineStr">
        <is>
          <t>20230807</t>
        </is>
      </c>
      <c r="P50" t="inlineStr">
        <is>
          <t>Kalimantan Barat</t>
        </is>
      </c>
      <c r="Q50" t="inlineStr"/>
    </row>
    <row r="51">
      <c r="A51" t="inlineStr">
        <is>
          <t>FAUZAN PRATAMA ABADI</t>
        </is>
      </c>
      <c r="B51" t="inlineStr">
        <is>
          <t>Kab. Mamuju</t>
        </is>
      </c>
      <c r="C51" t="inlineStr">
        <is>
          <t>082238670435</t>
        </is>
      </c>
      <c r="D51" t="inlineStr">
        <is>
          <t>cv.fauzanpratama.abadi@gmail.com</t>
        </is>
      </c>
      <c r="E51" t="inlineStr">
        <is>
          <t>https://lpjk.pu.go.id/search-badan-usaha-detail/R0F1MUJRRkZqQTR3TXdPZU0rZTB5Zz09</t>
        </is>
      </c>
      <c r="F51" t="n">
        <v>2</v>
      </c>
      <c r="G51" t="inlineStr">
        <is>
          <t>BS004</t>
        </is>
      </c>
      <c r="H51" t="inlineStr">
        <is>
          <t>14 September 2021</t>
        </is>
      </c>
      <c r="I51" s="2" t="n">
        <v>46240</v>
      </c>
      <c r="J51" t="inlineStr">
        <is>
          <t>Disetujui</t>
        </is>
      </c>
      <c r="K51" t="n">
        <v>30</v>
      </c>
      <c r="L51" t="inlineStr">
        <is>
          <t>6 Agustus 2026</t>
        </is>
      </c>
      <c r="M51" t="inlineStr">
        <is>
          <t>Konstruksi Jaringan Irigasi dan Drainase</t>
        </is>
      </c>
      <c r="N51" t="inlineStr">
        <is>
          <t>K</t>
        </is>
      </c>
      <c r="O51" t="inlineStr">
        <is>
          <t>20230806</t>
        </is>
      </c>
      <c r="P51" t="inlineStr">
        <is>
          <t>Sulawesi Barat</t>
        </is>
      </c>
      <c r="Q51" t="inlineStr"/>
    </row>
    <row r="52">
      <c r="A52" t="inlineStr">
        <is>
          <t>FIRDAUS</t>
        </is>
      </c>
      <c r="B52" t="inlineStr">
        <is>
          <t>Kab. Wonosobo</t>
        </is>
      </c>
      <c r="C52" t="inlineStr">
        <is>
          <t>081225885958</t>
        </is>
      </c>
      <c r="D52" t="inlineStr">
        <is>
          <t>cv.firdaus9@gmail.com</t>
        </is>
      </c>
      <c r="E52" t="inlineStr">
        <is>
          <t>https://lpjk.pu.go.id/search-badan-usaha-detail/LzdwbnQ4MTY1eXErTWJHVi9wa2MxUT09</t>
        </is>
      </c>
      <c r="F52" t="n">
        <v>2</v>
      </c>
      <c r="G52" t="inlineStr">
        <is>
          <t>BG002</t>
        </is>
      </c>
      <c r="H52" t="inlineStr">
        <is>
          <t>20 Mei 2014</t>
        </is>
      </c>
      <c r="I52" s="2" t="n">
        <v>46240</v>
      </c>
      <c r="J52" t="inlineStr">
        <is>
          <t>Disetujui</t>
        </is>
      </c>
      <c r="K52" t="n">
        <v>30</v>
      </c>
      <c r="L52" t="inlineStr">
        <is>
          <t>6 Agustus 2026</t>
        </is>
      </c>
      <c r="M52" t="inlineStr">
        <is>
          <t>Konstruksi Gedung Perkantoran</t>
        </is>
      </c>
      <c r="N52" t="inlineStr">
        <is>
          <t>K</t>
        </is>
      </c>
      <c r="O52" t="inlineStr">
        <is>
          <t>20230804</t>
        </is>
      </c>
      <c r="P52" t="inlineStr">
        <is>
          <t>Jawa Tengah</t>
        </is>
      </c>
      <c r="Q52" t="inlineStr"/>
    </row>
    <row r="53">
      <c r="A53" t="inlineStr">
        <is>
          <t>FOCUS CIPTA KREASI</t>
        </is>
      </c>
      <c r="B53" t="inlineStr">
        <is>
          <t>Kota Adm. Jakarta Selatan</t>
        </is>
      </c>
      <c r="C53" t="inlineStr">
        <is>
          <t>02179170707</t>
        </is>
      </c>
      <c r="D53" t="inlineStr">
        <is>
          <t>fpk.pajak1@gmail.com</t>
        </is>
      </c>
      <c r="E53" t="inlineStr">
        <is>
          <t>https://lpjk.pu.go.id/search-badan-usaha-detail/UjN2TUJDQlUrUkp1cTZvdEI5T01FUT09</t>
        </is>
      </c>
      <c r="F53" t="n">
        <v>1</v>
      </c>
      <c r="G53" t="inlineStr">
        <is>
          <t>BG009</t>
        </is>
      </c>
      <c r="H53" t="inlineStr">
        <is>
          <t>17 Maret 2008</t>
        </is>
      </c>
      <c r="I53" s="2" t="n">
        <v>46240</v>
      </c>
      <c r="J53" t="inlineStr">
        <is>
          <t>Pembekuan</t>
        </is>
      </c>
      <c r="K53" t="n">
        <v>30</v>
      </c>
      <c r="L53" t="inlineStr">
        <is>
          <t>6 Agustus 2026</t>
        </is>
      </c>
      <c r="M53" t="inlineStr">
        <is>
          <t>Konstruksi Gedung Lainnya</t>
        </is>
      </c>
      <c r="N53" t="inlineStr">
        <is>
          <t>B</t>
        </is>
      </c>
      <c r="O53" t="inlineStr">
        <is>
          <t>20230804</t>
        </is>
      </c>
      <c r="P53" t="inlineStr">
        <is>
          <t>DKI Jakarta</t>
        </is>
      </c>
      <c r="Q53" t="inlineStr"/>
    </row>
    <row r="54">
      <c r="A54" t="inlineStr">
        <is>
          <t>FRIMAS</t>
        </is>
      </c>
      <c r="B54" t="inlineStr">
        <is>
          <t>Kota Malang</t>
        </is>
      </c>
      <c r="C54" t="inlineStr">
        <is>
          <t>081252558200</t>
        </is>
      </c>
      <c r="D54" t="inlineStr">
        <is>
          <t>autmasud@gmail.com</t>
        </is>
      </c>
      <c r="E54" t="inlineStr">
        <is>
          <t>https://lpjk.pu.go.id/search-badan-usaha-detail/ZW5ncTkydS8zZysweUlaL2ppc3JTQT09</t>
        </is>
      </c>
      <c r="F54" t="n">
        <v>1</v>
      </c>
      <c r="G54" t="inlineStr">
        <is>
          <t>BS004</t>
        </is>
      </c>
      <c r="H54" t="inlineStr">
        <is>
          <t>23 Maret 1994</t>
        </is>
      </c>
      <c r="I54" s="2" t="n">
        <v>46240</v>
      </c>
      <c r="J54" t="inlineStr">
        <is>
          <t>Disetujui</t>
        </is>
      </c>
      <c r="K54" t="n">
        <v>30</v>
      </c>
      <c r="L54" t="inlineStr">
        <is>
          <t>6 Agustus 2026</t>
        </is>
      </c>
      <c r="M54" t="inlineStr">
        <is>
          <t>Konstruksi Jaringan Irigasi dan Drainase</t>
        </is>
      </c>
      <c r="N54" t="inlineStr">
        <is>
          <t>K</t>
        </is>
      </c>
      <c r="O54" t="inlineStr">
        <is>
          <t>20230801</t>
        </is>
      </c>
      <c r="P54" t="inlineStr">
        <is>
          <t>Jawa Timur</t>
        </is>
      </c>
      <c r="Q54" t="inlineStr"/>
    </row>
    <row r="55">
      <c r="A55" t="inlineStr">
        <is>
          <t>GARASI C</t>
        </is>
      </c>
      <c r="B55" t="inlineStr">
        <is>
          <t>Kota Kotamobagu</t>
        </is>
      </c>
      <c r="C55" t="inlineStr">
        <is>
          <t>081341852500</t>
        </is>
      </c>
      <c r="D55" t="inlineStr">
        <is>
          <t>cv.garasic@gmail.com</t>
        </is>
      </c>
      <c r="E55" t="inlineStr">
        <is>
          <t>https://lpjk.pu.go.id/search-badan-usaha-detail/QkdJOG1sWEZvT0NxM002ZDNQNFYzUT09</t>
        </is>
      </c>
      <c r="F55" t="n">
        <v>1</v>
      </c>
      <c r="G55" t="inlineStr">
        <is>
          <t>BG009</t>
        </is>
      </c>
      <c r="H55" t="inlineStr">
        <is>
          <t>27 Februari 2019</t>
        </is>
      </c>
      <c r="I55" s="2" t="n">
        <v>46240</v>
      </c>
      <c r="J55" t="inlineStr">
        <is>
          <t>Disetujui</t>
        </is>
      </c>
      <c r="K55" t="n">
        <v>30</v>
      </c>
      <c r="L55" t="inlineStr">
        <is>
          <t>6 Agustus 2026</t>
        </is>
      </c>
      <c r="M55" t="inlineStr">
        <is>
          <t>Konstruksi Gedung Lainnya</t>
        </is>
      </c>
      <c r="N55" t="inlineStr">
        <is>
          <t>K</t>
        </is>
      </c>
      <c r="O55" t="inlineStr">
        <is>
          <t>20230803</t>
        </is>
      </c>
      <c r="P55" t="inlineStr">
        <is>
          <t>Sulawesi Utara</t>
        </is>
      </c>
      <c r="Q55" t="inlineStr"/>
    </row>
    <row r="56">
      <c r="A56" t="inlineStr">
        <is>
          <t>GARVIE DUA TIGA</t>
        </is>
      </c>
      <c r="B56" t="inlineStr">
        <is>
          <t>Kota Cimahi</t>
        </is>
      </c>
      <c r="C56" t="inlineStr">
        <is>
          <t>081217071778</t>
        </is>
      </c>
      <c r="D56" t="inlineStr">
        <is>
          <t>cvgarvieduatiga@gmail.com</t>
        </is>
      </c>
      <c r="E56" t="inlineStr">
        <is>
          <t>https://lpjk.pu.go.id/search-badan-usaha-detail/YmlFR0tJbkdndDJmOUtQckIvTVRqZz09</t>
        </is>
      </c>
      <c r="F56" t="n">
        <v>1</v>
      </c>
      <c r="G56" t="inlineStr">
        <is>
          <t>BG006</t>
        </is>
      </c>
      <c r="H56" t="inlineStr">
        <is>
          <t>20 Januari 2023</t>
        </is>
      </c>
      <c r="I56" s="2" t="n">
        <v>46240</v>
      </c>
      <c r="J56" t="inlineStr">
        <is>
          <t>Pencabutan</t>
        </is>
      </c>
      <c r="K56" t="n">
        <v>30</v>
      </c>
      <c r="L56" t="inlineStr">
        <is>
          <t>6 Agustus 2026</t>
        </is>
      </c>
      <c r="M56" t="inlineStr">
        <is>
          <t>Konstruksi Gedung Pendidikan</t>
        </is>
      </c>
      <c r="N56" t="inlineStr">
        <is>
          <t>K</t>
        </is>
      </c>
      <c r="O56" t="inlineStr">
        <is>
          <t>20230805</t>
        </is>
      </c>
      <c r="P56" t="inlineStr">
        <is>
          <t>Jawa Barat</t>
        </is>
      </c>
      <c r="Q56" t="inlineStr"/>
    </row>
    <row r="57">
      <c r="A57" t="inlineStr">
        <is>
          <t>GEO NEWSANTARA RAYA</t>
        </is>
      </c>
      <c r="B57" t="inlineStr">
        <is>
          <t>Kota Palu</t>
        </is>
      </c>
      <c r="C57" t="inlineStr">
        <is>
          <t>089603575154</t>
        </is>
      </c>
      <c r="D57" t="inlineStr">
        <is>
          <t>geosantara6@gmail.com</t>
        </is>
      </c>
      <c r="E57" t="inlineStr">
        <is>
          <t>https://lpjk.pu.go.id/search-badan-usaha-detail/bVF2Zk1sd1hlaUYrdDkwV0kzZTlwdz09</t>
        </is>
      </c>
      <c r="F57" t="n">
        <v>2</v>
      </c>
      <c r="G57" t="inlineStr">
        <is>
          <t>BG005, BG006</t>
        </is>
      </c>
      <c r="H57" t="inlineStr">
        <is>
          <t>21 Oktober 2022</t>
        </is>
      </c>
      <c r="I57" s="2" t="n">
        <v>46240</v>
      </c>
      <c r="J57" t="inlineStr">
        <is>
          <t>Disetujui</t>
        </is>
      </c>
      <c r="K57" t="n">
        <v>30</v>
      </c>
      <c r="L57" t="inlineStr">
        <is>
          <t>6 Agustus 2026</t>
        </is>
      </c>
      <c r="M57" t="inlineStr">
        <is>
          <t>Konstruksi Gedung Kesehatan, Konstruksi Gedung Pendidikan</t>
        </is>
      </c>
      <c r="N57" t="inlineStr">
        <is>
          <t>K</t>
        </is>
      </c>
      <c r="O57" t="inlineStr">
        <is>
          <t>20230806</t>
        </is>
      </c>
      <c r="P57" t="inlineStr">
        <is>
          <t>Sulawesi Tengah</t>
        </is>
      </c>
      <c r="Q57" t="inlineStr"/>
    </row>
    <row r="58">
      <c r="A58" t="inlineStr">
        <is>
          <t>GIRA MANDIRI KONSTRUKSI</t>
        </is>
      </c>
      <c r="B58" t="inlineStr">
        <is>
          <t>Kota Pematangsiantar</t>
        </is>
      </c>
      <c r="C58" t="inlineStr">
        <is>
          <t>082388287754</t>
        </is>
      </c>
      <c r="D58" t="inlineStr">
        <is>
          <t>giramandirikonstruksi@gmail.com</t>
        </is>
      </c>
      <c r="E58" t="inlineStr">
        <is>
          <t>https://lpjk.pu.go.id/search-badan-usaha-detail/bVhxSTF6L1NxZ2lVbzY2N0lHa0N5dz09</t>
        </is>
      </c>
      <c r="F58" t="n">
        <v>1</v>
      </c>
      <c r="G58" t="inlineStr">
        <is>
          <t>BS004</t>
        </is>
      </c>
      <c r="H58" t="inlineStr">
        <is>
          <t>6 April 2023</t>
        </is>
      </c>
      <c r="I58" s="2" t="n">
        <v>46240</v>
      </c>
      <c r="J58" t="inlineStr">
        <is>
          <t>Disetujui</t>
        </is>
      </c>
      <c r="K58" t="n">
        <v>30</v>
      </c>
      <c r="L58" t="inlineStr">
        <is>
          <t>6 Agustus 2026</t>
        </is>
      </c>
      <c r="M58" t="inlineStr">
        <is>
          <t>Konstruksi Jaringan Irigasi dan Drainase</t>
        </is>
      </c>
      <c r="N58" t="inlineStr">
        <is>
          <t>K</t>
        </is>
      </c>
      <c r="O58" t="inlineStr">
        <is>
          <t>20230713</t>
        </is>
      </c>
      <c r="P58" t="inlineStr">
        <is>
          <t>Sumatera Utara</t>
        </is>
      </c>
      <c r="Q58" t="inlineStr"/>
    </row>
    <row r="59">
      <c r="A59" t="inlineStr">
        <is>
          <t>GUMILANG SARI</t>
        </is>
      </c>
      <c r="B59" t="inlineStr">
        <is>
          <t>Kab. Majalengka</t>
        </is>
      </c>
      <c r="C59" t="inlineStr">
        <is>
          <t>0</t>
        </is>
      </c>
      <c r="D59" t="inlineStr">
        <is>
          <t>osskotamjl+eviles@gmail.com</t>
        </is>
      </c>
      <c r="E59" t="inlineStr">
        <is>
          <t>https://lpjk.pu.go.id/search-badan-usaha-detail/NXRHQWVWQ1VTUmsrWlZISnFnQUl6QT09</t>
        </is>
      </c>
      <c r="F59" t="n">
        <v>2</v>
      </c>
      <c r="G59" t="inlineStr">
        <is>
          <t>BG006, BG009</t>
        </is>
      </c>
      <c r="H59" t="inlineStr">
        <is>
          <t>18 November 2020</t>
        </is>
      </c>
      <c r="I59" s="2" t="n">
        <v>46240</v>
      </c>
      <c r="J59" t="inlineStr">
        <is>
          <t>Disetujui</t>
        </is>
      </c>
      <c r="K59" t="n">
        <v>30</v>
      </c>
      <c r="L59" t="inlineStr">
        <is>
          <t>6 Agustus 2026</t>
        </is>
      </c>
      <c r="M59" t="inlineStr">
        <is>
          <t>Konstruksi Gedung Lainnya, Konstruksi Gedung Pendidikan</t>
        </is>
      </c>
      <c r="N59" t="inlineStr">
        <is>
          <t>K</t>
        </is>
      </c>
      <c r="O59" t="inlineStr">
        <is>
          <t>20230802</t>
        </is>
      </c>
      <c r="P59" t="inlineStr">
        <is>
          <t>Jawa Barat</t>
        </is>
      </c>
      <c r="Q59" t="inlineStr"/>
    </row>
    <row r="60">
      <c r="A60" t="inlineStr">
        <is>
          <t>HARA KONSULTAN</t>
        </is>
      </c>
      <c r="B60" t="inlineStr">
        <is>
          <t>Kota Yogyakarta</t>
        </is>
      </c>
      <c r="C60" t="inlineStr">
        <is>
          <t>02744436705</t>
        </is>
      </c>
      <c r="D60" t="inlineStr">
        <is>
          <t>hara.cons@gmail.com</t>
        </is>
      </c>
      <c r="E60" t="inlineStr">
        <is>
          <t>https://lpjk.pu.go.id/search-badan-usaha-detail/Wml6cW1SYWw1Nk1lN0UwL2dCYTRKZz09</t>
        </is>
      </c>
      <c r="F60" t="n">
        <v>1</v>
      </c>
      <c r="G60" t="inlineStr">
        <is>
          <t>AR002</t>
        </is>
      </c>
      <c r="H60" t="inlineStr">
        <is>
          <t>10 November 1993</t>
        </is>
      </c>
      <c r="I60" s="2" t="n">
        <v>46240</v>
      </c>
      <c r="J60" t="inlineStr">
        <is>
          <t>Disetujui</t>
        </is>
      </c>
      <c r="K60" t="n">
        <v>30</v>
      </c>
      <c r="L60" t="inlineStr">
        <is>
          <t>6 Agustus 2026</t>
        </is>
      </c>
      <c r="M60" t="inlineStr">
        <is>
          <t>Jasa Arsitektural Lainnya</t>
        </is>
      </c>
      <c r="N60" t="inlineStr">
        <is>
          <t>K</t>
        </is>
      </c>
      <c r="O60" t="inlineStr">
        <is>
          <t>20230714</t>
        </is>
      </c>
      <c r="P60" t="inlineStr">
        <is>
          <t>DI Yogyakarta</t>
        </is>
      </c>
      <c r="Q60" t="inlineStr"/>
    </row>
    <row r="61">
      <c r="A61" t="inlineStr">
        <is>
          <t>HARTONO KARYA INDONESIA</t>
        </is>
      </c>
      <c r="B61" t="inlineStr">
        <is>
          <t>Kab. Seruyan</t>
        </is>
      </c>
      <c r="C61" t="inlineStr">
        <is>
          <t>0811521581</t>
        </is>
      </c>
      <c r="D61" t="inlineStr">
        <is>
          <t>hakaindohaka@gmail.com</t>
        </is>
      </c>
      <c r="E61" t="inlineStr">
        <is>
          <t>https://lpjk.pu.go.id/search-badan-usaha-detail/dWRwb2xMRFQ1eS9vbzVlZXBRcmhNZz09</t>
        </is>
      </c>
      <c r="F61" t="n">
        <v>1</v>
      </c>
      <c r="G61" t="inlineStr">
        <is>
          <t>PB005</t>
        </is>
      </c>
      <c r="H61" t="inlineStr">
        <is>
          <t>20 Agustus 2007</t>
        </is>
      </c>
      <c r="I61" s="2" t="n">
        <v>46240</v>
      </c>
      <c r="J61" t="inlineStr">
        <is>
          <t>Disetujui</t>
        </is>
      </c>
      <c r="K61" t="n">
        <v>30</v>
      </c>
      <c r="L61" t="inlineStr">
        <is>
          <t>6 Agustus 2026</t>
        </is>
      </c>
      <c r="M61" t="inlineStr">
        <is>
          <t>Pemasangan Ornamen dan Pekerjaan Seni</t>
        </is>
      </c>
      <c r="N61" t="inlineStr">
        <is>
          <t>Spesialis</t>
        </is>
      </c>
      <c r="O61" t="inlineStr">
        <is>
          <t>20230806</t>
        </is>
      </c>
      <c r="P61" t="inlineStr">
        <is>
          <t>Kalimantan Tengah</t>
        </is>
      </c>
      <c r="Q61" t="inlineStr"/>
    </row>
    <row r="62">
      <c r="A62" t="inlineStr">
        <is>
          <t>HAYFA BERKARYA</t>
        </is>
      </c>
      <c r="B62" t="inlineStr">
        <is>
          <t>Kab. Lombok Barat</t>
        </is>
      </c>
      <c r="C62" t="inlineStr">
        <is>
          <t>08123888842</t>
        </is>
      </c>
      <c r="D62" t="inlineStr">
        <is>
          <t>hayfaberkarya@gmail.com</t>
        </is>
      </c>
      <c r="E62" t="inlineStr">
        <is>
          <t>https://lpjk.pu.go.id/search-badan-usaha-detail/YlFYaGttU3JBdHErRENSOTN3ZTg4QT09</t>
        </is>
      </c>
      <c r="F62" t="n">
        <v>1</v>
      </c>
      <c r="G62" t="inlineStr">
        <is>
          <t>BS001</t>
        </is>
      </c>
      <c r="H62" t="inlineStr">
        <is>
          <t>10 Juni 2020</t>
        </is>
      </c>
      <c r="I62" s="2" t="n">
        <v>46240</v>
      </c>
      <c r="J62" t="inlineStr">
        <is>
          <t>Disetujui</t>
        </is>
      </c>
      <c r="K62" t="n">
        <v>30</v>
      </c>
      <c r="L62" t="inlineStr">
        <is>
          <t>6 Agustus 2026</t>
        </is>
      </c>
      <c r="M62" t="inlineStr">
        <is>
          <t>Konstruksi Bangunan Sipil Jalan</t>
        </is>
      </c>
      <c r="N62" t="inlineStr">
        <is>
          <t>K</t>
        </is>
      </c>
      <c r="O62" t="inlineStr">
        <is>
          <t>20230804</t>
        </is>
      </c>
      <c r="P62" t="inlineStr">
        <is>
          <t>Nusa Tenggara Barat</t>
        </is>
      </c>
      <c r="Q62" t="inlineStr"/>
    </row>
    <row r="63">
      <c r="A63" t="inlineStr">
        <is>
          <t>IDEAL</t>
        </is>
      </c>
      <c r="B63" t="inlineStr">
        <is>
          <t>Kab. Malang</t>
        </is>
      </c>
      <c r="C63" t="inlineStr">
        <is>
          <t>082231006250</t>
        </is>
      </c>
      <c r="D63" t="inlineStr">
        <is>
          <t>ramansyah4965@gmail.com</t>
        </is>
      </c>
      <c r="E63" t="inlineStr">
        <is>
          <t>https://lpjk.pu.go.id/search-badan-usaha-detail/azcyZVJSTGtxVGFkalNvUW9zOXBDUT09</t>
        </is>
      </c>
      <c r="F63" t="n">
        <v>2</v>
      </c>
      <c r="G63" t="inlineStr">
        <is>
          <t>BG009</t>
        </is>
      </c>
      <c r="H63" t="inlineStr">
        <is>
          <t>27 Januari 2007</t>
        </is>
      </c>
      <c r="I63" s="2" t="n">
        <v>46240</v>
      </c>
      <c r="J63" t="inlineStr">
        <is>
          <t>Disetujui</t>
        </is>
      </c>
      <c r="K63" t="n">
        <v>30</v>
      </c>
      <c r="L63" t="inlineStr">
        <is>
          <t>6 Agustus 2026</t>
        </is>
      </c>
      <c r="M63" t="inlineStr">
        <is>
          <t>Konstruksi Gedung Lainnya</t>
        </is>
      </c>
      <c r="N63" t="inlineStr">
        <is>
          <t>K</t>
        </is>
      </c>
      <c r="O63" t="inlineStr">
        <is>
          <t>20220306</t>
        </is>
      </c>
      <c r="P63" t="inlineStr">
        <is>
          <t>Jawa Timur</t>
        </is>
      </c>
      <c r="Q63" t="inlineStr"/>
    </row>
    <row r="64">
      <c r="A64" t="inlineStr">
        <is>
          <t>INDO JAYA</t>
        </is>
      </c>
      <c r="B64" t="inlineStr">
        <is>
          <t>Kab. Puncak Jaya</t>
        </is>
      </c>
      <c r="C64" t="inlineStr">
        <is>
          <t>081247948815</t>
        </is>
      </c>
      <c r="D64" t="inlineStr">
        <is>
          <t>cvindojaya959@gmail.com</t>
        </is>
      </c>
      <c r="E64" t="inlineStr">
        <is>
          <t>https://lpjk.pu.go.id/search-badan-usaha-detail/VHE0WVRpSldpZVVDc2N5TzkwcE9rdz09</t>
        </is>
      </c>
      <c r="F64" t="n">
        <v>1</v>
      </c>
      <c r="G64" t="inlineStr">
        <is>
          <t>BS001</t>
        </is>
      </c>
      <c r="H64" t="inlineStr">
        <is>
          <t>12 Januari 2018</t>
        </is>
      </c>
      <c r="I64" s="2" t="n">
        <v>46240</v>
      </c>
      <c r="J64" t="inlineStr">
        <is>
          <t>Pencabutan</t>
        </is>
      </c>
      <c r="K64" t="n">
        <v>30</v>
      </c>
      <c r="L64" t="inlineStr">
        <is>
          <t>6 Agustus 2026</t>
        </is>
      </c>
      <c r="M64" t="inlineStr">
        <is>
          <t>Konstruksi Bangunan Sipil Jalan</t>
        </is>
      </c>
      <c r="N64" t="inlineStr">
        <is>
          <t>K</t>
        </is>
      </c>
      <c r="O64" t="inlineStr">
        <is>
          <t>20230731</t>
        </is>
      </c>
      <c r="P64" t="inlineStr">
        <is>
          <t>Papua</t>
        </is>
      </c>
      <c r="Q64" t="inlineStr"/>
    </row>
    <row r="65">
      <c r="A65" t="inlineStr">
        <is>
          <t>INDONESIA TIMUR KONSTRUKSI</t>
        </is>
      </c>
      <c r="B65" t="inlineStr">
        <is>
          <t>Kab. Mamuju</t>
        </is>
      </c>
      <c r="C65" t="inlineStr">
        <is>
          <t>085220606903</t>
        </is>
      </c>
      <c r="D65" t="inlineStr">
        <is>
          <t>cvindonesiatimurkons@gmail.com</t>
        </is>
      </c>
      <c r="E65" t="inlineStr">
        <is>
          <t>https://lpjk.pu.go.id/search-badan-usaha-detail/N2NRdGcwWVljanovZWJoRGlvTVhRQT09</t>
        </is>
      </c>
      <c r="F65" t="n">
        <v>1</v>
      </c>
      <c r="G65" t="inlineStr">
        <is>
          <t>BG008</t>
        </is>
      </c>
      <c r="H65" t="inlineStr">
        <is>
          <t>24 Mei 2023</t>
        </is>
      </c>
      <c r="I65" s="2" t="n">
        <v>46240</v>
      </c>
      <c r="J65" t="inlineStr">
        <is>
          <t>Pencabutan</t>
        </is>
      </c>
      <c r="K65" t="n">
        <v>30</v>
      </c>
      <c r="L65" t="inlineStr">
        <is>
          <t>6 Agustus 2026</t>
        </is>
      </c>
      <c r="M65" t="inlineStr">
        <is>
          <t>Konstruksi Gedung Tempat Hiburan dan Olahraga</t>
        </is>
      </c>
      <c r="N65" t="inlineStr">
        <is>
          <t>K</t>
        </is>
      </c>
      <c r="O65" t="inlineStr">
        <is>
          <t>20230806</t>
        </is>
      </c>
      <c r="P65" t="inlineStr">
        <is>
          <t>Sulawesi Barat</t>
        </is>
      </c>
      <c r="Q65" t="inlineStr"/>
    </row>
    <row r="66">
      <c r="A66" t="inlineStr">
        <is>
          <t>INDOPUTRA ADIPERSADA SENTOSA</t>
        </is>
      </c>
      <c r="B66" t="inlineStr">
        <is>
          <t>Kab. Tangerang</t>
        </is>
      </c>
      <c r="C66" t="inlineStr">
        <is>
          <t>02154205237</t>
        </is>
      </c>
      <c r="D66" t="inlineStr">
        <is>
          <t>haryadikurniawang@yahoo.com</t>
        </is>
      </c>
      <c r="E66" t="inlineStr">
        <is>
          <t>https://lpjk.pu.go.id/search-badan-usaha-detail/VFBPOUNYOXNxb2tqZXp5aEFwSEEwQT09</t>
        </is>
      </c>
      <c r="F66" t="n">
        <v>1</v>
      </c>
      <c r="G66" t="inlineStr">
        <is>
          <t>BS017</t>
        </is>
      </c>
      <c r="H66" t="inlineStr">
        <is>
          <t>6 Juni 2003</t>
        </is>
      </c>
      <c r="I66" s="2" t="n">
        <v>46240</v>
      </c>
      <c r="J66" t="inlineStr">
        <is>
          <t>Disetujui</t>
        </is>
      </c>
      <c r="K66" t="n">
        <v>30</v>
      </c>
      <c r="L66" t="inlineStr">
        <is>
          <t>6 Agustus 2026</t>
        </is>
      </c>
      <c r="M66" t="inlineStr">
        <is>
          <t>Konstruksi Bangunan Sipil Lainnya Ytdl</t>
        </is>
      </c>
      <c r="N66" t="inlineStr">
        <is>
          <t>K</t>
        </is>
      </c>
      <c r="O66" t="inlineStr">
        <is>
          <t>20230406</t>
        </is>
      </c>
      <c r="P66" t="inlineStr">
        <is>
          <t>Banten</t>
        </is>
      </c>
      <c r="Q66" t="inlineStr"/>
    </row>
    <row r="67">
      <c r="A67" t="inlineStr">
        <is>
          <t>INTI</t>
        </is>
      </c>
      <c r="B67" t="inlineStr">
        <is>
          <t>Kab. Indramayu</t>
        </is>
      </c>
      <c r="C67" t="inlineStr">
        <is>
          <t>0817215580</t>
        </is>
      </c>
      <c r="D67" t="inlineStr">
        <is>
          <t>muhajir_purnama@yahoo.com</t>
        </is>
      </c>
      <c r="E67" t="inlineStr">
        <is>
          <t>https://lpjk.pu.go.id/search-badan-usaha-detail/NGZOUXh6YjQyOUpsZ3o4bzVHN2UvZz09</t>
        </is>
      </c>
      <c r="F67" t="n">
        <v>1</v>
      </c>
      <c r="G67" t="inlineStr">
        <is>
          <t>BS010</t>
        </is>
      </c>
      <c r="H67" t="inlineStr">
        <is>
          <t>7 Juni 2011</t>
        </is>
      </c>
      <c r="I67" s="2" t="n">
        <v>46240</v>
      </c>
      <c r="J67" t="inlineStr">
        <is>
          <t>Disetujui</t>
        </is>
      </c>
      <c r="K67" t="n">
        <v>30</v>
      </c>
      <c r="L67" t="inlineStr">
        <is>
          <t>6 Agustus 2026</t>
        </is>
      </c>
      <c r="M67" t="inlineStr">
        <is>
          <t>Konstruksi Bangunan Prasarana Sumber Daya Air</t>
        </is>
      </c>
      <c r="N67" t="inlineStr">
        <is>
          <t>K</t>
        </is>
      </c>
      <c r="O67" t="inlineStr">
        <is>
          <t>20230807</t>
        </is>
      </c>
      <c r="P67" t="inlineStr">
        <is>
          <t>Jawa Barat</t>
        </is>
      </c>
      <c r="Q67" t="inlineStr"/>
    </row>
    <row r="68">
      <c r="A68" t="inlineStr">
        <is>
          <t>JALA RIZKI</t>
        </is>
      </c>
      <c r="B68" t="inlineStr">
        <is>
          <t>Kab. Probolinggo</t>
        </is>
      </c>
      <c r="C68" t="inlineStr">
        <is>
          <t>085330615041</t>
        </is>
      </c>
      <c r="D68" t="inlineStr">
        <is>
          <t>hartakarung66@gmail.com</t>
        </is>
      </c>
      <c r="E68" t="inlineStr">
        <is>
          <t>https://lpjk.pu.go.id/search-badan-usaha-detail/ZStBWmpCRHZzNWREVWNiZVFvRGk2UT09</t>
        </is>
      </c>
      <c r="F68" t="n">
        <v>1</v>
      </c>
      <c r="G68" t="inlineStr">
        <is>
          <t>BG003</t>
        </is>
      </c>
      <c r="H68" t="inlineStr">
        <is>
          <t>13 Maret 2023</t>
        </is>
      </c>
      <c r="I68" s="2" t="n">
        <v>46240</v>
      </c>
      <c r="J68" t="inlineStr">
        <is>
          <t>Disetujui</t>
        </is>
      </c>
      <c r="K68" t="n">
        <v>30</v>
      </c>
      <c r="L68" t="inlineStr">
        <is>
          <t>6 Agustus 2026</t>
        </is>
      </c>
      <c r="M68" t="inlineStr">
        <is>
          <t>Konstruksi Gedung Industri</t>
        </is>
      </c>
      <c r="N68" t="inlineStr">
        <is>
          <t>K</t>
        </is>
      </c>
      <c r="O68" t="inlineStr">
        <is>
          <t>20230803</t>
        </is>
      </c>
      <c r="P68" t="inlineStr">
        <is>
          <t>Jawa Timur</t>
        </is>
      </c>
      <c r="Q68" t="inlineStr"/>
    </row>
    <row r="69">
      <c r="A69" t="inlineStr">
        <is>
          <t>JAYA ANDALAS PRIMA</t>
        </is>
      </c>
      <c r="B69" t="inlineStr">
        <is>
          <t>Kota Prabumulih</t>
        </is>
      </c>
      <c r="C69" t="inlineStr">
        <is>
          <t>0713326009</t>
        </is>
      </c>
      <c r="D69" t="inlineStr">
        <is>
          <t>pt.jap.pbm@gmail.com</t>
        </is>
      </c>
      <c r="E69" t="inlineStr">
        <is>
          <t>https://lpjk.pu.go.id/search-badan-usaha-detail/TFg4NXRsSVlnOXJGY21rZ1o1MEJjUT09</t>
        </is>
      </c>
      <c r="F69" t="n">
        <v>1</v>
      </c>
      <c r="G69" t="inlineStr">
        <is>
          <t>PL003</t>
        </is>
      </c>
      <c r="H69" t="inlineStr">
        <is>
          <t>14 Januari 2004</t>
        </is>
      </c>
      <c r="I69" s="2" t="n">
        <v>46240</v>
      </c>
      <c r="J69" t="inlineStr">
        <is>
          <t>Pembekuan</t>
        </is>
      </c>
      <c r="K69" t="n">
        <v>30</v>
      </c>
      <c r="L69" t="inlineStr">
        <is>
          <t>6 Agustus 2026</t>
        </is>
      </c>
      <c r="M69" t="inlineStr">
        <is>
          <t>Penyiapan Lahan Konstruksi</t>
        </is>
      </c>
      <c r="N69" t="inlineStr">
        <is>
          <t>Spesialis</t>
        </is>
      </c>
      <c r="O69" t="inlineStr">
        <is>
          <t>20230805</t>
        </is>
      </c>
      <c r="P69" t="inlineStr">
        <is>
          <t>Sumatera Selatan</t>
        </is>
      </c>
      <c r="Q69" t="inlineStr"/>
    </row>
    <row r="70">
      <c r="A70" t="inlineStr">
        <is>
          <t>JAYA BRAJA SAKTI</t>
        </is>
      </c>
      <c r="B70" t="inlineStr">
        <is>
          <t>Kab. Lampung Timur</t>
        </is>
      </c>
      <c r="C70" t="inlineStr">
        <is>
          <t>-</t>
        </is>
      </c>
      <c r="D70" t="inlineStr">
        <is>
          <t>cvjayabrajasakti69@gmail.com</t>
        </is>
      </c>
      <c r="E70" t="inlineStr">
        <is>
          <t>https://lpjk.pu.go.id/search-badan-usaha-detail/a3VmV2I0ekdac0E0cU9SYmM3cUh5dz09</t>
        </is>
      </c>
      <c r="F70" t="n">
        <v>2</v>
      </c>
      <c r="G70" t="inlineStr">
        <is>
          <t>BS001, BS004</t>
        </is>
      </c>
      <c r="H70" t="inlineStr">
        <is>
          <t>25 September 1998</t>
        </is>
      </c>
      <c r="I70" s="2" t="n">
        <v>46240</v>
      </c>
      <c r="J70" t="inlineStr">
        <is>
          <t>Disetujui</t>
        </is>
      </c>
      <c r="K70" t="n">
        <v>30</v>
      </c>
      <c r="L70" t="inlineStr">
        <is>
          <t>6 Agustus 2026</t>
        </is>
      </c>
      <c r="M70" t="inlineStr">
        <is>
          <t>Konstruksi Bangunan Sipil Jalan, Konstruksi Jaringan Irigasi dan Drainase</t>
        </is>
      </c>
      <c r="N70" t="inlineStr">
        <is>
          <t>K</t>
        </is>
      </c>
      <c r="O70" t="inlineStr">
        <is>
          <t>20230807</t>
        </is>
      </c>
      <c r="P70" t="inlineStr">
        <is>
          <t>Lampung</t>
        </is>
      </c>
      <c r="Q70" t="inlineStr"/>
    </row>
    <row r="71">
      <c r="A71" t="inlineStr">
        <is>
          <t>JAYA TEHNIKA PERKASA</t>
        </is>
      </c>
      <c r="B71" t="inlineStr">
        <is>
          <t>Kab. Tuban</t>
        </is>
      </c>
      <c r="C71" t="inlineStr">
        <is>
          <t>08123245953</t>
        </is>
      </c>
      <c r="D71" t="inlineStr">
        <is>
          <t>jt_perkasa@yahoo.co.id</t>
        </is>
      </c>
      <c r="E71" t="inlineStr">
        <is>
          <t>https://lpjk.pu.go.id/search-badan-usaha-detail/Rnc3RmUvV2NIdlBjRXdHcGNzTWRJUT09</t>
        </is>
      </c>
      <c r="F71" t="n">
        <v>1</v>
      </c>
      <c r="G71" t="inlineStr">
        <is>
          <t>BG009</t>
        </is>
      </c>
      <c r="H71" t="inlineStr">
        <is>
          <t>16 April 2014</t>
        </is>
      </c>
      <c r="I71" s="2" t="n">
        <v>46240</v>
      </c>
      <c r="J71" t="inlineStr">
        <is>
          <t>Disetujui</t>
        </is>
      </c>
      <c r="K71" t="n">
        <v>30</v>
      </c>
      <c r="L71" t="inlineStr">
        <is>
          <t>6 Agustus 2026</t>
        </is>
      </c>
      <c r="M71" t="inlineStr">
        <is>
          <t>Konstruksi Gedung Lainnya</t>
        </is>
      </c>
      <c r="N71" t="inlineStr">
        <is>
          <t>K</t>
        </is>
      </c>
      <c r="O71" t="inlineStr">
        <is>
          <t>20230801</t>
        </is>
      </c>
      <c r="P71" t="inlineStr">
        <is>
          <t>Jawa Timur</t>
        </is>
      </c>
      <c r="Q71" t="inlineStr"/>
    </row>
    <row r="72">
      <c r="A72" t="inlineStr">
        <is>
          <t>KALISUMO</t>
        </is>
      </c>
      <c r="B72" t="inlineStr">
        <is>
          <t>Kota Surabaya</t>
        </is>
      </c>
      <c r="C72" t="inlineStr">
        <is>
          <t>0315044458</t>
        </is>
      </c>
      <c r="D72" t="inlineStr">
        <is>
          <t>cv_kalisumo@yahoo.com</t>
        </is>
      </c>
      <c r="E72" t="inlineStr">
        <is>
          <t>https://lpjk.pu.go.id/search-badan-usaha-detail/WlYzeVJGcjRxaDJWTVJnUllFSitQQT09</t>
        </is>
      </c>
      <c r="F72" t="n">
        <v>1</v>
      </c>
      <c r="G72" t="inlineStr">
        <is>
          <t>BS004</t>
        </is>
      </c>
      <c r="H72" t="inlineStr">
        <is>
          <t>12 April 1997</t>
        </is>
      </c>
      <c r="I72" s="2" t="n">
        <v>46240</v>
      </c>
      <c r="J72" t="inlineStr">
        <is>
          <t>Pencabutan</t>
        </is>
      </c>
      <c r="K72" t="n">
        <v>30</v>
      </c>
      <c r="L72" t="inlineStr">
        <is>
          <t>6 Agustus 2026</t>
        </is>
      </c>
      <c r="M72" t="inlineStr">
        <is>
          <t>Konstruksi Jaringan Irigasi dan Drainase</t>
        </is>
      </c>
      <c r="N72" t="inlineStr">
        <is>
          <t>K</t>
        </is>
      </c>
      <c r="O72" t="inlineStr">
        <is>
          <t>20230807</t>
        </is>
      </c>
      <c r="P72" t="inlineStr">
        <is>
          <t>Jawa Timur</t>
        </is>
      </c>
      <c r="Q72" t="inlineStr"/>
    </row>
    <row r="73">
      <c r="A73" t="inlineStr">
        <is>
          <t>KARSA PRABALA</t>
        </is>
      </c>
      <c r="B73" t="inlineStr">
        <is>
          <t>Kota Adm. Jakarta Selatan</t>
        </is>
      </c>
      <c r="C73" t="inlineStr">
        <is>
          <t>0217397460</t>
        </is>
      </c>
      <c r="D73" t="inlineStr">
        <is>
          <t>info@karsaprabala.com</t>
        </is>
      </c>
      <c r="E73" t="inlineStr">
        <is>
          <t>https://lpjk.pu.go.id/search-badan-usaha-detail/MXpvSHlWOFVLcUpJSVpKVU55Smh0UT09</t>
        </is>
      </c>
      <c r="F73" t="n">
        <v>1</v>
      </c>
      <c r="G73" t="inlineStr">
        <is>
          <t>BG004</t>
        </is>
      </c>
      <c r="H73" t="inlineStr">
        <is>
          <t>11 Februari 2012</t>
        </is>
      </c>
      <c r="I73" s="2" t="n">
        <v>46240</v>
      </c>
      <c r="J73" t="inlineStr">
        <is>
          <t>Disetujui</t>
        </is>
      </c>
      <c r="K73" t="n">
        <v>30</v>
      </c>
      <c r="L73" t="inlineStr">
        <is>
          <t>6 Agustus 2026</t>
        </is>
      </c>
      <c r="M73" t="inlineStr">
        <is>
          <t>Konstruksi Gedung Perbelanjaan</t>
        </is>
      </c>
      <c r="N73" t="inlineStr">
        <is>
          <t>M</t>
        </is>
      </c>
      <c r="O73" t="inlineStr">
        <is>
          <t>20230713</t>
        </is>
      </c>
      <c r="P73" t="inlineStr">
        <is>
          <t>DKI Jakarta</t>
        </is>
      </c>
      <c r="Q73" t="inlineStr"/>
    </row>
    <row r="74">
      <c r="A74" t="inlineStr">
        <is>
          <t>KARYA AGUNG</t>
        </is>
      </c>
      <c r="B74" t="inlineStr">
        <is>
          <t>Kab. Tuban</t>
        </is>
      </c>
      <c r="C74" t="inlineStr">
        <is>
          <t>082336684385</t>
        </is>
      </c>
      <c r="D74" t="inlineStr">
        <is>
          <t>cv.karyaagung_66@yahoo.com</t>
        </is>
      </c>
      <c r="E74" t="inlineStr">
        <is>
          <t>https://lpjk.pu.go.id/search-badan-usaha-detail/amlVTG1wWUk5S3dUejh2QnBmR3Z6dz09</t>
        </is>
      </c>
      <c r="F74" t="n">
        <v>1</v>
      </c>
      <c r="G74" t="inlineStr">
        <is>
          <t>BG002</t>
        </is>
      </c>
      <c r="H74" t="inlineStr">
        <is>
          <t>17 Desember 1985</t>
        </is>
      </c>
      <c r="I74" s="2" t="n">
        <v>46240</v>
      </c>
      <c r="J74" t="inlineStr">
        <is>
          <t>Disetujui</t>
        </is>
      </c>
      <c r="K74" t="n">
        <v>30</v>
      </c>
      <c r="L74" t="inlineStr">
        <is>
          <t>6 Agustus 2026</t>
        </is>
      </c>
      <c r="M74" t="inlineStr">
        <is>
          <t>Konstruksi Gedung Perkantoran</t>
        </is>
      </c>
      <c r="N74" t="inlineStr">
        <is>
          <t>K</t>
        </is>
      </c>
      <c r="O74" t="inlineStr">
        <is>
          <t>20230729</t>
        </is>
      </c>
      <c r="P74" t="inlineStr">
        <is>
          <t>Jawa Timur</t>
        </is>
      </c>
      <c r="Q74" t="inlineStr"/>
    </row>
    <row r="75">
      <c r="A75" t="inlineStr">
        <is>
          <t>KARYA AGUNG BANYUWANGI</t>
        </is>
      </c>
      <c r="B75" t="inlineStr">
        <is>
          <t>Kab. Banyuwangi</t>
        </is>
      </c>
      <c r="C75" t="inlineStr">
        <is>
          <t>081285649200</t>
        </is>
      </c>
      <c r="D75" t="inlineStr">
        <is>
          <t>cvkaryaagungbanyuwangicv@gmail.com</t>
        </is>
      </c>
      <c r="E75" t="inlineStr">
        <is>
          <t>https://lpjk.pu.go.id/search-badan-usaha-detail/d3QzOE5KRGpia0hidXhNbFRqYjdQZz09</t>
        </is>
      </c>
      <c r="F75" t="n">
        <v>1</v>
      </c>
      <c r="G75" t="inlineStr">
        <is>
          <t>BS002</t>
        </is>
      </c>
      <c r="H75" t="inlineStr">
        <is>
          <t>24 Oktober 2022</t>
        </is>
      </c>
      <c r="I75" s="2" t="n">
        <v>46240</v>
      </c>
      <c r="J75" t="inlineStr">
        <is>
          <t>Disetujui</t>
        </is>
      </c>
      <c r="K75" t="n">
        <v>30</v>
      </c>
      <c r="L75" t="inlineStr">
        <is>
          <t>6 Agustus 2026</t>
        </is>
      </c>
      <c r="M75" t="inlineStr">
        <is>
          <t>Bangunan Sipil Jembatan, Jalan Layang, Fly Over, dan Underpass</t>
        </is>
      </c>
      <c r="N75" t="inlineStr">
        <is>
          <t>K</t>
        </is>
      </c>
      <c r="O75" t="inlineStr">
        <is>
          <t>20230803</t>
        </is>
      </c>
      <c r="P75" t="inlineStr">
        <is>
          <t>Jawa Timur</t>
        </is>
      </c>
      <c r="Q75" t="inlineStr"/>
    </row>
    <row r="76">
      <c r="A76" t="inlineStr">
        <is>
          <t>KARYA AGUNG GUMILAR</t>
        </is>
      </c>
      <c r="B76" t="inlineStr">
        <is>
          <t>Kab. Indramayu</t>
        </is>
      </c>
      <c r="C76" t="inlineStr">
        <is>
          <t>02345744905</t>
        </is>
      </c>
      <c r="D76" t="inlineStr">
        <is>
          <t>cv.kag72@gmail.com</t>
        </is>
      </c>
      <c r="E76" t="inlineStr">
        <is>
          <t>https://lpjk.pu.go.id/search-badan-usaha-detail/QzhoTXJIUjdOOTNwSUVDdExsU1hqdz09</t>
        </is>
      </c>
      <c r="F76" t="n">
        <v>1</v>
      </c>
      <c r="G76" t="inlineStr">
        <is>
          <t>BG006</t>
        </is>
      </c>
      <c r="H76" t="inlineStr">
        <is>
          <t>4 April 2006</t>
        </is>
      </c>
      <c r="I76" s="2" t="n">
        <v>46240</v>
      </c>
      <c r="J76" t="inlineStr">
        <is>
          <t>Disetujui</t>
        </is>
      </c>
      <c r="K76" t="n">
        <v>30</v>
      </c>
      <c r="L76" t="inlineStr">
        <is>
          <t>6 Agustus 2026</t>
        </is>
      </c>
      <c r="M76" t="inlineStr">
        <is>
          <t>Konstruksi Gedung Pendidikan</t>
        </is>
      </c>
      <c r="N76" t="inlineStr">
        <is>
          <t>K</t>
        </is>
      </c>
      <c r="O76" t="inlineStr">
        <is>
          <t>20230803</t>
        </is>
      </c>
      <c r="P76" t="inlineStr">
        <is>
          <t>Jawa Barat</t>
        </is>
      </c>
      <c r="Q76" t="inlineStr"/>
    </row>
    <row r="77">
      <c r="A77" t="inlineStr">
        <is>
          <t>KARYA JOHAR KONSULTAN</t>
        </is>
      </c>
      <c r="B77" t="inlineStr">
        <is>
          <t>Kota Jayapura</t>
        </is>
      </c>
      <c r="C77" t="inlineStr">
        <is>
          <t>09675572253</t>
        </is>
      </c>
      <c r="D77" t="inlineStr">
        <is>
          <t>karya_johar@yahoo.co.id</t>
        </is>
      </c>
      <c r="E77" t="inlineStr">
        <is>
          <t>https://lpjk.pu.go.id/search-badan-usaha-detail/azVPTnN2OG5vQ2M2RXNweVBoL2orQT09</t>
        </is>
      </c>
      <c r="F77" t="n">
        <v>1</v>
      </c>
      <c r="G77" t="inlineStr">
        <is>
          <t>RK003</t>
        </is>
      </c>
      <c r="H77" t="inlineStr">
        <is>
          <t>28 Agustus 1974</t>
        </is>
      </c>
      <c r="I77" s="2" t="n">
        <v>46240</v>
      </c>
      <c r="J77" t="inlineStr">
        <is>
          <t>Disetujui</t>
        </is>
      </c>
      <c r="K77" t="n">
        <v>30</v>
      </c>
      <c r="L77" t="inlineStr">
        <is>
          <t>6 Agustus 2026</t>
        </is>
      </c>
      <c r="M77" t="inlineStr">
        <is>
          <t>Jasa Rekayasa Pekerjaan Teknik Sipil Transportasi</t>
        </is>
      </c>
      <c r="N77" t="inlineStr">
        <is>
          <t>K</t>
        </is>
      </c>
      <c r="O77" t="inlineStr">
        <is>
          <t>20230726</t>
        </is>
      </c>
      <c r="P77" t="inlineStr">
        <is>
          <t>Papua</t>
        </is>
      </c>
      <c r="Q77" t="inlineStr"/>
    </row>
    <row r="78">
      <c r="A78" t="inlineStr">
        <is>
          <t>KARYA MAKMUR</t>
        </is>
      </c>
      <c r="B78" t="inlineStr">
        <is>
          <t>Kota Blitar</t>
        </is>
      </c>
      <c r="C78" t="inlineStr">
        <is>
          <t>0342815670</t>
        </is>
      </c>
      <c r="D78" t="inlineStr">
        <is>
          <t>karyamakmur_cv@yahoo.com</t>
        </is>
      </c>
      <c r="E78" t="inlineStr">
        <is>
          <t>https://lpjk.pu.go.id/search-badan-usaha-detail/cytpTUtwMUhFYkdnSys1a1JlM2tLUT09</t>
        </is>
      </c>
      <c r="F78" t="n">
        <v>1</v>
      </c>
      <c r="G78" t="inlineStr">
        <is>
          <t>BS001</t>
        </is>
      </c>
      <c r="H78" t="inlineStr">
        <is>
          <t>9 Oktober 1991</t>
        </is>
      </c>
      <c r="I78" s="2" t="n">
        <v>46240</v>
      </c>
      <c r="J78" t="inlineStr">
        <is>
          <t>Pencabutan</t>
        </is>
      </c>
      <c r="K78" t="n">
        <v>30</v>
      </c>
      <c r="L78" t="inlineStr">
        <is>
          <t>6 Agustus 2026</t>
        </is>
      </c>
      <c r="M78" t="inlineStr">
        <is>
          <t>Konstruksi Bangunan Sipil Jalan</t>
        </is>
      </c>
      <c r="N78" t="inlineStr">
        <is>
          <t>K</t>
        </is>
      </c>
      <c r="O78" t="inlineStr">
        <is>
          <t>20230703</t>
        </is>
      </c>
      <c r="P78" t="inlineStr">
        <is>
          <t>Jawa Timur</t>
        </is>
      </c>
      <c r="Q78" t="inlineStr"/>
    </row>
    <row r="79">
      <c r="A79" t="inlineStr">
        <is>
          <t>KARYA NUSA</t>
        </is>
      </c>
      <c r="B79" t="inlineStr">
        <is>
          <t>Kab. Mamuju</t>
        </is>
      </c>
      <c r="C79" t="inlineStr">
        <is>
          <t>081241385959</t>
        </is>
      </c>
      <c r="D79" t="inlineStr">
        <is>
          <t>karyanusabangsa@gmail.com</t>
        </is>
      </c>
      <c r="E79" t="inlineStr">
        <is>
          <t>https://lpjk.pu.go.id/search-badan-usaha-detail/VHFuSStleDVPTStYTS9IWit2QXNDdz09</t>
        </is>
      </c>
      <c r="F79" t="n">
        <v>1</v>
      </c>
      <c r="G79" t="inlineStr">
        <is>
          <t>BS004</t>
        </is>
      </c>
      <c r="H79" t="inlineStr">
        <is>
          <t>25 Maret 2015</t>
        </is>
      </c>
      <c r="I79" s="2" t="n">
        <v>46240</v>
      </c>
      <c r="J79" t="inlineStr">
        <is>
          <t>Disetujui</t>
        </is>
      </c>
      <c r="K79" t="n">
        <v>30</v>
      </c>
      <c r="L79" t="inlineStr">
        <is>
          <t>6 Agustus 2026</t>
        </is>
      </c>
      <c r="M79" t="inlineStr">
        <is>
          <t>Konstruksi Jaringan Irigasi dan Drainase</t>
        </is>
      </c>
      <c r="N79" t="inlineStr">
        <is>
          <t>K</t>
        </is>
      </c>
      <c r="O79" t="inlineStr">
        <is>
          <t>20230725</t>
        </is>
      </c>
      <c r="P79" t="inlineStr">
        <is>
          <t>Sulawesi Barat</t>
        </is>
      </c>
      <c r="Q79" t="inlineStr"/>
    </row>
    <row r="80">
      <c r="A80" t="inlineStr">
        <is>
          <t>KARYA PERDANA</t>
        </is>
      </c>
      <c r="B80" t="inlineStr">
        <is>
          <t>Kab. Rokan Hulu</t>
        </is>
      </c>
      <c r="C80" t="inlineStr">
        <is>
          <t>081276453953</t>
        </is>
      </c>
      <c r="D80" t="inlineStr">
        <is>
          <t>karyaperdana1972@gmail.com</t>
        </is>
      </c>
      <c r="E80" t="inlineStr">
        <is>
          <t>https://lpjk.pu.go.id/search-badan-usaha-detail/ZzNVdGczeTFzSFQ1M2NReEpyY0F5dz09</t>
        </is>
      </c>
      <c r="F80" t="n">
        <v>1</v>
      </c>
      <c r="G80" t="inlineStr">
        <is>
          <t>BS010</t>
        </is>
      </c>
      <c r="H80" t="inlineStr">
        <is>
          <t>8 Desember 2011</t>
        </is>
      </c>
      <c r="I80" s="2" t="n">
        <v>46240</v>
      </c>
      <c r="J80" t="inlineStr">
        <is>
          <t>Disetujui</t>
        </is>
      </c>
      <c r="K80" t="n">
        <v>30</v>
      </c>
      <c r="L80" t="inlineStr">
        <is>
          <t>6 Agustus 2026</t>
        </is>
      </c>
      <c r="M80" t="inlineStr">
        <is>
          <t>Konstruksi Bangunan Prasarana Sumber Daya Air</t>
        </is>
      </c>
      <c r="N80" t="inlineStr">
        <is>
          <t>K</t>
        </is>
      </c>
      <c r="O80" t="inlineStr">
        <is>
          <t>20230807</t>
        </is>
      </c>
      <c r="P80" t="inlineStr">
        <is>
          <t>Riau</t>
        </is>
      </c>
      <c r="Q80" t="inlineStr"/>
    </row>
    <row r="81">
      <c r="A81" t="inlineStr">
        <is>
          <t>KARYA PUTERA ARU</t>
        </is>
      </c>
      <c r="B81" t="inlineStr">
        <is>
          <t>Kab. Kepulauan Aru</t>
        </is>
      </c>
      <c r="C81" t="inlineStr">
        <is>
          <t>08524791947</t>
        </is>
      </c>
      <c r="D81" t="inlineStr">
        <is>
          <t>yosepiyarmasa@gmail.com</t>
        </is>
      </c>
      <c r="E81" t="inlineStr">
        <is>
          <t>https://lpjk.pu.go.id/search-badan-usaha-detail/WjBydmIwTkdtR0JMMjBaS0JMQnppUT09</t>
        </is>
      </c>
      <c r="F81" t="n">
        <v>1</v>
      </c>
      <c r="G81" t="inlineStr">
        <is>
          <t>BG001</t>
        </is>
      </c>
      <c r="H81" t="inlineStr">
        <is>
          <t>22 Juni 2012</t>
        </is>
      </c>
      <c r="I81" s="2" t="n">
        <v>46240</v>
      </c>
      <c r="J81" t="inlineStr">
        <is>
          <t>Disetujui</t>
        </is>
      </c>
      <c r="K81" t="n">
        <v>30</v>
      </c>
      <c r="L81" t="inlineStr">
        <is>
          <t>6 Agustus 2026</t>
        </is>
      </c>
      <c r="M81" t="inlineStr">
        <is>
          <t>Konstruksi Gedung Hunian</t>
        </is>
      </c>
      <c r="N81" t="inlineStr">
        <is>
          <t>K</t>
        </is>
      </c>
      <c r="O81" t="inlineStr">
        <is>
          <t>20230805</t>
        </is>
      </c>
      <c r="P81" t="inlineStr">
        <is>
          <t>Maluku</t>
        </is>
      </c>
      <c r="Q81" t="inlineStr"/>
    </row>
    <row r="82">
      <c r="A82" t="inlineStr">
        <is>
          <t>KARYA RAGAM INDO AGUNG</t>
        </is>
      </c>
      <c r="B82" t="inlineStr">
        <is>
          <t>Kab. Ketapang</t>
        </is>
      </c>
      <c r="C82" t="inlineStr">
        <is>
          <t>082153317891</t>
        </is>
      </c>
      <c r="D82" t="inlineStr">
        <is>
          <t>kridakalbar@yahoo.com</t>
        </is>
      </c>
      <c r="E82" t="inlineStr">
        <is>
          <t>https://lpjk.pu.go.id/search-badan-usaha-detail/eGV1cXVLa1dwb215d1NNSjBEa3pXUT09</t>
        </is>
      </c>
      <c r="F82" t="n">
        <v>1</v>
      </c>
      <c r="G82" t="inlineStr">
        <is>
          <t>BS001</t>
        </is>
      </c>
      <c r="H82" t="inlineStr">
        <is>
          <t>23 Maret 2019</t>
        </is>
      </c>
      <c r="I82" s="2" t="n">
        <v>46240</v>
      </c>
      <c r="J82" t="inlineStr">
        <is>
          <t>Disetujui</t>
        </is>
      </c>
      <c r="K82" t="n">
        <v>30</v>
      </c>
      <c r="L82" t="inlineStr">
        <is>
          <t>6 Agustus 2026</t>
        </is>
      </c>
      <c r="M82" t="inlineStr">
        <is>
          <t>Konstruksi Bangunan Sipil Jalan</t>
        </is>
      </c>
      <c r="N82" t="inlineStr">
        <is>
          <t>K</t>
        </is>
      </c>
      <c r="O82" t="inlineStr">
        <is>
          <t>20230712</t>
        </is>
      </c>
      <c r="P82" t="inlineStr">
        <is>
          <t>Kalimantan Barat</t>
        </is>
      </c>
      <c r="Q82" t="inlineStr"/>
    </row>
    <row r="83">
      <c r="A83" t="inlineStr">
        <is>
          <t>KRISMA KARYATAMA</t>
        </is>
      </c>
      <c r="B83" t="inlineStr">
        <is>
          <t>Kab. Purwakarta</t>
        </is>
      </c>
      <c r="C83" t="inlineStr">
        <is>
          <t>081908266758</t>
        </is>
      </c>
      <c r="D83" t="inlineStr">
        <is>
          <t>karyatamakrismacv@gmail.com</t>
        </is>
      </c>
      <c r="E83" t="inlineStr">
        <is>
          <t>https://lpjk.pu.go.id/search-badan-usaha-detail/OVpIbWZtaVRDRWo4VnB5UlBqN2dsUT09</t>
        </is>
      </c>
      <c r="F83" t="n">
        <v>1</v>
      </c>
      <c r="G83" t="inlineStr">
        <is>
          <t>BG007</t>
        </is>
      </c>
      <c r="H83" t="inlineStr">
        <is>
          <t>22 Juni 2012</t>
        </is>
      </c>
      <c r="I83" s="2" t="n">
        <v>46240</v>
      </c>
      <c r="J83" t="inlineStr">
        <is>
          <t>Disetujui</t>
        </is>
      </c>
      <c r="K83" t="n">
        <v>30</v>
      </c>
      <c r="L83" t="inlineStr">
        <is>
          <t>6 Agustus 2026</t>
        </is>
      </c>
      <c r="M83" t="inlineStr">
        <is>
          <t>Konstruksi Gedung Penginapan</t>
        </is>
      </c>
      <c r="N83" t="inlineStr">
        <is>
          <t>K</t>
        </is>
      </c>
      <c r="O83" t="inlineStr">
        <is>
          <t>20230804</t>
        </is>
      </c>
      <c r="P83" t="inlineStr">
        <is>
          <t>Jawa Barat</t>
        </is>
      </c>
      <c r="Q83" t="inlineStr"/>
    </row>
    <row r="84">
      <c r="A84" t="inlineStr">
        <is>
          <t>KURNIA ABADI</t>
        </is>
      </c>
      <c r="B84" t="inlineStr">
        <is>
          <t>Kota Pangkal Pinang</t>
        </is>
      </c>
      <c r="C84" t="inlineStr">
        <is>
          <t>081373687398</t>
        </is>
      </c>
      <c r="D84" t="inlineStr">
        <is>
          <t>cv.kurniaabadi07@yahoo.com</t>
        </is>
      </c>
      <c r="E84" t="inlineStr">
        <is>
          <t>https://lpjk.pu.go.id/search-badan-usaha-detail/c2tvWkEzZnB1TzJJeVBYRjd5YnVsUT09</t>
        </is>
      </c>
      <c r="F84" t="n">
        <v>4</v>
      </c>
      <c r="G84" t="inlineStr">
        <is>
          <t>BG001, BG002, BG005, BG006</t>
        </is>
      </c>
      <c r="H84" t="inlineStr">
        <is>
          <t>1 Mei 2006</t>
        </is>
      </c>
      <c r="I84" s="2" t="n">
        <v>46240</v>
      </c>
      <c r="J84" t="inlineStr">
        <is>
          <t>Disetujui</t>
        </is>
      </c>
      <c r="K84" t="n">
        <v>30</v>
      </c>
      <c r="L84" t="inlineStr">
        <is>
          <t>6 Agustus 2026</t>
        </is>
      </c>
      <c r="M84" t="inlineStr">
        <is>
          <t>Konstruksi Gedung Hunian, Konstruksi Gedung Kesehatan, Konstruksi Gedung Pendidikan, Konstruksi Gedung Perkantoran</t>
        </is>
      </c>
      <c r="N84" t="inlineStr">
        <is>
          <t>K</t>
        </is>
      </c>
      <c r="O84" t="inlineStr">
        <is>
          <t>20230802</t>
        </is>
      </c>
      <c r="P84" t="inlineStr">
        <is>
          <t>Kepulauan Bangka Belitung</t>
        </is>
      </c>
      <c r="Q84" t="inlineStr"/>
    </row>
    <row r="85">
      <c r="A85" t="inlineStr">
        <is>
          <t>LAKSANA DHARMA PUTRA</t>
        </is>
      </c>
      <c r="B85" t="inlineStr">
        <is>
          <t>Kab. Tasikmalaya</t>
        </is>
      </c>
      <c r="C85" t="inlineStr">
        <is>
          <t>082126986390</t>
        </is>
      </c>
      <c r="D85" t="inlineStr">
        <is>
          <t>pteldepe@yahoo.com</t>
        </is>
      </c>
      <c r="E85" t="inlineStr">
        <is>
          <t>https://lpjk.pu.go.id/search-badan-usaha-detail/SmdBRm9vMVEvYmVIV3Y4b2R4ZUo4UT09</t>
        </is>
      </c>
      <c r="F85" t="n">
        <v>1</v>
      </c>
      <c r="G85" t="inlineStr">
        <is>
          <t>BS001</t>
        </is>
      </c>
      <c r="H85" t="inlineStr">
        <is>
          <t>5 September 2003</t>
        </is>
      </c>
      <c r="I85" s="2" t="n">
        <v>46240</v>
      </c>
      <c r="J85" t="inlineStr">
        <is>
          <t>Disetujui</t>
        </is>
      </c>
      <c r="K85" t="n">
        <v>30</v>
      </c>
      <c r="L85" t="inlineStr">
        <is>
          <t>6 Agustus 2026</t>
        </is>
      </c>
      <c r="M85" t="inlineStr">
        <is>
          <t>Konstruksi Bangunan Sipil Jalan</t>
        </is>
      </c>
      <c r="N85" t="inlineStr">
        <is>
          <t>M</t>
        </is>
      </c>
      <c r="O85" t="inlineStr">
        <is>
          <t>20230525</t>
        </is>
      </c>
      <c r="P85" t="inlineStr">
        <is>
          <t>Jawa Barat</t>
        </is>
      </c>
      <c r="Q85" t="inlineStr"/>
    </row>
    <row r="86">
      <c r="A86" t="inlineStr">
        <is>
          <t>LENTERA LESTARI</t>
        </is>
      </c>
      <c r="B86" t="inlineStr">
        <is>
          <t>Kota Tangerang</t>
        </is>
      </c>
      <c r="C86" t="inlineStr">
        <is>
          <t>02124284</t>
        </is>
      </c>
      <c r="D86" t="inlineStr">
        <is>
          <t>cv.lentera_lestari@yahoo.co.id</t>
        </is>
      </c>
      <c r="E86" t="inlineStr">
        <is>
          <t>https://lpjk.pu.go.id/search-badan-usaha-detail/dE8rYTZOektmdlhaUHJCTE9XbTlpdz09</t>
        </is>
      </c>
      <c r="F86" t="n">
        <v>1</v>
      </c>
      <c r="G86" t="inlineStr">
        <is>
          <t>BS001</t>
        </is>
      </c>
      <c r="H86" t="inlineStr">
        <is>
          <t>14 Oktober 1986</t>
        </is>
      </c>
      <c r="I86" s="2" t="n">
        <v>46240</v>
      </c>
      <c r="J86" t="inlineStr">
        <is>
          <t>Disetujui</t>
        </is>
      </c>
      <c r="K86" t="n">
        <v>30</v>
      </c>
      <c r="L86" t="inlineStr">
        <is>
          <t>6 Agustus 2026</t>
        </is>
      </c>
      <c r="M86" t="inlineStr">
        <is>
          <t>Konstruksi Bangunan Sipil Jalan</t>
        </is>
      </c>
      <c r="N86" t="inlineStr">
        <is>
          <t>K</t>
        </is>
      </c>
      <c r="O86" t="inlineStr">
        <is>
          <t>20230802</t>
        </is>
      </c>
      <c r="P86" t="inlineStr">
        <is>
          <t>Banten</t>
        </is>
      </c>
      <c r="Q86" t="inlineStr"/>
    </row>
    <row r="87">
      <c r="A87" t="inlineStr">
        <is>
          <t>LIMA PERKASA</t>
        </is>
      </c>
      <c r="B87" t="inlineStr">
        <is>
          <t>Kota Gorontalo</t>
        </is>
      </c>
      <c r="C87" t="inlineStr">
        <is>
          <t>081356659869</t>
        </is>
      </c>
      <c r="D87" t="inlineStr">
        <is>
          <t>lima.perkasa.cv@gmail.com</t>
        </is>
      </c>
      <c r="E87" t="inlineStr">
        <is>
          <t>https://lpjk.pu.go.id/search-badan-usaha-detail/VngrMXNwODhlNzkzMTNFdnRVVDhUdz09</t>
        </is>
      </c>
      <c r="F87" t="n">
        <v>1</v>
      </c>
      <c r="G87" t="inlineStr">
        <is>
          <t>BG006</t>
        </is>
      </c>
      <c r="H87" t="inlineStr">
        <is>
          <t>10 Februari 2014</t>
        </is>
      </c>
      <c r="I87" s="2" t="n">
        <v>46240</v>
      </c>
      <c r="J87" t="inlineStr">
        <is>
          <t>Pencabutan</t>
        </is>
      </c>
      <c r="K87" t="n">
        <v>30</v>
      </c>
      <c r="L87" t="inlineStr">
        <is>
          <t>6 Agustus 2026</t>
        </is>
      </c>
      <c r="M87" t="inlineStr">
        <is>
          <t>Konstruksi Gedung Pendidikan</t>
        </is>
      </c>
      <c r="N87" t="inlineStr">
        <is>
          <t>K</t>
        </is>
      </c>
      <c r="O87" t="inlineStr">
        <is>
          <t>20230616</t>
        </is>
      </c>
      <c r="P87" t="inlineStr">
        <is>
          <t>Gorontalo</t>
        </is>
      </c>
      <c r="Q87" t="inlineStr"/>
    </row>
    <row r="88">
      <c r="A88" t="inlineStr">
        <is>
          <t>LINGGARJATI</t>
        </is>
      </c>
      <c r="B88" t="inlineStr">
        <is>
          <t>Kab. Kediri</t>
        </is>
      </c>
      <c r="C88" t="inlineStr">
        <is>
          <t>085233119878</t>
        </is>
      </c>
      <c r="D88" t="inlineStr">
        <is>
          <t>linggarjaticv@yahoo.co.id</t>
        </is>
      </c>
      <c r="E88" t="inlineStr">
        <is>
          <t>https://lpjk.pu.go.id/search-badan-usaha-detail/Z0o5MDdNWTZHRzBaL0N3ZGJGRm9tdz09</t>
        </is>
      </c>
      <c r="F88" t="n">
        <v>2</v>
      </c>
      <c r="G88" t="inlineStr">
        <is>
          <t>BS004</t>
        </is>
      </c>
      <c r="H88" t="inlineStr">
        <is>
          <t>30 Desember 1982</t>
        </is>
      </c>
      <c r="I88" s="2" t="n">
        <v>46240</v>
      </c>
      <c r="J88" t="inlineStr">
        <is>
          <t>Disetujui</t>
        </is>
      </c>
      <c r="K88" t="n">
        <v>30</v>
      </c>
      <c r="L88" t="inlineStr">
        <is>
          <t>6 Agustus 2026</t>
        </is>
      </c>
      <c r="M88" t="inlineStr">
        <is>
          <t>Konstruksi Jaringan Irigasi dan Drainase</t>
        </is>
      </c>
      <c r="N88" t="inlineStr">
        <is>
          <t>K</t>
        </is>
      </c>
      <c r="O88" t="inlineStr">
        <is>
          <t>20230807</t>
        </is>
      </c>
      <c r="P88" t="inlineStr">
        <is>
          <t>Jawa Timur</t>
        </is>
      </c>
      <c r="Q88" t="inlineStr"/>
    </row>
    <row r="89">
      <c r="A89" t="inlineStr">
        <is>
          <t>LUMINTU JAYA</t>
        </is>
      </c>
      <c r="B89" t="inlineStr">
        <is>
          <t>Kab. Blora</t>
        </is>
      </c>
      <c r="C89" t="inlineStr">
        <is>
          <t>02965100257</t>
        </is>
      </c>
      <c r="D89" t="inlineStr">
        <is>
          <t>lumintujaya82@gmail.com</t>
        </is>
      </c>
      <c r="E89" t="inlineStr">
        <is>
          <t>https://lpjk.pu.go.id/search-badan-usaha-detail/VkZoRWpDd2tKS042QnVhRUxubFFYQT09</t>
        </is>
      </c>
      <c r="F89" t="n">
        <v>1</v>
      </c>
      <c r="G89" t="inlineStr">
        <is>
          <t>BG006</t>
        </is>
      </c>
      <c r="H89" t="inlineStr">
        <is>
          <t>21 Oktober 1993</t>
        </is>
      </c>
      <c r="I89" s="2" t="n">
        <v>46240</v>
      </c>
      <c r="J89" t="inlineStr">
        <is>
          <t>Disetujui</t>
        </is>
      </c>
      <c r="K89" t="n">
        <v>30</v>
      </c>
      <c r="L89" t="inlineStr">
        <is>
          <t>6 Agustus 2026</t>
        </is>
      </c>
      <c r="M89" t="inlineStr">
        <is>
          <t>Konstruksi Gedung Pendidikan</t>
        </is>
      </c>
      <c r="N89" t="inlineStr">
        <is>
          <t>K</t>
        </is>
      </c>
      <c r="O89" t="inlineStr">
        <is>
          <t>20230803</t>
        </is>
      </c>
      <c r="P89" t="inlineStr">
        <is>
          <t>Jawa Tengah</t>
        </is>
      </c>
      <c r="Q89" t="inlineStr"/>
    </row>
    <row r="90">
      <c r="A90" t="inlineStr">
        <is>
          <t>MAHAMERU</t>
        </is>
      </c>
      <c r="B90" t="inlineStr">
        <is>
          <t>Kab. Situbondo</t>
        </is>
      </c>
      <c r="C90" t="inlineStr">
        <is>
          <t>082331776884</t>
        </is>
      </c>
      <c r="D90" t="inlineStr">
        <is>
          <t>cvmahameru123@gmail.com</t>
        </is>
      </c>
      <c r="E90" t="inlineStr">
        <is>
          <t>https://lpjk.pu.go.id/search-badan-usaha-detail/elZ0ajZHcHZ6aWNLRW1OM1BudE1BZz09</t>
        </is>
      </c>
      <c r="F90" t="n">
        <v>2</v>
      </c>
      <c r="G90" t="inlineStr">
        <is>
          <t>PL005</t>
        </is>
      </c>
      <c r="H90" t="inlineStr">
        <is>
          <t>3 Februari 2010</t>
        </is>
      </c>
      <c r="I90" s="2" t="n">
        <v>46240</v>
      </c>
      <c r="J90" t="inlineStr">
        <is>
          <t>Pembekuan</t>
        </is>
      </c>
      <c r="K90" t="n">
        <v>30</v>
      </c>
      <c r="L90" t="inlineStr">
        <is>
          <t>6 Agustus 2026</t>
        </is>
      </c>
      <c r="M90" t="inlineStr">
        <is>
          <t>Pembuatan/Pengeboran Sumur Air Tanah</t>
        </is>
      </c>
      <c r="N90" t="inlineStr">
        <is>
          <t>Spesialis</t>
        </is>
      </c>
      <c r="O90" t="inlineStr">
        <is>
          <t>20230725</t>
        </is>
      </c>
      <c r="P90" t="inlineStr">
        <is>
          <t>Jawa Timur</t>
        </is>
      </c>
      <c r="Q90" t="inlineStr"/>
    </row>
    <row r="91">
      <c r="A91" t="inlineStr">
        <is>
          <t>MAHKOTA TIMUR PERKASA</t>
        </is>
      </c>
      <c r="B91" t="inlineStr">
        <is>
          <t>Kota Tual</t>
        </is>
      </c>
      <c r="C91" t="inlineStr">
        <is>
          <t>081343005558</t>
        </is>
      </c>
      <c r="D91" t="inlineStr">
        <is>
          <t>cvmahkotatimur@gmail.com</t>
        </is>
      </c>
      <c r="E91" t="inlineStr">
        <is>
          <t>https://lpjk.pu.go.id/search-badan-usaha-detail/RkNBT2JraDhnZERyb3BscDEybUludz09</t>
        </is>
      </c>
      <c r="F91" t="n">
        <v>1</v>
      </c>
      <c r="G91" t="inlineStr">
        <is>
          <t>BS010</t>
        </is>
      </c>
      <c r="H91" t="inlineStr">
        <is>
          <t>5 April 2013</t>
        </is>
      </c>
      <c r="I91" s="2" t="n">
        <v>46240</v>
      </c>
      <c r="J91" t="inlineStr">
        <is>
          <t>Disetujui</t>
        </is>
      </c>
      <c r="K91" t="n">
        <v>30</v>
      </c>
      <c r="L91" t="inlineStr">
        <is>
          <t>6 Agustus 2026</t>
        </is>
      </c>
      <c r="M91" t="inlineStr">
        <is>
          <t>Konstruksi Bangunan Prasarana Sumber Daya Air</t>
        </is>
      </c>
      <c r="N91" t="inlineStr">
        <is>
          <t>K</t>
        </is>
      </c>
      <c r="O91" t="inlineStr">
        <is>
          <t>20230802</t>
        </is>
      </c>
      <c r="P91" t="inlineStr">
        <is>
          <t>Maluku</t>
        </is>
      </c>
      <c r="Q91" t="inlineStr"/>
    </row>
    <row r="92">
      <c r="A92" t="inlineStr">
        <is>
          <t>MATA AIR</t>
        </is>
      </c>
      <c r="B92" t="inlineStr">
        <is>
          <t>Kota Sawahlunto</t>
        </is>
      </c>
      <c r="C92" t="inlineStr">
        <is>
          <t>081363486633</t>
        </is>
      </c>
      <c r="D92" t="inlineStr">
        <is>
          <t>mataaircv@yahoo.com</t>
        </is>
      </c>
      <c r="E92" t="inlineStr">
        <is>
          <t>https://lpjk.pu.go.id/search-badan-usaha-detail/cVRUNHpKSkpUZ0YrOGVjK3hTYjFwUT09</t>
        </is>
      </c>
      <c r="F92" t="n">
        <v>1</v>
      </c>
      <c r="G92" t="inlineStr">
        <is>
          <t>BG006</t>
        </is>
      </c>
      <c r="H92" t="inlineStr">
        <is>
          <t>3 Februari 2016</t>
        </is>
      </c>
      <c r="I92" s="2" t="n">
        <v>46240</v>
      </c>
      <c r="J92" t="inlineStr">
        <is>
          <t>Disetujui</t>
        </is>
      </c>
      <c r="K92" t="n">
        <v>30</v>
      </c>
      <c r="L92" t="inlineStr">
        <is>
          <t>6 Agustus 2026</t>
        </is>
      </c>
      <c r="M92" t="inlineStr">
        <is>
          <t>Konstruksi Gedung Pendidikan</t>
        </is>
      </c>
      <c r="N92" t="inlineStr">
        <is>
          <t>K</t>
        </is>
      </c>
      <c r="O92" t="inlineStr">
        <is>
          <t>20230711</t>
        </is>
      </c>
      <c r="P92" t="inlineStr">
        <is>
          <t>Sumatera Barat</t>
        </is>
      </c>
      <c r="Q92" t="inlineStr"/>
    </row>
    <row r="93">
      <c r="A93" t="inlineStr">
        <is>
          <t>MATAHARI BAKTI</t>
        </is>
      </c>
      <c r="B93" t="inlineStr">
        <is>
          <t>Kab. Banyuasin</t>
        </is>
      </c>
      <c r="C93" t="inlineStr">
        <is>
          <t>081367538718</t>
        </is>
      </c>
      <c r="D93" t="inlineStr">
        <is>
          <t>mataharibakti@gmail.com</t>
        </is>
      </c>
      <c r="E93" t="inlineStr">
        <is>
          <t>https://lpjk.pu.go.id/search-badan-usaha-detail/M2JNMVlsSWl4R21qdCs5SEg0TGN2dz09</t>
        </is>
      </c>
      <c r="F93" t="n">
        <v>4</v>
      </c>
      <c r="G93" t="inlineStr">
        <is>
          <t>BS001, BS002</t>
        </is>
      </c>
      <c r="H93" t="inlineStr">
        <is>
          <t>9 Februari 2015</t>
        </is>
      </c>
      <c r="I93" s="2" t="n">
        <v>46240</v>
      </c>
      <c r="J93" t="inlineStr">
        <is>
          <t>Disetujui</t>
        </is>
      </c>
      <c r="K93" t="n">
        <v>30</v>
      </c>
      <c r="L93" t="inlineStr">
        <is>
          <t>6 Agustus 2026</t>
        </is>
      </c>
      <c r="M93" t="inlineStr">
        <is>
          <t>Bangunan Sipil Jembatan, Jalan Layang, Fly Over, dan Underpass, Konstruksi Bangunan Sipil Jalan</t>
        </is>
      </c>
      <c r="N93" t="inlineStr">
        <is>
          <t>K</t>
        </is>
      </c>
      <c r="O93" t="inlineStr">
        <is>
          <t>20230803</t>
        </is>
      </c>
      <c r="P93" t="inlineStr">
        <is>
          <t>Sumatera Selatan</t>
        </is>
      </c>
      <c r="Q93" t="inlineStr"/>
    </row>
    <row r="94">
      <c r="A94" t="inlineStr">
        <is>
          <t>MAYAPADA</t>
        </is>
      </c>
      <c r="B94" t="inlineStr">
        <is>
          <t>Kab. Probolinggo</t>
        </is>
      </c>
      <c r="C94" t="inlineStr">
        <is>
          <t>081359277417</t>
        </is>
      </c>
      <c r="D94" t="inlineStr">
        <is>
          <t>mayapada885@gmail.com</t>
        </is>
      </c>
      <c r="E94" t="inlineStr">
        <is>
          <t>https://lpjk.pu.go.id/search-badan-usaha-detail/UGJnQjlucXBWRWg1RkhtVmRRN0gxdz09</t>
        </is>
      </c>
      <c r="F94" t="n">
        <v>1</v>
      </c>
      <c r="G94" t="inlineStr">
        <is>
          <t>BG003</t>
        </is>
      </c>
      <c r="H94" t="inlineStr">
        <is>
          <t>2 Agustus 2019</t>
        </is>
      </c>
      <c r="I94" s="2" t="n">
        <v>46240</v>
      </c>
      <c r="J94" t="inlineStr">
        <is>
          <t>Disetujui</t>
        </is>
      </c>
      <c r="K94" t="n">
        <v>30</v>
      </c>
      <c r="L94" t="inlineStr">
        <is>
          <t>6 Agustus 2026</t>
        </is>
      </c>
      <c r="M94" t="inlineStr">
        <is>
          <t>Konstruksi Gedung Industri</t>
        </is>
      </c>
      <c r="N94" t="inlineStr">
        <is>
          <t>K</t>
        </is>
      </c>
      <c r="O94" t="inlineStr">
        <is>
          <t>20230803</t>
        </is>
      </c>
      <c r="P94" t="inlineStr">
        <is>
          <t>Jawa Timur</t>
        </is>
      </c>
      <c r="Q94" t="inlineStr"/>
    </row>
    <row r="95">
      <c r="A95" t="inlineStr">
        <is>
          <t>MEDIA DISAIN KONSULTAN</t>
        </is>
      </c>
      <c r="B95" t="inlineStr">
        <is>
          <t>Kota Semarang</t>
        </is>
      </c>
      <c r="C95" t="inlineStr">
        <is>
          <t>0248500237</t>
        </is>
      </c>
      <c r="D95" t="inlineStr">
        <is>
          <t>medikons.konsultan@gmail.com</t>
        </is>
      </c>
      <c r="E95" t="inlineStr">
        <is>
          <t>https://lpjk.pu.go.id/search-badan-usaha-detail/Z2tBd2lOWWhkQ2tWRFRhN2xya3d1dz09</t>
        </is>
      </c>
      <c r="F95" t="n">
        <v>2</v>
      </c>
      <c r="G95" t="inlineStr">
        <is>
          <t>AR001, RK001</t>
        </is>
      </c>
      <c r="H95" t="inlineStr">
        <is>
          <t>21 Februari 2017</t>
        </is>
      </c>
      <c r="I95" s="2" t="n">
        <v>46240</v>
      </c>
      <c r="J95" t="inlineStr">
        <is>
          <t>Disetujui</t>
        </is>
      </c>
      <c r="K95" t="n">
        <v>30</v>
      </c>
      <c r="L95" t="inlineStr">
        <is>
          <t>6 Agustus 2026</t>
        </is>
      </c>
      <c r="M95" t="inlineStr">
        <is>
          <t>Jasa Arsitektural Bangunan Gedung Hunian dan Non Hunian, Jasa Rekayasa Konstruksi Bangunan Gedung Hunian dan Non Hunian</t>
        </is>
      </c>
      <c r="N95" t="inlineStr">
        <is>
          <t>K</t>
        </is>
      </c>
      <c r="O95" t="inlineStr">
        <is>
          <t>20230801</t>
        </is>
      </c>
      <c r="P95" t="inlineStr">
        <is>
          <t>Jawa Tengah</t>
        </is>
      </c>
      <c r="Q95" t="inlineStr"/>
    </row>
    <row r="96">
      <c r="A96" t="inlineStr">
        <is>
          <t>MEGA BERKAH UTAMA</t>
        </is>
      </c>
      <c r="B96" t="inlineStr">
        <is>
          <t>Kab. Paser</t>
        </is>
      </c>
      <c r="C96" t="inlineStr">
        <is>
          <t>0812248988880</t>
        </is>
      </c>
      <c r="D96" t="inlineStr">
        <is>
          <t>megaberkahutama@gmail.com</t>
        </is>
      </c>
      <c r="E96" t="inlineStr">
        <is>
          <t>https://lpjk.pu.go.id/search-badan-usaha-detail/ZGs3aFhmUWxtOWFvcnNKK3orLzZLZz09</t>
        </is>
      </c>
      <c r="F96" t="n">
        <v>2</v>
      </c>
      <c r="G96" t="inlineStr">
        <is>
          <t>BG004, BG008</t>
        </is>
      </c>
      <c r="H96" t="inlineStr">
        <is>
          <t>16 September 2022</t>
        </is>
      </c>
      <c r="I96" s="2" t="n">
        <v>46240</v>
      </c>
      <c r="J96" t="inlineStr">
        <is>
          <t>Disetujui</t>
        </is>
      </c>
      <c r="K96" t="n">
        <v>30</v>
      </c>
      <c r="L96" t="inlineStr">
        <is>
          <t>6 Agustus 2026</t>
        </is>
      </c>
      <c r="M96" t="inlineStr">
        <is>
          <t>Konstruksi Gedung Perbelanjaan, Konstruksi Gedung Tempat Hiburan dan Olahraga</t>
        </is>
      </c>
      <c r="N96" t="inlineStr">
        <is>
          <t>K</t>
        </is>
      </c>
      <c r="O96" t="inlineStr">
        <is>
          <t>20230804</t>
        </is>
      </c>
      <c r="P96" t="inlineStr">
        <is>
          <t>Kalimantan Timur</t>
        </is>
      </c>
      <c r="Q96" t="inlineStr"/>
    </row>
    <row r="97">
      <c r="A97" t="inlineStr">
        <is>
          <t>MEGAH ARTARA RAYA</t>
        </is>
      </c>
      <c r="B97" t="inlineStr">
        <is>
          <t>Kota Ambon</t>
        </is>
      </c>
      <c r="C97" t="inlineStr">
        <is>
          <t>081333362685</t>
        </is>
      </c>
      <c r="D97" t="inlineStr">
        <is>
          <t>megahartara@yahoo.com</t>
        </is>
      </c>
      <c r="E97" t="inlineStr">
        <is>
          <t>https://lpjk.pu.go.id/search-badan-usaha-detail/VjhVajZScnBtQTU5ckNwUjZOZ3ZsUT09</t>
        </is>
      </c>
      <c r="F97" t="n">
        <v>9</v>
      </c>
      <c r="G97" t="inlineStr">
        <is>
          <t>BS001, BS002, BS004</t>
        </is>
      </c>
      <c r="H97" t="inlineStr">
        <is>
          <t>16 Agustus 2018</t>
        </is>
      </c>
      <c r="I97" s="2" t="n">
        <v>46240</v>
      </c>
      <c r="J97" t="inlineStr">
        <is>
          <t>Disetujui</t>
        </is>
      </c>
      <c r="K97" t="n">
        <v>30</v>
      </c>
      <c r="L97" t="inlineStr">
        <is>
          <t>6 Agustus 2026</t>
        </is>
      </c>
      <c r="M97" t="inlineStr">
        <is>
          <t>Bangunan Sipil Jembatan, Jalan Layang, Fly Over, dan Underpass, Konstruksi Bangunan Sipil Jalan, Konstruksi Jaringan Irigasi dan Drainase</t>
        </is>
      </c>
      <c r="N97" t="inlineStr">
        <is>
          <t>K</t>
        </is>
      </c>
      <c r="O97" t="inlineStr">
        <is>
          <t>20230801, 20230802, 20230805</t>
        </is>
      </c>
      <c r="P97" t="inlineStr">
        <is>
          <t>Maluku</t>
        </is>
      </c>
      <c r="Q97" t="inlineStr"/>
    </row>
    <row r="98">
      <c r="A98" t="inlineStr">
        <is>
          <t>MEKAR ABADI</t>
        </is>
      </c>
      <c r="B98" t="inlineStr">
        <is>
          <t>Kab. Boyolali</t>
        </is>
      </c>
      <c r="C98" t="inlineStr">
        <is>
          <t>081214123298</t>
        </is>
      </c>
      <c r="D98" t="inlineStr">
        <is>
          <t>cvmekarabadibi2016@gmail.com</t>
        </is>
      </c>
      <c r="E98" t="inlineStr">
        <is>
          <t>https://lpjk.pu.go.id/search-badan-usaha-detail/VlR1ZEoyc0hQZ0I2LzdsL2NwdXRTUT09</t>
        </is>
      </c>
      <c r="F98" t="n">
        <v>2</v>
      </c>
      <c r="G98" t="inlineStr">
        <is>
          <t>BS001</t>
        </is>
      </c>
      <c r="H98" t="inlineStr">
        <is>
          <t>29 Januari 2016</t>
        </is>
      </c>
      <c r="I98" s="2" t="n">
        <v>46240</v>
      </c>
      <c r="J98" t="inlineStr">
        <is>
          <t>Disetujui</t>
        </is>
      </c>
      <c r="K98" t="n">
        <v>30</v>
      </c>
      <c r="L98" t="inlineStr">
        <is>
          <t>6 Agustus 2026</t>
        </is>
      </c>
      <c r="M98" t="inlineStr">
        <is>
          <t>Konstruksi Bangunan Sipil Jalan</t>
        </is>
      </c>
      <c r="N98" t="inlineStr">
        <is>
          <t>K</t>
        </is>
      </c>
      <c r="O98" t="inlineStr">
        <is>
          <t>20230804</t>
        </is>
      </c>
      <c r="P98" t="inlineStr">
        <is>
          <t>Jawa Tengah</t>
        </is>
      </c>
      <c r="Q98" t="inlineStr"/>
    </row>
    <row r="99">
      <c r="A99" t="inlineStr">
        <is>
          <t>MEKAR MANDIRI</t>
        </is>
      </c>
      <c r="B99" t="inlineStr">
        <is>
          <t>Kota Cirebon</t>
        </is>
      </c>
      <c r="C99" t="inlineStr">
        <is>
          <t>082319592500</t>
        </is>
      </c>
      <c r="D99" t="inlineStr">
        <is>
          <t>mandiri.mekar@yahoo.co.id</t>
        </is>
      </c>
      <c r="E99" t="inlineStr">
        <is>
          <t>https://lpjk.pu.go.id/search-badan-usaha-detail/d1dkNndGZ0xLcldHYWo0TzhOMVdmdz09</t>
        </is>
      </c>
      <c r="F99" t="n">
        <v>2</v>
      </c>
      <c r="G99" t="inlineStr">
        <is>
          <t>BG009</t>
        </is>
      </c>
      <c r="H99" t="inlineStr">
        <is>
          <t>12 Juni 2008</t>
        </is>
      </c>
      <c r="I99" s="2" t="n">
        <v>46240</v>
      </c>
      <c r="J99" t="inlineStr">
        <is>
          <t>Disetujui</t>
        </is>
      </c>
      <c r="K99" t="n">
        <v>30</v>
      </c>
      <c r="L99" t="inlineStr">
        <is>
          <t>6 Agustus 2026</t>
        </is>
      </c>
      <c r="M99" t="inlineStr">
        <is>
          <t>Konstruksi Gedung Lainnya</t>
        </is>
      </c>
      <c r="N99" t="inlineStr">
        <is>
          <t>K</t>
        </is>
      </c>
      <c r="O99" t="inlineStr">
        <is>
          <t>20230804</t>
        </is>
      </c>
      <c r="P99" t="inlineStr">
        <is>
          <t>Jawa Barat</t>
        </is>
      </c>
      <c r="Q99" t="inlineStr"/>
    </row>
    <row r="100">
      <c r="A100" t="inlineStr">
        <is>
          <t>METROTAMA ENERGY WESTINDO</t>
        </is>
      </c>
      <c r="B100" t="inlineStr">
        <is>
          <t>Kota Adm. Jakarta Selatan</t>
        </is>
      </c>
      <c r="C100" t="inlineStr">
        <is>
          <t>081212974680</t>
        </is>
      </c>
      <c r="D100" t="inlineStr">
        <is>
          <t>metrotamaenergy@gmail.com</t>
        </is>
      </c>
      <c r="E100" t="inlineStr">
        <is>
          <t>https://lpjk.pu.go.id/search-badan-usaha-detail/aGR1RHU3Q1hZZ3pYNzBNT2FFNSt3QT09</t>
        </is>
      </c>
      <c r="F100" t="n">
        <v>1</v>
      </c>
      <c r="G100" t="inlineStr">
        <is>
          <t>RK003</t>
        </is>
      </c>
      <c r="H100" t="inlineStr">
        <is>
          <t>17 Maret 2023</t>
        </is>
      </c>
      <c r="I100" s="2" t="n">
        <v>46240</v>
      </c>
      <c r="J100" t="inlineStr">
        <is>
          <t>Disetujui</t>
        </is>
      </c>
      <c r="K100" t="n">
        <v>30</v>
      </c>
      <c r="L100" t="inlineStr">
        <is>
          <t>6 Agustus 2026</t>
        </is>
      </c>
      <c r="M100" t="inlineStr">
        <is>
          <t>Jasa Rekayasa Pekerjaan Teknik Sipil Transportasi</t>
        </is>
      </c>
      <c r="N100" t="inlineStr">
        <is>
          <t>K</t>
        </is>
      </c>
      <c r="O100" t="inlineStr">
        <is>
          <t>20230801</t>
        </is>
      </c>
      <c r="P100" t="inlineStr">
        <is>
          <t>DKI Jakarta</t>
        </is>
      </c>
      <c r="Q100" t="inlineStr"/>
    </row>
    <row r="101">
      <c r="A101" t="inlineStr">
        <is>
          <t>MIKAEL PERKASA</t>
        </is>
      </c>
      <c r="B101" t="inlineStr">
        <is>
          <t>Kota Pasuruan</t>
        </is>
      </c>
      <c r="C101" t="inlineStr">
        <is>
          <t>082341647060</t>
        </is>
      </c>
      <c r="D101" t="inlineStr">
        <is>
          <t>mikaelperkasa.cv@gmail.com</t>
        </is>
      </c>
      <c r="E101" t="inlineStr">
        <is>
          <t>https://lpjk.pu.go.id/search-badan-usaha-detail/Yzh2cXBVcjdEcnBIeCtjeVQ3S1l2Zz09</t>
        </is>
      </c>
      <c r="F101" t="n">
        <v>1</v>
      </c>
      <c r="G101" t="inlineStr">
        <is>
          <t>BS004</t>
        </is>
      </c>
      <c r="H101" t="inlineStr">
        <is>
          <t>15 Juni 2023</t>
        </is>
      </c>
      <c r="I101" s="2" t="n">
        <v>46240</v>
      </c>
      <c r="J101" t="inlineStr">
        <is>
          <t>Pencabutan</t>
        </is>
      </c>
      <c r="K101" t="n">
        <v>30</v>
      </c>
      <c r="L101" t="inlineStr">
        <is>
          <t>6 Agustus 2026</t>
        </is>
      </c>
      <c r="M101" t="inlineStr">
        <is>
          <t>Konstruksi Jaringan Irigasi dan Drainase</t>
        </is>
      </c>
      <c r="N101" t="inlineStr">
        <is>
          <t>K</t>
        </is>
      </c>
      <c r="O101" t="inlineStr">
        <is>
          <t>20230803</t>
        </is>
      </c>
      <c r="P101" t="inlineStr">
        <is>
          <t>Jawa Timur</t>
        </is>
      </c>
      <c r="Q101" t="inlineStr"/>
    </row>
    <row r="102">
      <c r="A102" t="inlineStr">
        <is>
          <t>MINAKO PUTRA</t>
        </is>
      </c>
      <c r="B102" t="inlineStr">
        <is>
          <t>Kab. Ogan Komering Ulu</t>
        </is>
      </c>
      <c r="C102" t="inlineStr">
        <is>
          <t>081367001155</t>
        </is>
      </c>
      <c r="D102" t="inlineStr">
        <is>
          <t>cvminakoputra2@gmail.com</t>
        </is>
      </c>
      <c r="E102" t="inlineStr">
        <is>
          <t>https://lpjk.pu.go.id/search-badan-usaha-detail/NkJHajVieENkNHJvZFlXMDBTdzFKdz09</t>
        </is>
      </c>
      <c r="F102" t="n">
        <v>1</v>
      </c>
      <c r="G102" t="inlineStr">
        <is>
          <t>BS002</t>
        </is>
      </c>
      <c r="H102" t="inlineStr">
        <is>
          <t>31 Maret 2006</t>
        </is>
      </c>
      <c r="I102" s="2" t="n">
        <v>46240</v>
      </c>
      <c r="J102" t="inlineStr">
        <is>
          <t>Disetujui</t>
        </is>
      </c>
      <c r="K102" t="n">
        <v>30</v>
      </c>
      <c r="L102" t="inlineStr">
        <is>
          <t>6 Agustus 2026</t>
        </is>
      </c>
      <c r="M102" t="inlineStr">
        <is>
          <t>Bangunan Sipil Jembatan, Jalan Layang, Fly Over, dan Underpass</t>
        </is>
      </c>
      <c r="N102" t="inlineStr">
        <is>
          <t>K</t>
        </is>
      </c>
      <c r="O102" t="inlineStr">
        <is>
          <t>20230726</t>
        </is>
      </c>
      <c r="P102" t="inlineStr">
        <is>
          <t>Sumatera Selatan</t>
        </is>
      </c>
      <c r="Q102" t="inlineStr"/>
    </row>
    <row r="103">
      <c r="A103" t="inlineStr">
        <is>
          <t>MITRA BANGUNAN MUKOK</t>
        </is>
      </c>
      <c r="B103" t="inlineStr">
        <is>
          <t>Kab. Sanggau</t>
        </is>
      </c>
      <c r="C103" t="inlineStr">
        <is>
          <t>085705797717</t>
        </is>
      </c>
      <c r="D103" t="inlineStr">
        <is>
          <t>Mitrabangunanmukok@gmail.com</t>
        </is>
      </c>
      <c r="E103" t="inlineStr">
        <is>
          <t>https://lpjk.pu.go.id/search-badan-usaha-detail/TTU0cDhkN0RiRW1hUjhPK2VBUnUwZz09</t>
        </is>
      </c>
      <c r="F103" t="n">
        <v>1</v>
      </c>
      <c r="G103" t="inlineStr">
        <is>
          <t>BS004</t>
        </is>
      </c>
      <c r="H103" t="inlineStr">
        <is>
          <t>3 Oktober 2022</t>
        </is>
      </c>
      <c r="I103" s="2" t="n">
        <v>46240</v>
      </c>
      <c r="J103" t="inlineStr">
        <is>
          <t>Disetujui</t>
        </is>
      </c>
      <c r="K103" t="n">
        <v>30</v>
      </c>
      <c r="L103" t="inlineStr">
        <is>
          <t>6 Agustus 2026</t>
        </is>
      </c>
      <c r="M103" t="inlineStr">
        <is>
          <t>Konstruksi Jaringan Irigasi dan Drainase</t>
        </is>
      </c>
      <c r="N103" t="inlineStr">
        <is>
          <t>K</t>
        </is>
      </c>
      <c r="O103" t="inlineStr">
        <is>
          <t>20230807</t>
        </is>
      </c>
      <c r="P103" t="inlineStr">
        <is>
          <t>Kalimantan Barat</t>
        </is>
      </c>
      <c r="Q103" t="inlineStr"/>
    </row>
    <row r="104">
      <c r="A104" t="inlineStr">
        <is>
          <t>MITRA MULIA ANALITIKA</t>
        </is>
      </c>
      <c r="B104" t="inlineStr">
        <is>
          <t>Kab. Aceh Besar</t>
        </is>
      </c>
      <c r="C104" t="inlineStr">
        <is>
          <t>082288216008</t>
        </is>
      </c>
      <c r="D104" t="inlineStr">
        <is>
          <t>widodoagus137@gmail.com</t>
        </is>
      </c>
      <c r="E104" t="inlineStr">
        <is>
          <t>https://lpjk.pu.go.id/search-badan-usaha-detail/VExwVE9qVU1TSldtaUFtZGYyYTBDUT09</t>
        </is>
      </c>
      <c r="F104" t="n">
        <v>2</v>
      </c>
      <c r="G104" t="inlineStr">
        <is>
          <t>BG002, BG005</t>
        </is>
      </c>
      <c r="H104" t="inlineStr">
        <is>
          <t>20 Oktober 2015</t>
        </is>
      </c>
      <c r="I104" s="2" t="n">
        <v>46240</v>
      </c>
      <c r="J104" t="inlineStr">
        <is>
          <t>Disetujui</t>
        </is>
      </c>
      <c r="K104" t="n">
        <v>30</v>
      </c>
      <c r="L104" t="inlineStr">
        <is>
          <t>6 Agustus 2026</t>
        </is>
      </c>
      <c r="M104" t="inlineStr">
        <is>
          <t>Konstruksi Gedung Kesehatan, Konstruksi Gedung Perkantoran</t>
        </is>
      </c>
      <c r="N104" t="inlineStr">
        <is>
          <t>K</t>
        </is>
      </c>
      <c r="O104" t="inlineStr">
        <is>
          <t>20230803</t>
        </is>
      </c>
      <c r="P104" t="inlineStr">
        <is>
          <t>Aceh</t>
        </is>
      </c>
      <c r="Q104" t="inlineStr"/>
    </row>
    <row r="105">
      <c r="A105" t="inlineStr">
        <is>
          <t>MUKTI JAYA GLOBALINDO</t>
        </is>
      </c>
      <c r="B105" t="inlineStr">
        <is>
          <t>Kab. Sleman</t>
        </is>
      </c>
      <c r="C105" t="inlineStr">
        <is>
          <t>081326043536</t>
        </is>
      </c>
      <c r="D105" t="inlineStr">
        <is>
          <t>muktijayaglobalindo@gmail.com</t>
        </is>
      </c>
      <c r="E105" t="inlineStr">
        <is>
          <t>https://lpjk.pu.go.id/search-badan-usaha-detail/S2poS3FaRDFNNXdBSUxLVWhqaHB2UT09</t>
        </is>
      </c>
      <c r="F105" t="n">
        <v>1</v>
      </c>
      <c r="G105" t="inlineStr">
        <is>
          <t>BS001</t>
        </is>
      </c>
      <c r="H105" t="inlineStr">
        <is>
          <t>20 Juni 2023</t>
        </is>
      </c>
      <c r="I105" s="2" t="n">
        <v>46240</v>
      </c>
      <c r="J105" t="inlineStr">
        <is>
          <t>Disetujui</t>
        </is>
      </c>
      <c r="K105" t="n">
        <v>30</v>
      </c>
      <c r="L105" t="inlineStr">
        <is>
          <t>6 Agustus 2026</t>
        </is>
      </c>
      <c r="M105" t="inlineStr">
        <is>
          <t>Konstruksi Bangunan Sipil Jalan</t>
        </is>
      </c>
      <c r="N105" t="inlineStr">
        <is>
          <t>K</t>
        </is>
      </c>
      <c r="O105" t="inlineStr">
        <is>
          <t>20230805</t>
        </is>
      </c>
      <c r="P105" t="inlineStr">
        <is>
          <t>DI Yogyakarta</t>
        </is>
      </c>
      <c r="Q105" t="inlineStr"/>
    </row>
    <row r="106">
      <c r="A106" t="inlineStr">
        <is>
          <t>MUTIARA EKA PERKASA</t>
        </is>
      </c>
      <c r="B106" t="inlineStr">
        <is>
          <t>Kab. Sidoarjo</t>
        </is>
      </c>
      <c r="C106" t="inlineStr">
        <is>
          <t>081230711428</t>
        </is>
      </c>
      <c r="D106" t="inlineStr">
        <is>
          <t>cv.mutiara.eka.perkasa@gmail.com</t>
        </is>
      </c>
      <c r="E106" t="inlineStr">
        <is>
          <t>https://lpjk.pu.go.id/search-badan-usaha-detail/SjUweUZVd0ZiZys0ZHlPeTFhUmZ4UT09</t>
        </is>
      </c>
      <c r="F106" t="n">
        <v>2</v>
      </c>
      <c r="G106" t="inlineStr">
        <is>
          <t>BS001</t>
        </is>
      </c>
      <c r="H106" t="inlineStr">
        <is>
          <t>14 Desember 2007</t>
        </is>
      </c>
      <c r="I106" s="2" t="n">
        <v>46240</v>
      </c>
      <c r="J106" t="inlineStr">
        <is>
          <t>Disetujui</t>
        </is>
      </c>
      <c r="K106" t="n">
        <v>30</v>
      </c>
      <c r="L106" t="inlineStr">
        <is>
          <t>6 Agustus 2026</t>
        </is>
      </c>
      <c r="M106" t="inlineStr">
        <is>
          <t>Konstruksi Bangunan Sipil Jalan</t>
        </is>
      </c>
      <c r="N106" t="inlineStr">
        <is>
          <t>K</t>
        </is>
      </c>
      <c r="O106" t="inlineStr">
        <is>
          <t>20230803</t>
        </is>
      </c>
      <c r="P106" t="inlineStr">
        <is>
          <t>Jawa Timur</t>
        </is>
      </c>
      <c r="Q106" t="inlineStr"/>
    </row>
    <row r="107">
      <c r="A107" t="inlineStr">
        <is>
          <t>MUTIARA HITAM</t>
        </is>
      </c>
      <c r="B107" t="inlineStr">
        <is>
          <t>Kab. Bone</t>
        </is>
      </c>
      <c r="C107" t="inlineStr">
        <is>
          <t>082194258350</t>
        </is>
      </c>
      <c r="D107" t="inlineStr">
        <is>
          <t>Mutiara.hitam074@gmail.com</t>
        </is>
      </c>
      <c r="E107" t="inlineStr">
        <is>
          <t>https://lpjk.pu.go.id/search-badan-usaha-detail/RFgxSEpMQ2U1WnlrTlUvUUUzMEFpUT09</t>
        </is>
      </c>
      <c r="F107" t="n">
        <v>2</v>
      </c>
      <c r="G107" t="inlineStr">
        <is>
          <t>BS004</t>
        </is>
      </c>
      <c r="H107" t="inlineStr">
        <is>
          <t>8 Januari 2014</t>
        </is>
      </c>
      <c r="I107" s="2" t="n">
        <v>46240</v>
      </c>
      <c r="J107" t="inlineStr">
        <is>
          <t>Disetujui</t>
        </is>
      </c>
      <c r="K107" t="n">
        <v>30</v>
      </c>
      <c r="L107" t="inlineStr">
        <is>
          <t>6 Agustus 2026</t>
        </is>
      </c>
      <c r="M107" t="inlineStr">
        <is>
          <t>Konstruksi Jaringan Irigasi dan Drainase</t>
        </is>
      </c>
      <c r="N107" t="inlineStr">
        <is>
          <t>K</t>
        </is>
      </c>
      <c r="O107" t="inlineStr">
        <is>
          <t>20230807</t>
        </is>
      </c>
      <c r="P107" t="inlineStr">
        <is>
          <t>Sulawesi Selatan</t>
        </is>
      </c>
      <c r="Q107" t="inlineStr"/>
    </row>
    <row r="108">
      <c r="A108" t="inlineStr">
        <is>
          <t>MUTIARA INTI PERSADA</t>
        </is>
      </c>
      <c r="B108" t="inlineStr">
        <is>
          <t>Kab. Bangkalan</t>
        </is>
      </c>
      <c r="C108" t="inlineStr">
        <is>
          <t>082131033234</t>
        </is>
      </c>
      <c r="D108" t="inlineStr">
        <is>
          <t>osscvmip@gmail.com</t>
        </is>
      </c>
      <c r="E108" t="inlineStr">
        <is>
          <t>https://lpjk.pu.go.id/search-badan-usaha-detail/SWhsdGVjcFppU1N3S09YV2QvNEU2dz09</t>
        </is>
      </c>
      <c r="F108" t="n">
        <v>4</v>
      </c>
      <c r="G108" t="inlineStr">
        <is>
          <t>BG006, BG009</t>
        </is>
      </c>
      <c r="H108" t="inlineStr">
        <is>
          <t>9 Februari 2023</t>
        </is>
      </c>
      <c r="I108" s="2" t="n">
        <v>46240</v>
      </c>
      <c r="J108" t="inlineStr">
        <is>
          <t>Disetujui</t>
        </is>
      </c>
      <c r="K108" t="n">
        <v>30</v>
      </c>
      <c r="L108" t="inlineStr">
        <is>
          <t>6 Agustus 2026</t>
        </is>
      </c>
      <c r="M108" t="inlineStr">
        <is>
          <t>Konstruksi Gedung Lainnya, Konstruksi Gedung Pendidikan</t>
        </is>
      </c>
      <c r="N108" t="inlineStr">
        <is>
          <t>K</t>
        </is>
      </c>
      <c r="O108" t="inlineStr">
        <is>
          <t>20230807</t>
        </is>
      </c>
      <c r="P108" t="inlineStr">
        <is>
          <t>Jawa Timur</t>
        </is>
      </c>
      <c r="Q108" t="inlineStr"/>
    </row>
    <row r="109">
      <c r="A109" t="inlineStr">
        <is>
          <t>NOVITA RENSA NR</t>
        </is>
      </c>
      <c r="B109" t="inlineStr">
        <is>
          <t>Kota Gunungsitoli</t>
        </is>
      </c>
      <c r="C109" t="inlineStr">
        <is>
          <t>081264643692</t>
        </is>
      </c>
      <c r="D109" t="inlineStr">
        <is>
          <t>cvnovitarensanr@gmail.com</t>
        </is>
      </c>
      <c r="E109" t="inlineStr">
        <is>
          <t>https://lpjk.pu.go.id/search-badan-usaha-detail/NlBZdUlxaUZjY3ZPM1l0ZUlnZEtvUT09</t>
        </is>
      </c>
      <c r="F109" t="n">
        <v>1</v>
      </c>
      <c r="G109" t="inlineStr">
        <is>
          <t>BS001</t>
        </is>
      </c>
      <c r="H109" t="inlineStr">
        <is>
          <t>18 Juli 2019</t>
        </is>
      </c>
      <c r="I109" s="2" t="n">
        <v>46240</v>
      </c>
      <c r="J109" t="inlineStr">
        <is>
          <t>Disetujui</t>
        </is>
      </c>
      <c r="K109" t="n">
        <v>30</v>
      </c>
      <c r="L109" t="inlineStr">
        <is>
          <t>6 Agustus 2026</t>
        </is>
      </c>
      <c r="M109" t="inlineStr">
        <is>
          <t>Konstruksi Bangunan Sipil Jalan</t>
        </is>
      </c>
      <c r="N109" t="inlineStr">
        <is>
          <t>K</t>
        </is>
      </c>
      <c r="O109" t="inlineStr">
        <is>
          <t>20230801</t>
        </is>
      </c>
      <c r="P109" t="inlineStr">
        <is>
          <t>Sumatera Utara</t>
        </is>
      </c>
      <c r="Q109" t="inlineStr"/>
    </row>
    <row r="110">
      <c r="A110" t="inlineStr">
        <is>
          <t>NUR ALAM SEMESTA</t>
        </is>
      </c>
      <c r="B110" t="inlineStr">
        <is>
          <t>Kab. Tapin</t>
        </is>
      </c>
      <c r="C110" t="inlineStr">
        <is>
          <t>081258512082</t>
        </is>
      </c>
      <c r="D110" t="inlineStr">
        <is>
          <t>cv.nuralamsemesta@gmail.com</t>
        </is>
      </c>
      <c r="E110" t="inlineStr">
        <is>
          <t>https://lpjk.pu.go.id/search-badan-usaha-detail/U0RpR3NidDNFS3cyeUxjNmlUWjBXQT09</t>
        </is>
      </c>
      <c r="F110" t="n">
        <v>2</v>
      </c>
      <c r="G110" t="inlineStr">
        <is>
          <t>BG002, BG004</t>
        </is>
      </c>
      <c r="H110" t="inlineStr">
        <is>
          <t>22 Juni 2023</t>
        </is>
      </c>
      <c r="I110" s="2" t="n">
        <v>46240</v>
      </c>
      <c r="J110" t="inlineStr">
        <is>
          <t>Disetujui</t>
        </is>
      </c>
      <c r="K110" t="n">
        <v>30</v>
      </c>
      <c r="L110" t="inlineStr">
        <is>
          <t>6 Agustus 2026</t>
        </is>
      </c>
      <c r="M110" t="inlineStr">
        <is>
          <t>Konstruksi Gedung Perbelanjaan, Konstruksi Gedung Perkantoran</t>
        </is>
      </c>
      <c r="N110" t="inlineStr">
        <is>
          <t>K</t>
        </is>
      </c>
      <c r="O110" t="inlineStr">
        <is>
          <t>20230801</t>
        </is>
      </c>
      <c r="P110" t="inlineStr">
        <is>
          <t>Kalimantan Selatan</t>
        </is>
      </c>
      <c r="Q110" t="inlineStr"/>
    </row>
    <row r="111">
      <c r="A111" t="inlineStr">
        <is>
          <t>PANCA EKAWIRA SANJAYA</t>
        </is>
      </c>
      <c r="B111" t="inlineStr">
        <is>
          <t>Kota Adm. Jakarta Selatan</t>
        </is>
      </c>
      <c r="C111" t="inlineStr">
        <is>
          <t>081300000000</t>
        </is>
      </c>
      <c r="D111" t="inlineStr">
        <is>
          <t>pancaekawirasanjaya@gmail.com</t>
        </is>
      </c>
      <c r="E111" t="inlineStr">
        <is>
          <t>https://lpjk.pu.go.id/search-badan-usaha-detail/VldRRUVPOUVxYUpNbyt3eFJWUEFTWG95dHpGU2xWNGxNaTRqd2drM0NCUT0</t>
        </is>
      </c>
      <c r="F111" t="n">
        <v>1</v>
      </c>
      <c r="G111" t="inlineStr">
        <is>
          <t>BG001</t>
        </is>
      </c>
      <c r="H111" t="inlineStr">
        <is>
          <t>1 Oktober 2024</t>
        </is>
      </c>
      <c r="I111" s="2" t="n">
        <v>46240</v>
      </c>
      <c r="J111" t="inlineStr">
        <is>
          <t>Disetujui</t>
        </is>
      </c>
      <c r="K111" t="n">
        <v>30</v>
      </c>
      <c r="L111" t="inlineStr">
        <is>
          <t>6 Agustus 2026</t>
        </is>
      </c>
      <c r="M111" t="inlineStr">
        <is>
          <t>Konstruksi Gedung Hunian</t>
        </is>
      </c>
      <c r="N111" t="inlineStr">
        <is>
          <t>M</t>
        </is>
      </c>
      <c r="O111" t="inlineStr">
        <is>
          <t>20230803</t>
        </is>
      </c>
      <c r="P111" t="inlineStr">
        <is>
          <t>DKI Jakarta</t>
        </is>
      </c>
      <c r="Q111" t="inlineStr"/>
    </row>
    <row r="112">
      <c r="A112" t="inlineStr">
        <is>
          <t>PANGADEGAN</t>
        </is>
      </c>
      <c r="B112" t="inlineStr">
        <is>
          <t>Kab. Sumedang</t>
        </is>
      </c>
      <c r="C112" t="inlineStr">
        <is>
          <t>0818429009</t>
        </is>
      </c>
      <c r="D112" t="inlineStr">
        <is>
          <t>yeyethidayat18@gmail.com</t>
        </is>
      </c>
      <c r="E112" t="inlineStr">
        <is>
          <t>https://lpjk.pu.go.id/search-badan-usaha-detail/Yi8xdElCQlBsS2E3RzhyRmtYKzgwQT09</t>
        </is>
      </c>
      <c r="F112" t="n">
        <v>1</v>
      </c>
      <c r="G112" t="inlineStr">
        <is>
          <t>BG005</t>
        </is>
      </c>
      <c r="H112" t="inlineStr">
        <is>
          <t>24 September 2021</t>
        </is>
      </c>
      <c r="I112" s="2" t="n">
        <v>46240</v>
      </c>
      <c r="J112" t="inlineStr">
        <is>
          <t>Disetujui</t>
        </is>
      </c>
      <c r="K112" t="n">
        <v>30</v>
      </c>
      <c r="L112" t="inlineStr">
        <is>
          <t>6 Agustus 2026</t>
        </is>
      </c>
      <c r="M112" t="inlineStr">
        <is>
          <t>Konstruksi Gedung Kesehatan</t>
        </is>
      </c>
      <c r="N112" t="inlineStr">
        <is>
          <t>K</t>
        </is>
      </c>
      <c r="O112" t="inlineStr">
        <is>
          <t>20230727</t>
        </is>
      </c>
      <c r="P112" t="inlineStr">
        <is>
          <t>Jawa Barat</t>
        </is>
      </c>
      <c r="Q112" t="inlineStr"/>
    </row>
    <row r="113">
      <c r="A113" t="inlineStr">
        <is>
          <t>PARSAMEAN NAULI INTI PERSADA</t>
        </is>
      </c>
      <c r="B113" t="inlineStr">
        <is>
          <t>Kota Medan</t>
        </is>
      </c>
      <c r="C113" t="inlineStr">
        <is>
          <t>085262127774</t>
        </is>
      </c>
      <c r="D113" t="inlineStr">
        <is>
          <t>parsameannauli_intipersada@yahoo.com</t>
        </is>
      </c>
      <c r="E113" t="inlineStr">
        <is>
          <t>https://lpjk.pu.go.id/search-badan-usaha-detail/Tlc1RzhBRTZFbS9xRTd5MkJhQnA4QT09</t>
        </is>
      </c>
      <c r="F113" t="n">
        <v>1</v>
      </c>
      <c r="G113" t="inlineStr">
        <is>
          <t>BG005</t>
        </is>
      </c>
      <c r="H113" t="inlineStr">
        <is>
          <t>18 Februari 2016</t>
        </is>
      </c>
      <c r="I113" s="2" t="n">
        <v>46240</v>
      </c>
      <c r="J113" t="inlineStr">
        <is>
          <t>Pembekuan</t>
        </is>
      </c>
      <c r="K113" t="n">
        <v>30</v>
      </c>
      <c r="L113" t="inlineStr">
        <is>
          <t>6 Agustus 2026</t>
        </is>
      </c>
      <c r="M113" t="inlineStr">
        <is>
          <t>Konstruksi Gedung Kesehatan</t>
        </is>
      </c>
      <c r="N113" t="inlineStr">
        <is>
          <t>M</t>
        </is>
      </c>
      <c r="O113" t="inlineStr">
        <is>
          <t>20230801</t>
        </is>
      </c>
      <c r="P113" t="inlineStr">
        <is>
          <t>Sumatera Utara</t>
        </is>
      </c>
      <c r="Q113" t="inlineStr"/>
    </row>
    <row r="114">
      <c r="A114" t="inlineStr">
        <is>
          <t>PENTAGONAL CONSULTANT</t>
        </is>
      </c>
      <c r="B114" t="inlineStr">
        <is>
          <t>Kota Banda Aceh</t>
        </is>
      </c>
      <c r="C114" t="inlineStr">
        <is>
          <t>085372997889</t>
        </is>
      </c>
      <c r="D114" t="inlineStr">
        <is>
          <t>pentagonal.cv@gmail.com</t>
        </is>
      </c>
      <c r="E114" t="inlineStr">
        <is>
          <t>https://lpjk.pu.go.id/search-badan-usaha-detail/eWZtdll2dTMvUjlZOFpVaEZ2aGJVdz09</t>
        </is>
      </c>
      <c r="F114" t="n">
        <v>4</v>
      </c>
      <c r="G114" t="inlineStr">
        <is>
          <t>AR001, AR002, AR003, RK001</t>
        </is>
      </c>
      <c r="H114" t="inlineStr">
        <is>
          <t>8 Oktober 2015</t>
        </is>
      </c>
      <c r="I114" s="2" t="n">
        <v>46240</v>
      </c>
      <c r="J114" t="inlineStr">
        <is>
          <t>Disetujui</t>
        </is>
      </c>
      <c r="K114" t="n">
        <v>30</v>
      </c>
      <c r="L114" t="inlineStr">
        <is>
          <t>6 Agustus 2026</t>
        </is>
      </c>
      <c r="M114" t="inlineStr">
        <is>
          <t>Jasa Arsitektural Bangunan Gedung Hunian dan Non Hunian, Jasa Arsitektural Lainnya, Jasa Desain Interior pada Bangunan Gedung dan Bangunan Sipil, Jasa Rekayasa Konstruksi Bangunan Gedung Hunian dan Non Hunian</t>
        </is>
      </c>
      <c r="N114" t="inlineStr">
        <is>
          <t>K</t>
        </is>
      </c>
      <c r="O114" t="inlineStr">
        <is>
          <t>20230726</t>
        </is>
      </c>
      <c r="P114" t="inlineStr">
        <is>
          <t>Aceh</t>
        </is>
      </c>
      <c r="Q114" t="inlineStr"/>
    </row>
    <row r="115">
      <c r="A115" t="inlineStr">
        <is>
          <t>PERMANA PUTRA</t>
        </is>
      </c>
      <c r="B115" t="inlineStr">
        <is>
          <t>Kab. Bantul</t>
        </is>
      </c>
      <c r="C115" t="inlineStr">
        <is>
          <t>082249332550</t>
        </is>
      </c>
      <c r="D115" t="inlineStr">
        <is>
          <t>a.widarno777@gmail.com</t>
        </is>
      </c>
      <c r="E115" t="inlineStr">
        <is>
          <t>https://lpjk.pu.go.id/search-badan-usaha-detail/ZWNsNXZQa3BnQ2xmb0VXeWp2WGE0QT09</t>
        </is>
      </c>
      <c r="F115" t="n">
        <v>2</v>
      </c>
      <c r="G115" t="inlineStr">
        <is>
          <t>BG004, BS002</t>
        </is>
      </c>
      <c r="H115" t="inlineStr">
        <is>
          <t>21 Agustus 2019</t>
        </is>
      </c>
      <c r="I115" s="2" t="n">
        <v>46240</v>
      </c>
      <c r="J115" t="inlineStr">
        <is>
          <t>Validasi</t>
        </is>
      </c>
      <c r="K115" t="n">
        <v>30</v>
      </c>
      <c r="L115" t="inlineStr">
        <is>
          <t>6 Agustus 2026</t>
        </is>
      </c>
      <c r="M115" t="inlineStr">
        <is>
          <t>Bangunan Sipil Jembatan, Jalan Layang, Fly Over, dan Underpass, Konstruksi Gedung Perbelanjaan</t>
        </is>
      </c>
      <c r="N115" t="inlineStr">
        <is>
          <t>K</t>
        </is>
      </c>
      <c r="O115" t="inlineStr">
        <is>
          <t>20230726</t>
        </is>
      </c>
      <c r="P115" t="inlineStr">
        <is>
          <t>DI Yogyakarta</t>
        </is>
      </c>
      <c r="Q115" t="inlineStr"/>
    </row>
    <row r="116">
      <c r="A116" t="inlineStr">
        <is>
          <t>PRABU SAKTI MANDRAGUNA</t>
        </is>
      </c>
      <c r="B116" t="inlineStr">
        <is>
          <t>Kota Prabumulih</t>
        </is>
      </c>
      <c r="C116" t="inlineStr">
        <is>
          <t>085367389669</t>
        </is>
      </c>
      <c r="D116" t="inlineStr">
        <is>
          <t>prabusaktimandraguna666@gmail.com</t>
        </is>
      </c>
      <c r="E116" t="inlineStr">
        <is>
          <t>https://lpjk.pu.go.id/search-badan-usaha-detail/QjZFY2tCdXpNZ285bThtNlNmZzFsQT09</t>
        </is>
      </c>
      <c r="F116" t="n">
        <v>3</v>
      </c>
      <c r="G116" t="inlineStr">
        <is>
          <t>BG001, BG002, BS004</t>
        </is>
      </c>
      <c r="H116" t="inlineStr">
        <is>
          <t>23 Maret 2023</t>
        </is>
      </c>
      <c r="I116" s="2" t="n">
        <v>46240</v>
      </c>
      <c r="J116" t="inlineStr">
        <is>
          <t>Disetujui, Pencabutan</t>
        </is>
      </c>
      <c r="K116" t="n">
        <v>30</v>
      </c>
      <c r="L116" t="inlineStr">
        <is>
          <t>6 Agustus 2026</t>
        </is>
      </c>
      <c r="M116" t="inlineStr">
        <is>
          <t>Konstruksi Gedung Hunian, Konstruksi Gedung Perkantoran, Konstruksi Jaringan Irigasi dan Drainase</t>
        </is>
      </c>
      <c r="N116" t="inlineStr">
        <is>
          <t>K</t>
        </is>
      </c>
      <c r="O116" t="inlineStr">
        <is>
          <t>20230802</t>
        </is>
      </c>
      <c r="P116" t="inlineStr">
        <is>
          <t>Sumatera Selatan</t>
        </is>
      </c>
      <c r="Q116" t="inlineStr"/>
    </row>
    <row r="117">
      <c r="A117" t="inlineStr">
        <is>
          <t>PRIMA SHINA CAHAYA</t>
        </is>
      </c>
      <c r="B117" t="inlineStr">
        <is>
          <t>Kota Bandung</t>
        </is>
      </c>
      <c r="C117" t="inlineStr">
        <is>
          <t>08112030367</t>
        </is>
      </c>
      <c r="D117" t="inlineStr">
        <is>
          <t>primashina.pt@gmail.com</t>
        </is>
      </c>
      <c r="E117" t="inlineStr">
        <is>
          <t>https://lpjk.pu.go.id/search-badan-usaha-detail/VklmNW1PZm9wV29NVlRvR2QwK09vUT09</t>
        </is>
      </c>
      <c r="F117" t="n">
        <v>1</v>
      </c>
      <c r="G117" t="inlineStr">
        <is>
          <t>BG009</t>
        </is>
      </c>
      <c r="H117" t="inlineStr">
        <is>
          <t>2 Desember 2014</t>
        </is>
      </c>
      <c r="I117" s="2" t="n">
        <v>46240</v>
      </c>
      <c r="J117" t="inlineStr">
        <is>
          <t>Disetujui</t>
        </is>
      </c>
      <c r="K117" t="n">
        <v>30</v>
      </c>
      <c r="L117" t="inlineStr">
        <is>
          <t>6 Agustus 2026</t>
        </is>
      </c>
      <c r="M117" t="inlineStr">
        <is>
          <t>Konstruksi Gedung Lainnya</t>
        </is>
      </c>
      <c r="N117" t="inlineStr">
        <is>
          <t>M</t>
        </is>
      </c>
      <c r="O117" t="inlineStr">
        <is>
          <t>20230801</t>
        </is>
      </c>
      <c r="P117" t="inlineStr">
        <is>
          <t>Jawa Barat</t>
        </is>
      </c>
      <c r="Q117" t="inlineStr"/>
    </row>
    <row r="118">
      <c r="A118" t="inlineStr">
        <is>
          <t>PRIMA SINDO</t>
        </is>
      </c>
      <c r="B118" t="inlineStr">
        <is>
          <t>Kota Madiun</t>
        </is>
      </c>
      <c r="C118" t="inlineStr">
        <is>
          <t>081259466271</t>
        </is>
      </c>
      <c r="D118" t="inlineStr">
        <is>
          <t>cv.primasindo@gmail.com</t>
        </is>
      </c>
      <c r="E118" t="inlineStr">
        <is>
          <t>https://lpjk.pu.go.id/search-badan-usaha-detail/R29TS3RvMXA2R25HUFJML2VvVFppdz09</t>
        </is>
      </c>
      <c r="F118" t="n">
        <v>1</v>
      </c>
      <c r="G118" t="inlineStr">
        <is>
          <t>BS001</t>
        </is>
      </c>
      <c r="H118" t="inlineStr">
        <is>
          <t>21 November 2001</t>
        </is>
      </c>
      <c r="I118" s="2" t="n">
        <v>46240</v>
      </c>
      <c r="J118" t="inlineStr">
        <is>
          <t>Disetujui</t>
        </is>
      </c>
      <c r="K118" t="n">
        <v>30</v>
      </c>
      <c r="L118" t="inlineStr">
        <is>
          <t>6 Agustus 2026</t>
        </is>
      </c>
      <c r="M118" t="inlineStr">
        <is>
          <t>Konstruksi Bangunan Sipil Jalan</t>
        </is>
      </c>
      <c r="N118" t="inlineStr">
        <is>
          <t>K</t>
        </is>
      </c>
      <c r="O118" t="inlineStr">
        <is>
          <t>20230703</t>
        </is>
      </c>
      <c r="P118" t="inlineStr">
        <is>
          <t>Jawa Timur</t>
        </is>
      </c>
      <c r="Q118" t="inlineStr"/>
    </row>
    <row r="119">
      <c r="A119" t="inlineStr">
        <is>
          <t>PUSAKA ALAM SAKTI</t>
        </is>
      </c>
      <c r="B119" t="inlineStr">
        <is>
          <t>Kab. Pamekasan</t>
        </is>
      </c>
      <c r="C119" t="inlineStr">
        <is>
          <t>087838880189</t>
        </is>
      </c>
      <c r="D119" t="inlineStr">
        <is>
          <t>pusaka.alamsakti@gmail.com</t>
        </is>
      </c>
      <c r="E119" t="inlineStr">
        <is>
          <t>https://lpjk.pu.go.id/search-badan-usaha-detail/V05VZW5HTkNlRzNDSjZ6U1JmRGtEUT09</t>
        </is>
      </c>
      <c r="F119" t="n">
        <v>1</v>
      </c>
      <c r="G119" t="inlineStr">
        <is>
          <t>BS004</t>
        </is>
      </c>
      <c r="H119" t="inlineStr">
        <is>
          <t>12 Juli 2023</t>
        </is>
      </c>
      <c r="I119" s="2" t="n">
        <v>46240</v>
      </c>
      <c r="J119" t="inlineStr">
        <is>
          <t>Disetujui</t>
        </is>
      </c>
      <c r="K119" t="n">
        <v>30</v>
      </c>
      <c r="L119" t="inlineStr">
        <is>
          <t>6 Agustus 2026</t>
        </is>
      </c>
      <c r="M119" t="inlineStr">
        <is>
          <t>Konstruksi Jaringan Irigasi dan Drainase</t>
        </is>
      </c>
      <c r="N119" t="inlineStr">
        <is>
          <t>K</t>
        </is>
      </c>
      <c r="O119" t="inlineStr">
        <is>
          <t>20230720</t>
        </is>
      </c>
      <c r="P119" t="inlineStr">
        <is>
          <t>Jawa Timur</t>
        </is>
      </c>
      <c r="Q119" t="inlineStr"/>
    </row>
    <row r="120">
      <c r="A120" t="inlineStr">
        <is>
          <t>PUTRA AGUNG PERMAI</t>
        </is>
      </c>
      <c r="B120" t="inlineStr">
        <is>
          <t>Kota Adm. Jakarta Barat</t>
        </is>
      </c>
      <c r="C120" t="inlineStr">
        <is>
          <t>0216289328</t>
        </is>
      </c>
      <c r="D120" t="inlineStr">
        <is>
          <t>putraagungpermai@gmail.com</t>
        </is>
      </c>
      <c r="E120" t="inlineStr">
        <is>
          <t>https://lpjk.pu.go.id/search-badan-usaha-detail/US9XandaTCt1TDlKaXd6ZWczN0Z3Zz09</t>
        </is>
      </c>
      <c r="F120" t="n">
        <v>1</v>
      </c>
      <c r="G120" t="inlineStr">
        <is>
          <t>BG001</t>
        </is>
      </c>
      <c r="H120" t="inlineStr">
        <is>
          <t>10 Agustus 2020</t>
        </is>
      </c>
      <c r="I120" s="2" t="n">
        <v>46240</v>
      </c>
      <c r="J120" t="inlineStr">
        <is>
          <t>Disetujui</t>
        </is>
      </c>
      <c r="K120" t="n">
        <v>30</v>
      </c>
      <c r="L120" t="inlineStr">
        <is>
          <t>6 Agustus 2026</t>
        </is>
      </c>
      <c r="M120" t="inlineStr">
        <is>
          <t>Konstruksi Gedung Hunian</t>
        </is>
      </c>
      <c r="N120" t="inlineStr">
        <is>
          <t>K</t>
        </is>
      </c>
      <c r="O120" t="inlineStr">
        <is>
          <t>20230803</t>
        </is>
      </c>
      <c r="P120" t="inlineStr">
        <is>
          <t>DKI Jakarta</t>
        </is>
      </c>
      <c r="Q120" t="inlineStr"/>
    </row>
    <row r="121">
      <c r="A121" t="inlineStr">
        <is>
          <t>PUTRA CHANDRA KARYA</t>
        </is>
      </c>
      <c r="B121" t="inlineStr">
        <is>
          <t>Kab. Sidoarjo</t>
        </is>
      </c>
      <c r="C121" t="inlineStr">
        <is>
          <t>0318918240</t>
        </is>
      </c>
      <c r="D121" t="inlineStr">
        <is>
          <t>putra.chandra650@gmail.com</t>
        </is>
      </c>
      <c r="E121" t="inlineStr">
        <is>
          <t>https://lpjk.pu.go.id/search-badan-usaha-detail/TDhJM0ZPNnlVMVdiOE1oR1ZSS1ErZz09</t>
        </is>
      </c>
      <c r="F121" t="n">
        <v>2</v>
      </c>
      <c r="G121" t="inlineStr">
        <is>
          <t>BG001, BG009</t>
        </is>
      </c>
      <c r="H121" t="inlineStr">
        <is>
          <t>4 Agustus 2012</t>
        </is>
      </c>
      <c r="I121" s="2" t="n">
        <v>46240</v>
      </c>
      <c r="J121" t="inlineStr">
        <is>
          <t>Disetujui</t>
        </is>
      </c>
      <c r="K121" t="n">
        <v>30</v>
      </c>
      <c r="L121" t="inlineStr">
        <is>
          <t>6 Agustus 2026</t>
        </is>
      </c>
      <c r="M121" t="inlineStr">
        <is>
          <t>Konstruksi Gedung Hunian, Konstruksi Gedung Lainnya</t>
        </is>
      </c>
      <c r="N121" t="inlineStr">
        <is>
          <t>K</t>
        </is>
      </c>
      <c r="O121" t="inlineStr">
        <is>
          <t>20230803</t>
        </is>
      </c>
      <c r="P121" t="inlineStr">
        <is>
          <t>Jawa Timur</t>
        </is>
      </c>
      <c r="Q121" t="inlineStr"/>
    </row>
    <row r="122">
      <c r="A122" t="inlineStr">
        <is>
          <t>PUTRA INDONESIA UTAMA</t>
        </is>
      </c>
      <c r="B122" t="inlineStr">
        <is>
          <t>Kab. Tulungagung</t>
        </is>
      </c>
      <c r="C122" t="inlineStr">
        <is>
          <t>085233995366</t>
        </is>
      </c>
      <c r="D122" t="inlineStr">
        <is>
          <t>putraindonesia.cv@gmail.com</t>
        </is>
      </c>
      <c r="E122" t="inlineStr">
        <is>
          <t>https://lpjk.pu.go.id/search-badan-usaha-detail/NHRuODNGOXBvVndYWGxIK1BoaWNjZz09</t>
        </is>
      </c>
      <c r="F122" t="n">
        <v>1</v>
      </c>
      <c r="G122" t="inlineStr">
        <is>
          <t>BG006</t>
        </is>
      </c>
      <c r="H122" t="inlineStr">
        <is>
          <t>14 April 2008</t>
        </is>
      </c>
      <c r="I122" s="2" t="n">
        <v>46240</v>
      </c>
      <c r="J122" t="inlineStr">
        <is>
          <t>Disetujui</t>
        </is>
      </c>
      <c r="K122" t="n">
        <v>30</v>
      </c>
      <c r="L122" t="inlineStr">
        <is>
          <t>6 Agustus 2026</t>
        </is>
      </c>
      <c r="M122" t="inlineStr">
        <is>
          <t>Konstruksi Gedung Pendidikan</t>
        </is>
      </c>
      <c r="N122" t="inlineStr">
        <is>
          <t>K</t>
        </is>
      </c>
      <c r="O122" t="inlineStr">
        <is>
          <t>20230802</t>
        </is>
      </c>
      <c r="P122" t="inlineStr">
        <is>
          <t>Jawa Timur</t>
        </is>
      </c>
      <c r="Q122" t="inlineStr"/>
    </row>
    <row r="123">
      <c r="A123" t="inlineStr">
        <is>
          <t>PUTRA JAYA MANDIRI</t>
        </is>
      </c>
      <c r="B123" t="inlineStr">
        <is>
          <t>Kab. Sumedang</t>
        </is>
      </c>
      <c r="C123" t="inlineStr">
        <is>
          <t>0812 1414 6442</t>
        </is>
      </c>
      <c r="D123" t="inlineStr">
        <is>
          <t>cvputrajayamandiri9@gmail.com</t>
        </is>
      </c>
      <c r="E123" t="inlineStr">
        <is>
          <t>https://lpjk.pu.go.id/search-badan-usaha-detail/VVpqdWJ5K1I1dzlzNXpFQmNvMUNlZz09</t>
        </is>
      </c>
      <c r="F123" t="n">
        <v>1</v>
      </c>
      <c r="G123" t="inlineStr">
        <is>
          <t>BS004</t>
        </is>
      </c>
      <c r="H123" t="inlineStr">
        <is>
          <t>14 November 2016</t>
        </is>
      </c>
      <c r="I123" s="2" t="n">
        <v>46240</v>
      </c>
      <c r="J123" t="inlineStr">
        <is>
          <t>Disetujui</t>
        </is>
      </c>
      <c r="K123" t="n">
        <v>30</v>
      </c>
      <c r="L123" t="inlineStr">
        <is>
          <t>6 Agustus 2026</t>
        </is>
      </c>
      <c r="M123" t="inlineStr">
        <is>
          <t>Konstruksi Jaringan Irigasi dan Drainase</t>
        </is>
      </c>
      <c r="N123" t="inlineStr">
        <is>
          <t>K</t>
        </is>
      </c>
      <c r="O123" t="inlineStr">
        <is>
          <t>20230802</t>
        </is>
      </c>
      <c r="P123" t="inlineStr">
        <is>
          <t>Jawa Barat</t>
        </is>
      </c>
      <c r="Q123" t="inlineStr"/>
    </row>
    <row r="124">
      <c r="A124" t="inlineStr">
        <is>
          <t>PUTRA KOTA SELARAS</t>
        </is>
      </c>
      <c r="B124" t="inlineStr">
        <is>
          <t>Kota Pematangsiantar</t>
        </is>
      </c>
      <c r="C124" t="inlineStr">
        <is>
          <t>811526060</t>
        </is>
      </c>
      <c r="D124" t="inlineStr">
        <is>
          <t>7putraselaras@gmail.com</t>
        </is>
      </c>
      <c r="E124" t="inlineStr">
        <is>
          <t>https://lpjk.pu.go.id/search-badan-usaha-detail/cGNPdXZRNzNabUFFWk01aEgwbUNpUT09</t>
        </is>
      </c>
      <c r="F124" t="n">
        <v>1</v>
      </c>
      <c r="G124" t="inlineStr">
        <is>
          <t>BG006</t>
        </is>
      </c>
      <c r="H124" t="inlineStr">
        <is>
          <t>30 November 2001</t>
        </is>
      </c>
      <c r="I124" s="2" t="n">
        <v>46240</v>
      </c>
      <c r="J124" t="inlineStr">
        <is>
          <t>Disetujui</t>
        </is>
      </c>
      <c r="K124" t="n">
        <v>30</v>
      </c>
      <c r="L124" t="inlineStr">
        <is>
          <t>6 Agustus 2026</t>
        </is>
      </c>
      <c r="M124" t="inlineStr">
        <is>
          <t>Konstruksi Gedung Pendidikan</t>
        </is>
      </c>
      <c r="N124" t="inlineStr">
        <is>
          <t>K</t>
        </is>
      </c>
      <c r="O124" t="inlineStr">
        <is>
          <t>20230730</t>
        </is>
      </c>
      <c r="P124" t="inlineStr">
        <is>
          <t>Sumatera Utara</t>
        </is>
      </c>
      <c r="Q124" t="inlineStr"/>
    </row>
    <row r="125">
      <c r="A125" t="inlineStr">
        <is>
          <t>PUTRI SEJATI</t>
        </is>
      </c>
      <c r="B125" t="inlineStr">
        <is>
          <t>Kab. Cianjur</t>
        </is>
      </c>
      <c r="C125" t="inlineStr">
        <is>
          <t>081909009001</t>
        </is>
      </c>
      <c r="D125" t="inlineStr">
        <is>
          <t>cvputrisejati@yahoo.com</t>
        </is>
      </c>
      <c r="E125" t="inlineStr">
        <is>
          <t>https://lpjk.pu.go.id/search-badan-usaha-detail/WlU3dnc1aFZ4akJwbUxOdDMvYWZIUT09</t>
        </is>
      </c>
      <c r="F125" t="n">
        <v>1</v>
      </c>
      <c r="G125" t="inlineStr">
        <is>
          <t>BG009</t>
        </is>
      </c>
      <c r="H125" t="inlineStr">
        <is>
          <t>2 Juli 2001</t>
        </is>
      </c>
      <c r="I125" s="2" t="n">
        <v>46240</v>
      </c>
      <c r="J125" t="inlineStr">
        <is>
          <t>Disetujui</t>
        </is>
      </c>
      <c r="K125" t="n">
        <v>30</v>
      </c>
      <c r="L125" t="inlineStr">
        <is>
          <t>6 Agustus 2026</t>
        </is>
      </c>
      <c r="M125" t="inlineStr">
        <is>
          <t>Konstruksi Gedung Lainnya</t>
        </is>
      </c>
      <c r="N125" t="inlineStr">
        <is>
          <t>K</t>
        </is>
      </c>
      <c r="O125" t="inlineStr">
        <is>
          <t>20230807</t>
        </is>
      </c>
      <c r="P125" t="inlineStr">
        <is>
          <t>Jawa Barat</t>
        </is>
      </c>
      <c r="Q125" t="inlineStr"/>
    </row>
    <row r="126">
      <c r="A126" t="inlineStr">
        <is>
          <t>RADMILA PARADUTA</t>
        </is>
      </c>
      <c r="B126" t="inlineStr">
        <is>
          <t>Kab. Bangkalan</t>
        </is>
      </c>
      <c r="C126" t="inlineStr">
        <is>
          <t>082330422222</t>
        </is>
      </c>
      <c r="D126" t="inlineStr">
        <is>
          <t>cvradmilaparaduta@gmail.com</t>
        </is>
      </c>
      <c r="E126" t="inlineStr">
        <is>
          <t>https://lpjk.pu.go.id/search-badan-usaha-detail/eDB4NUU1SEFhQTVTZ3REbEpZWGFlQT09</t>
        </is>
      </c>
      <c r="F126" t="n">
        <v>2</v>
      </c>
      <c r="G126" t="inlineStr">
        <is>
          <t>BG006, BG009</t>
        </is>
      </c>
      <c r="H126" t="inlineStr">
        <is>
          <t>9 Mei 2023</t>
        </is>
      </c>
      <c r="I126" s="2" t="n">
        <v>46240</v>
      </c>
      <c r="J126" t="inlineStr">
        <is>
          <t>Disetujui</t>
        </is>
      </c>
      <c r="K126" t="n">
        <v>30</v>
      </c>
      <c r="L126" t="inlineStr">
        <is>
          <t>6 Agustus 2026</t>
        </is>
      </c>
      <c r="M126" t="inlineStr">
        <is>
          <t>Konstruksi Gedung Lainnya, Konstruksi Gedung Pendidikan</t>
        </is>
      </c>
      <c r="N126" t="inlineStr">
        <is>
          <t>K</t>
        </is>
      </c>
      <c r="O126" t="inlineStr">
        <is>
          <t>20230807</t>
        </is>
      </c>
      <c r="P126" t="inlineStr">
        <is>
          <t>Jawa Timur</t>
        </is>
      </c>
      <c r="Q126" t="inlineStr"/>
    </row>
    <row r="127">
      <c r="A127" t="inlineStr">
        <is>
          <t>RAFFY MANDIRI</t>
        </is>
      </c>
      <c r="B127" t="inlineStr">
        <is>
          <t>Kab. Kutai Timur</t>
        </is>
      </c>
      <c r="C127" t="inlineStr">
        <is>
          <t>081369856080</t>
        </is>
      </c>
      <c r="D127" t="inlineStr">
        <is>
          <t>raffymandiri789@gmail.com</t>
        </is>
      </c>
      <c r="E127" t="inlineStr">
        <is>
          <t>https://lpjk.pu.go.id/search-badan-usaha-detail/NXNxSFNJd2UwWVFnMkFZWExuRXkzZz09</t>
        </is>
      </c>
      <c r="F127" t="n">
        <v>1</v>
      </c>
      <c r="G127" t="inlineStr">
        <is>
          <t>BS004</t>
        </is>
      </c>
      <c r="H127" t="inlineStr">
        <is>
          <t>14 September 2011</t>
        </is>
      </c>
      <c r="I127" s="2" t="n">
        <v>46240</v>
      </c>
      <c r="J127" t="inlineStr">
        <is>
          <t>Pencabutan</t>
        </is>
      </c>
      <c r="K127" t="n">
        <v>30</v>
      </c>
      <c r="L127" t="inlineStr">
        <is>
          <t>6 Agustus 2026</t>
        </is>
      </c>
      <c r="M127" t="inlineStr">
        <is>
          <t>Konstruksi Jaringan Irigasi dan Drainase</t>
        </is>
      </c>
      <c r="N127" t="inlineStr">
        <is>
          <t>K</t>
        </is>
      </c>
      <c r="O127" t="inlineStr">
        <is>
          <t>20230707</t>
        </is>
      </c>
      <c r="P127" t="inlineStr">
        <is>
          <t>Kalimantan Timur</t>
        </is>
      </c>
      <c r="Q127" t="inlineStr"/>
    </row>
    <row r="128">
      <c r="A128" t="inlineStr">
        <is>
          <t>RHEMA ABADI</t>
        </is>
      </c>
      <c r="B128" t="inlineStr">
        <is>
          <t>Kota Medan</t>
        </is>
      </c>
      <c r="C128" t="inlineStr">
        <is>
          <t>081397606000</t>
        </is>
      </c>
      <c r="D128" t="inlineStr">
        <is>
          <t>ville_na70@yahoo.co.id</t>
        </is>
      </c>
      <c r="E128" t="inlineStr">
        <is>
          <t>https://lpjk.pu.go.id/search-badan-usaha-detail/dmpHZUZ6S1NkNXJqSHo5c0daTWRDZz09</t>
        </is>
      </c>
      <c r="F128" t="n">
        <v>1</v>
      </c>
      <c r="G128" t="inlineStr">
        <is>
          <t>BG001</t>
        </is>
      </c>
      <c r="H128" t="inlineStr">
        <is>
          <t>15 Desember 2012</t>
        </is>
      </c>
      <c r="I128" s="2" t="n">
        <v>46240</v>
      </c>
      <c r="J128" t="inlineStr">
        <is>
          <t>Disetujui</t>
        </is>
      </c>
      <c r="K128" t="n">
        <v>30</v>
      </c>
      <c r="L128" t="inlineStr">
        <is>
          <t>6 Agustus 2026</t>
        </is>
      </c>
      <c r="M128" t="inlineStr">
        <is>
          <t>Konstruksi Gedung Hunian</t>
        </is>
      </c>
      <c r="N128" t="inlineStr">
        <is>
          <t>K</t>
        </is>
      </c>
      <c r="O128" t="inlineStr">
        <is>
          <t>20230725</t>
        </is>
      </c>
      <c r="P128" t="inlineStr">
        <is>
          <t>Sumatera Utara</t>
        </is>
      </c>
      <c r="Q128" t="inlineStr"/>
    </row>
    <row r="129">
      <c r="A129" t="inlineStr">
        <is>
          <t>RIHAN PUTRA SULUNG</t>
        </is>
      </c>
      <c r="B129" t="inlineStr">
        <is>
          <t>Kab. Aceh Tamiang</t>
        </is>
      </c>
      <c r="C129" t="inlineStr">
        <is>
          <t>085277078073</t>
        </is>
      </c>
      <c r="D129" t="inlineStr">
        <is>
          <t>tumbuklada1@gmail.com</t>
        </is>
      </c>
      <c r="E129" t="inlineStr">
        <is>
          <t>https://lpjk.pu.go.id/search-badan-usaha-detail/L0w2TnRvMXlMWEMzeWRoVFk0QWllUT09</t>
        </is>
      </c>
      <c r="F129" t="n">
        <v>1</v>
      </c>
      <c r="G129" t="inlineStr">
        <is>
          <t>BG005</t>
        </is>
      </c>
      <c r="H129" t="inlineStr">
        <is>
          <t>21 Januari 2020</t>
        </is>
      </c>
      <c r="I129" s="2" t="n">
        <v>46240</v>
      </c>
      <c r="J129" t="inlineStr">
        <is>
          <t>Disetujui</t>
        </is>
      </c>
      <c r="K129" t="n">
        <v>30</v>
      </c>
      <c r="L129" t="inlineStr">
        <is>
          <t>6 Agustus 2026</t>
        </is>
      </c>
      <c r="M129" t="inlineStr">
        <is>
          <t>Konstruksi Gedung Kesehatan</t>
        </is>
      </c>
      <c r="N129" t="inlineStr">
        <is>
          <t>K</t>
        </is>
      </c>
      <c r="O129" t="inlineStr">
        <is>
          <t>20230806</t>
        </is>
      </c>
      <c r="P129" t="inlineStr">
        <is>
          <t>Aceh</t>
        </is>
      </c>
      <c r="Q129" t="inlineStr"/>
    </row>
    <row r="130">
      <c r="A130" t="inlineStr">
        <is>
          <t>RIYADH</t>
        </is>
      </c>
      <c r="B130" t="inlineStr">
        <is>
          <t>Kab. Hulu Sungai Tengah</t>
        </is>
      </c>
      <c r="C130" t="inlineStr">
        <is>
          <t>081254344567</t>
        </is>
      </c>
      <c r="D130" t="inlineStr">
        <is>
          <t>m.riyad04042012@gmail.com</t>
        </is>
      </c>
      <c r="E130" t="inlineStr">
        <is>
          <t>https://lpjk.pu.go.id/search-badan-usaha-detail/cytsWE83ekdzQmpJVTBMbElMekQ3dz09</t>
        </is>
      </c>
      <c r="F130" t="n">
        <v>1</v>
      </c>
      <c r="G130" t="inlineStr">
        <is>
          <t>BS002</t>
        </is>
      </c>
      <c r="H130" t="inlineStr">
        <is>
          <t>14 Maret 2016</t>
        </is>
      </c>
      <c r="I130" s="2" t="n">
        <v>46240</v>
      </c>
      <c r="J130" t="inlineStr">
        <is>
          <t>Disetujui</t>
        </is>
      </c>
      <c r="K130" t="n">
        <v>30</v>
      </c>
      <c r="L130" t="inlineStr">
        <is>
          <t>6 Agustus 2026</t>
        </is>
      </c>
      <c r="M130" t="inlineStr">
        <is>
          <t>Bangunan Sipil Jembatan, Jalan Layang, Fly Over, dan Underpass</t>
        </is>
      </c>
      <c r="N130" t="inlineStr">
        <is>
          <t>K</t>
        </is>
      </c>
      <c r="O130" t="inlineStr">
        <is>
          <t>20230804</t>
        </is>
      </c>
      <c r="P130" t="inlineStr">
        <is>
          <t>Kalimantan Selatan</t>
        </is>
      </c>
      <c r="Q130" t="inlineStr"/>
    </row>
    <row r="131">
      <c r="A131" t="inlineStr">
        <is>
          <t>RIZKI ANUGRAH</t>
        </is>
      </c>
      <c r="B131" t="inlineStr">
        <is>
          <t>Kab. Mempawah</t>
        </is>
      </c>
      <c r="C131" t="inlineStr">
        <is>
          <t>085752798599</t>
        </is>
      </c>
      <c r="D131" t="inlineStr">
        <is>
          <t>cv.rizkia@yahoo.com</t>
        </is>
      </c>
      <c r="E131" t="inlineStr">
        <is>
          <t>https://lpjk.pu.go.id/search-badan-usaha-detail/TTM1V2MyNkkvU3hNaFNjWGRXOTVrdz09</t>
        </is>
      </c>
      <c r="F131" t="n">
        <v>1</v>
      </c>
      <c r="G131" t="inlineStr">
        <is>
          <t>BS010</t>
        </is>
      </c>
      <c r="H131" t="inlineStr">
        <is>
          <t>22 Februari 2006</t>
        </is>
      </c>
      <c r="I131" s="2" t="n">
        <v>46240</v>
      </c>
      <c r="J131" t="inlineStr">
        <is>
          <t>Disetujui</t>
        </is>
      </c>
      <c r="K131" t="n">
        <v>30</v>
      </c>
      <c r="L131" t="inlineStr">
        <is>
          <t>6 Agustus 2026</t>
        </is>
      </c>
      <c r="M131" t="inlineStr">
        <is>
          <t>Konstruksi Bangunan Prasarana Sumber Daya Air</t>
        </is>
      </c>
      <c r="N131" t="inlineStr">
        <is>
          <t>K</t>
        </is>
      </c>
      <c r="O131" t="inlineStr">
        <is>
          <t>20230802</t>
        </is>
      </c>
      <c r="P131" t="inlineStr">
        <is>
          <t>Kalimantan Barat</t>
        </is>
      </c>
      <c r="Q131" t="inlineStr"/>
    </row>
    <row r="132">
      <c r="A132" t="inlineStr">
        <is>
          <t>RUMAH UKIR MULIA</t>
        </is>
      </c>
      <c r="B132" t="inlineStr">
        <is>
          <t>Kab. Karo</t>
        </is>
      </c>
      <c r="C132" t="inlineStr">
        <is>
          <t>082167405150</t>
        </is>
      </c>
      <c r="D132" t="inlineStr">
        <is>
          <t>rumahukirmulia@yahoo.co.id</t>
        </is>
      </c>
      <c r="E132" t="inlineStr">
        <is>
          <t>https://lpjk.pu.go.id/search-badan-usaha-detail/NkdGRmdiZXVsaS9wa0RyZW5QNVJ4UT09</t>
        </is>
      </c>
      <c r="F132" t="n">
        <v>1</v>
      </c>
      <c r="G132" t="inlineStr">
        <is>
          <t>BS001</t>
        </is>
      </c>
      <c r="H132" t="inlineStr">
        <is>
          <t>21 Februari 2010</t>
        </is>
      </c>
      <c r="I132" s="2" t="n">
        <v>46240</v>
      </c>
      <c r="J132" t="inlineStr">
        <is>
          <t>Pembekuan</t>
        </is>
      </c>
      <c r="K132" t="n">
        <v>30</v>
      </c>
      <c r="L132" t="inlineStr">
        <is>
          <t>6 Agustus 2026</t>
        </is>
      </c>
      <c r="M132" t="inlineStr">
        <is>
          <t>Konstruksi Bangunan Sipil Jalan</t>
        </is>
      </c>
      <c r="N132" t="inlineStr">
        <is>
          <t>M</t>
        </is>
      </c>
      <c r="O132" t="inlineStr">
        <is>
          <t>20230712</t>
        </is>
      </c>
      <c r="P132" t="inlineStr">
        <is>
          <t>Sumatera Utara</t>
        </is>
      </c>
      <c r="Q132" t="inlineStr"/>
    </row>
    <row r="133">
      <c r="A133" t="inlineStr">
        <is>
          <t>SABRINA ALMAHYRA</t>
        </is>
      </c>
      <c r="B133" t="inlineStr">
        <is>
          <t>Kab. Bengkalis</t>
        </is>
      </c>
      <c r="C133" t="inlineStr">
        <is>
          <t>082150708060</t>
        </is>
      </c>
      <c r="D133" t="inlineStr">
        <is>
          <t>s.almahyra23@yahoo.com</t>
        </is>
      </c>
      <c r="E133" t="inlineStr">
        <is>
          <t>https://lpjk.pu.go.id/search-badan-usaha-detail/QjlTNkxKMGR5MTdDdkhCUDhlbEt0UT09</t>
        </is>
      </c>
      <c r="F133" t="n">
        <v>1</v>
      </c>
      <c r="G133" t="inlineStr">
        <is>
          <t>BG009</t>
        </is>
      </c>
      <c r="H133" t="inlineStr">
        <is>
          <t>12 Januari 2023</t>
        </is>
      </c>
      <c r="I133" s="2" t="n">
        <v>46240</v>
      </c>
      <c r="J133" t="inlineStr">
        <is>
          <t>Disetujui</t>
        </is>
      </c>
      <c r="K133" t="n">
        <v>30</v>
      </c>
      <c r="L133" t="inlineStr">
        <is>
          <t>6 Agustus 2026</t>
        </is>
      </c>
      <c r="M133" t="inlineStr">
        <is>
          <t>Konstruksi Gedung Lainnya</t>
        </is>
      </c>
      <c r="N133" t="inlineStr">
        <is>
          <t>K</t>
        </is>
      </c>
      <c r="O133" t="inlineStr">
        <is>
          <t>20230807</t>
        </is>
      </c>
      <c r="P133" t="inlineStr">
        <is>
          <t>Riau</t>
        </is>
      </c>
      <c r="Q133" t="inlineStr"/>
    </row>
    <row r="134">
      <c r="A134" t="inlineStr">
        <is>
          <t>SAKA BERKAH SENTOSA</t>
        </is>
      </c>
      <c r="B134" t="inlineStr">
        <is>
          <t>Kab. Ngawi</t>
        </is>
      </c>
      <c r="C134" t="inlineStr">
        <is>
          <t>081217010888</t>
        </is>
      </c>
      <c r="D134" t="inlineStr">
        <is>
          <t>cvsakaberkahsentosa@gmail.com</t>
        </is>
      </c>
      <c r="E134" t="inlineStr">
        <is>
          <t>https://lpjk.pu.go.id/search-badan-usaha-detail/djllaFJzcEFPS2xQUmdWM3laMEZGQT09</t>
        </is>
      </c>
      <c r="F134" t="n">
        <v>2</v>
      </c>
      <c r="G134" t="inlineStr">
        <is>
          <t>BG002, BG005</t>
        </is>
      </c>
      <c r="H134" t="inlineStr">
        <is>
          <t>13 April 2023</t>
        </is>
      </c>
      <c r="I134" s="2" t="n">
        <v>46240</v>
      </c>
      <c r="J134" t="inlineStr">
        <is>
          <t>Disetujui</t>
        </is>
      </c>
      <c r="K134" t="n">
        <v>30</v>
      </c>
      <c r="L134" t="inlineStr">
        <is>
          <t>6 Agustus 2026</t>
        </is>
      </c>
      <c r="M134" t="inlineStr">
        <is>
          <t>Konstruksi Gedung Kesehatan, Konstruksi Gedung Perkantoran</t>
        </is>
      </c>
      <c r="N134" t="inlineStr">
        <is>
          <t>K</t>
        </is>
      </c>
      <c r="O134" t="inlineStr">
        <is>
          <t>20230803, 20230804</t>
        </is>
      </c>
      <c r="P134" t="inlineStr">
        <is>
          <t>Jawa Timur</t>
        </is>
      </c>
      <c r="Q134" t="inlineStr"/>
    </row>
    <row r="135">
      <c r="A135" t="inlineStr">
        <is>
          <t>SATRIA MAHKOTA TUNGGAL</t>
        </is>
      </c>
      <c r="B135" t="inlineStr">
        <is>
          <t>Kota Samarinda</t>
        </is>
      </c>
      <c r="C135" t="inlineStr">
        <is>
          <t>082251464889</t>
        </is>
      </c>
      <c r="D135" t="inlineStr">
        <is>
          <t>cvmahkotatunggal@gmail.com</t>
        </is>
      </c>
      <c r="E135" t="inlineStr">
        <is>
          <t>https://lpjk.pu.go.id/search-badan-usaha-detail/ODlkc2VOUWptRVRpeDJWRkhYbVVPZz09</t>
        </is>
      </c>
      <c r="F135" t="n">
        <v>1</v>
      </c>
      <c r="G135" t="inlineStr">
        <is>
          <t>BG002</t>
        </is>
      </c>
      <c r="H135" t="inlineStr">
        <is>
          <t>10 Juli 2023</t>
        </is>
      </c>
      <c r="I135" s="2" t="n">
        <v>46240</v>
      </c>
      <c r="J135" t="inlineStr">
        <is>
          <t>Pencabutan</t>
        </is>
      </c>
      <c r="K135" t="n">
        <v>30</v>
      </c>
      <c r="L135" t="inlineStr">
        <is>
          <t>6 Agustus 2026</t>
        </is>
      </c>
      <c r="M135" t="inlineStr">
        <is>
          <t>Konstruksi Gedung Perkantoran</t>
        </is>
      </c>
      <c r="N135" t="inlineStr">
        <is>
          <t>K</t>
        </is>
      </c>
      <c r="O135" t="inlineStr">
        <is>
          <t>20230804</t>
        </is>
      </c>
      <c r="P135" t="inlineStr">
        <is>
          <t>Kalimantan Timur</t>
        </is>
      </c>
      <c r="Q135" t="inlineStr"/>
    </row>
    <row r="136">
      <c r="A136" t="inlineStr">
        <is>
          <t>SEKAWAN ABDI KARYA</t>
        </is>
      </c>
      <c r="B136" t="inlineStr">
        <is>
          <t>Kab. Gresik</t>
        </is>
      </c>
      <c r="C136" t="inlineStr">
        <is>
          <t>081334555422</t>
        </is>
      </c>
      <c r="D136" t="inlineStr">
        <is>
          <t>sekawanabdikarya@gmail.com</t>
        </is>
      </c>
      <c r="E136" t="inlineStr">
        <is>
          <t>https://lpjk.pu.go.id/search-badan-usaha-detail/bys0M0JLSDY4d2IrUVlnanZybFlKUT09</t>
        </is>
      </c>
      <c r="F136" t="n">
        <v>2</v>
      </c>
      <c r="G136" t="inlineStr">
        <is>
          <t>BS005</t>
        </is>
      </c>
      <c r="H136" t="inlineStr">
        <is>
          <t>27 Juni 2023</t>
        </is>
      </c>
      <c r="I136" s="2" t="n">
        <v>46240</v>
      </c>
      <c r="J136" t="inlineStr">
        <is>
          <t>Disetujui</t>
        </is>
      </c>
      <c r="K136" t="n">
        <v>30</v>
      </c>
      <c r="L136" t="inlineStr">
        <is>
          <t>6 Agustus 2026</t>
        </is>
      </c>
      <c r="M136" t="inlineStr">
        <is>
          <t>Konstruksi Bangunan Sipil Pengolahan Air Bersih</t>
        </is>
      </c>
      <c r="N136" t="inlineStr">
        <is>
          <t>K</t>
        </is>
      </c>
      <c r="O136" t="inlineStr">
        <is>
          <t>20230803</t>
        </is>
      </c>
      <c r="P136" t="inlineStr">
        <is>
          <t>Jawa Timur</t>
        </is>
      </c>
      <c r="Q136" t="inlineStr"/>
    </row>
    <row r="137">
      <c r="A137" t="inlineStr">
        <is>
          <t>SINERGI LIMA EMPAT</t>
        </is>
      </c>
      <c r="B137" t="inlineStr">
        <is>
          <t>Kota Surabaya</t>
        </is>
      </c>
      <c r="C137" t="inlineStr">
        <is>
          <t>081216835619</t>
        </is>
      </c>
      <c r="D137" t="inlineStr">
        <is>
          <t>cvsinergilimaempat@gmail.com</t>
        </is>
      </c>
      <c r="E137" t="inlineStr">
        <is>
          <t>https://lpjk.pu.go.id/search-badan-usaha-detail/RGV1Z0pTa1J3WWlzWDhEeHU3RUMwUHJIZldESzQvRW5jeWh5WnpPQ2pXOD0</t>
        </is>
      </c>
      <c r="F137" t="n">
        <v>1</v>
      </c>
      <c r="G137" t="inlineStr">
        <is>
          <t>BG006</t>
        </is>
      </c>
      <c r="H137" t="inlineStr">
        <is>
          <t>5 Juli 2023</t>
        </is>
      </c>
      <c r="I137" s="2" t="n">
        <v>46240</v>
      </c>
      <c r="J137" t="inlineStr">
        <is>
          <t>Disetujui</t>
        </is>
      </c>
      <c r="K137" t="n">
        <v>30</v>
      </c>
      <c r="L137" t="inlineStr">
        <is>
          <t>6 Agustus 2026</t>
        </is>
      </c>
      <c r="M137" t="inlineStr">
        <is>
          <t>Konstruksi Gedung Pendidikan</t>
        </is>
      </c>
      <c r="N137" t="inlineStr">
        <is>
          <t>K</t>
        </is>
      </c>
      <c r="O137" t="inlineStr">
        <is>
          <t>20230805</t>
        </is>
      </c>
      <c r="P137" t="inlineStr">
        <is>
          <t>Jawa Timur</t>
        </is>
      </c>
      <c r="Q137" t="inlineStr"/>
    </row>
    <row r="138">
      <c r="A138" t="inlineStr">
        <is>
          <t>SRIKANDI JAYA MANDIRI</t>
        </is>
      </c>
      <c r="B138" t="inlineStr">
        <is>
          <t>Kab. Parigi Moutong</t>
        </is>
      </c>
      <c r="C138" t="inlineStr">
        <is>
          <t>082188828681</t>
        </is>
      </c>
      <c r="D138" t="inlineStr">
        <is>
          <t>cvsrikandijayamandiri81@gmail.com</t>
        </is>
      </c>
      <c r="E138" t="inlineStr">
        <is>
          <t>https://lpjk.pu.go.id/search-badan-usaha-detail/eDdPUktlRGhVcjNETlpXY2NUK3hVQT09</t>
        </is>
      </c>
      <c r="F138" t="n">
        <v>1</v>
      </c>
      <c r="G138" t="inlineStr">
        <is>
          <t>BS004</t>
        </is>
      </c>
      <c r="H138" t="inlineStr">
        <is>
          <t>27 Desember 2016</t>
        </is>
      </c>
      <c r="I138" s="2" t="n">
        <v>46240</v>
      </c>
      <c r="J138" t="inlineStr">
        <is>
          <t>Disetujui</t>
        </is>
      </c>
      <c r="K138" t="n">
        <v>30</v>
      </c>
      <c r="L138" t="inlineStr">
        <is>
          <t>6 Agustus 2026</t>
        </is>
      </c>
      <c r="M138" t="inlineStr">
        <is>
          <t>Konstruksi Jaringan Irigasi dan Drainase</t>
        </is>
      </c>
      <c r="N138" t="inlineStr">
        <is>
          <t>K</t>
        </is>
      </c>
      <c r="O138" t="inlineStr">
        <is>
          <t>20230807</t>
        </is>
      </c>
      <c r="P138" t="inlineStr">
        <is>
          <t>Sulawesi Tengah</t>
        </is>
      </c>
      <c r="Q138" t="inlineStr"/>
    </row>
    <row r="139">
      <c r="A139" t="inlineStr">
        <is>
          <t>SUKAWATI KARYA</t>
        </is>
      </c>
      <c r="B139" t="inlineStr">
        <is>
          <t>Kab. Gianyar</t>
        </is>
      </c>
      <c r="C139" t="inlineStr">
        <is>
          <t>08123605380</t>
        </is>
      </c>
      <c r="D139" t="inlineStr">
        <is>
          <t>imadeparta@yahoo.com</t>
        </is>
      </c>
      <c r="E139" t="inlineStr">
        <is>
          <t>https://lpjk.pu.go.id/search-badan-usaha-detail/aHNrWmwrQktwNEZHbUNSQjJBclR4UT09</t>
        </is>
      </c>
      <c r="F139" t="n">
        <v>3</v>
      </c>
      <c r="G139" t="inlineStr">
        <is>
          <t>BG005, BG006, BG009</t>
        </is>
      </c>
      <c r="H139" t="inlineStr">
        <is>
          <t>1 Oktober 1985</t>
        </is>
      </c>
      <c r="I139" s="2" t="n">
        <v>46240</v>
      </c>
      <c r="J139" t="inlineStr">
        <is>
          <t>Disetujui</t>
        </is>
      </c>
      <c r="K139" t="n">
        <v>30</v>
      </c>
      <c r="L139" t="inlineStr">
        <is>
          <t>6 Agustus 2026</t>
        </is>
      </c>
      <c r="M139" t="inlineStr">
        <is>
          <t>Konstruksi Gedung Kesehatan, Konstruksi Gedung Lainnya, Konstruksi Gedung Pendidikan</t>
        </is>
      </c>
      <c r="N139" t="inlineStr">
        <is>
          <t>K</t>
        </is>
      </c>
      <c r="O139" t="inlineStr">
        <is>
          <t>20230509, 20230707</t>
        </is>
      </c>
      <c r="P139" t="inlineStr">
        <is>
          <t>Bali</t>
        </is>
      </c>
      <c r="Q139" t="inlineStr"/>
    </row>
    <row r="140">
      <c r="A140" t="inlineStr">
        <is>
          <t>SULTAN KUTA AWE</t>
        </is>
      </c>
      <c r="B140" t="inlineStr">
        <is>
          <t>Kota Langsa</t>
        </is>
      </c>
      <c r="C140" t="inlineStr">
        <is>
          <t>082276551357</t>
        </is>
      </c>
      <c r="D140" t="inlineStr">
        <is>
          <t>cv.sultankutaawe@gmail.com</t>
        </is>
      </c>
      <c r="E140" t="inlineStr">
        <is>
          <t>https://lpjk.pu.go.id/search-badan-usaha-detail/aWtZQ1BObWpGUmtla2pVblpRNE82dz09</t>
        </is>
      </c>
      <c r="F140" t="n">
        <v>1</v>
      </c>
      <c r="G140" t="inlineStr">
        <is>
          <t>BG002</t>
        </is>
      </c>
      <c r="H140" t="inlineStr">
        <is>
          <t>5 April 2017</t>
        </is>
      </c>
      <c r="I140" s="2" t="n">
        <v>46240</v>
      </c>
      <c r="J140" t="inlineStr">
        <is>
          <t>Disetujui</t>
        </is>
      </c>
      <c r="K140" t="n">
        <v>30</v>
      </c>
      <c r="L140" t="inlineStr">
        <is>
          <t>6 Agustus 2026</t>
        </is>
      </c>
      <c r="M140" t="inlineStr">
        <is>
          <t>Konstruksi Gedung Perkantoran</t>
        </is>
      </c>
      <c r="N140" t="inlineStr">
        <is>
          <t>K</t>
        </is>
      </c>
      <c r="O140" t="inlineStr">
        <is>
          <t>20230713</t>
        </is>
      </c>
      <c r="P140" t="inlineStr">
        <is>
          <t>Aceh</t>
        </is>
      </c>
      <c r="Q140" t="inlineStr"/>
    </row>
    <row r="141">
      <c r="A141" t="inlineStr">
        <is>
          <t>SUMBER KUAT</t>
        </is>
      </c>
      <c r="B141" t="inlineStr">
        <is>
          <t>Kab. Sukabumi</t>
        </is>
      </c>
      <c r="C141" t="inlineStr">
        <is>
          <t>085863546555</t>
        </is>
      </c>
      <c r="D141" t="inlineStr">
        <is>
          <t>aisutijah344@gmail.com</t>
        </is>
      </c>
      <c r="E141" t="inlineStr">
        <is>
          <t>https://lpjk.pu.go.id/search-badan-usaha-detail/TDJRL0xHR3NLSnhraGNKcG1kOUFNZz09</t>
        </is>
      </c>
      <c r="F141" t="n">
        <v>3</v>
      </c>
      <c r="G141" t="inlineStr">
        <is>
          <t>BG005, BG006, BG009</t>
        </is>
      </c>
      <c r="H141" t="inlineStr">
        <is>
          <t>25 November 2015</t>
        </is>
      </c>
      <c r="I141" s="2" t="n">
        <v>46240</v>
      </c>
      <c r="J141" t="inlineStr">
        <is>
          <t>Disetujui</t>
        </is>
      </c>
      <c r="K141" t="n">
        <v>30</v>
      </c>
      <c r="L141" t="inlineStr">
        <is>
          <t>6 Agustus 2026</t>
        </is>
      </c>
      <c r="M141" t="inlineStr">
        <is>
          <t>Konstruksi Gedung Kesehatan, Konstruksi Gedung Lainnya, Konstruksi Gedung Pendidikan</t>
        </is>
      </c>
      <c r="N141" t="inlineStr">
        <is>
          <t>K</t>
        </is>
      </c>
      <c r="O141" t="inlineStr">
        <is>
          <t>20230806</t>
        </is>
      </c>
      <c r="P141" t="inlineStr">
        <is>
          <t>Jawa Barat</t>
        </is>
      </c>
      <c r="Q141" t="inlineStr"/>
    </row>
    <row r="142">
      <c r="A142" t="inlineStr">
        <is>
          <t>TALITA REKSA MANDIRI</t>
        </is>
      </c>
      <c r="B142" t="inlineStr">
        <is>
          <t>Kab. Tangerang</t>
        </is>
      </c>
      <c r="C142" t="inlineStr">
        <is>
          <t>081219524012</t>
        </is>
      </c>
      <c r="D142" t="inlineStr">
        <is>
          <t>talitareksa73@yahoo.com</t>
        </is>
      </c>
      <c r="E142" t="inlineStr">
        <is>
          <t>https://lpjk.pu.go.id/search-badan-usaha-detail/VnBKTWFEclZ1VUVYZTBWdzFDYldhZz09</t>
        </is>
      </c>
      <c r="F142" t="n">
        <v>4</v>
      </c>
      <c r="G142" t="inlineStr">
        <is>
          <t>BG009, BS004</t>
        </is>
      </c>
      <c r="H142" t="inlineStr">
        <is>
          <t>23 November 2018</t>
        </is>
      </c>
      <c r="I142" s="2" t="n">
        <v>46240</v>
      </c>
      <c r="J142" t="inlineStr">
        <is>
          <t>Disetujui</t>
        </is>
      </c>
      <c r="K142" t="n">
        <v>30</v>
      </c>
      <c r="L142" t="inlineStr">
        <is>
          <t>6 Agustus 2026</t>
        </is>
      </c>
      <c r="M142" t="inlineStr">
        <is>
          <t>Konstruksi Gedung Lainnya, Konstruksi Jaringan Irigasi dan Drainase</t>
        </is>
      </c>
      <c r="N142" t="inlineStr">
        <is>
          <t>K</t>
        </is>
      </c>
      <c r="O142" t="inlineStr">
        <is>
          <t>20230802</t>
        </is>
      </c>
      <c r="P142" t="inlineStr">
        <is>
          <t>Banten</t>
        </is>
      </c>
      <c r="Q142" t="inlineStr"/>
    </row>
    <row r="143">
      <c r="A143" t="inlineStr">
        <is>
          <t>THANISSA CONTRACTORS</t>
        </is>
      </c>
      <c r="B143" t="inlineStr">
        <is>
          <t>Kab. Jember</t>
        </is>
      </c>
      <c r="C143" t="inlineStr">
        <is>
          <t>081333030933</t>
        </is>
      </c>
      <c r="D143" t="inlineStr">
        <is>
          <t>thanissacontractors@gmail.com</t>
        </is>
      </c>
      <c r="E143" t="inlineStr">
        <is>
          <t>https://lpjk.pu.go.id/search-badan-usaha-detail/aVBSYTJ0RHVMOWx6K1JxSFZlbEptUT09</t>
        </is>
      </c>
      <c r="F143" t="n">
        <v>1</v>
      </c>
      <c r="G143" t="inlineStr">
        <is>
          <t>BG006</t>
        </is>
      </c>
      <c r="H143" t="inlineStr">
        <is>
          <t>9 Oktober 2019</t>
        </is>
      </c>
      <c r="I143" s="2" t="n">
        <v>46240</v>
      </c>
      <c r="J143" t="inlineStr">
        <is>
          <t>Pencabutan</t>
        </is>
      </c>
      <c r="K143" t="n">
        <v>30</v>
      </c>
      <c r="L143" t="inlineStr">
        <is>
          <t>6 Agustus 2026</t>
        </is>
      </c>
      <c r="M143" t="inlineStr">
        <is>
          <t>Konstruksi Gedung Pendidikan</t>
        </is>
      </c>
      <c r="N143" t="inlineStr">
        <is>
          <t>K</t>
        </is>
      </c>
      <c r="O143" t="inlineStr">
        <is>
          <t>20230517</t>
        </is>
      </c>
      <c r="P143" t="inlineStr">
        <is>
          <t>Jawa Timur</t>
        </is>
      </c>
      <c r="Q143" t="inlineStr"/>
    </row>
    <row r="144">
      <c r="A144" t="inlineStr">
        <is>
          <t>TINADI DARYA</t>
        </is>
      </c>
      <c r="B144" t="inlineStr">
        <is>
          <t>Kab. Karimun</t>
        </is>
      </c>
      <c r="C144" t="inlineStr">
        <is>
          <t>085238206684</t>
        </is>
      </c>
      <c r="D144" t="inlineStr">
        <is>
          <t>cv.tinadidarya@gmail.com</t>
        </is>
      </c>
      <c r="E144" t="inlineStr">
        <is>
          <t>https://lpjk.pu.go.id/search-badan-usaha-detail/bEgxK3lML2pTRU1FUFNvSEJLOU5HQT09</t>
        </is>
      </c>
      <c r="F144" t="n">
        <v>1</v>
      </c>
      <c r="G144" t="inlineStr">
        <is>
          <t>BG002</t>
        </is>
      </c>
      <c r="H144" t="inlineStr">
        <is>
          <t>26 Januari 2021</t>
        </is>
      </c>
      <c r="I144" s="2" t="n">
        <v>46240</v>
      </c>
      <c r="J144" t="inlineStr">
        <is>
          <t>Disetujui</t>
        </is>
      </c>
      <c r="K144" t="n">
        <v>30</v>
      </c>
      <c r="L144" t="inlineStr">
        <is>
          <t>6 Agustus 2026</t>
        </is>
      </c>
      <c r="M144" t="inlineStr">
        <is>
          <t>Konstruksi Gedung Perkantoran</t>
        </is>
      </c>
      <c r="N144" t="inlineStr">
        <is>
          <t>K</t>
        </is>
      </c>
      <c r="O144" t="inlineStr">
        <is>
          <t>20230806</t>
        </is>
      </c>
      <c r="P144" t="inlineStr">
        <is>
          <t>Kepulauan Riau</t>
        </is>
      </c>
      <c r="Q144" t="inlineStr"/>
    </row>
    <row r="145">
      <c r="A145" t="inlineStr">
        <is>
          <t>TITIAN MIDOP</t>
        </is>
      </c>
      <c r="B145" t="inlineStr">
        <is>
          <t>Kab. Ketapang</t>
        </is>
      </c>
      <c r="C145" t="inlineStr">
        <is>
          <t>081265331257</t>
        </is>
      </c>
      <c r="D145" t="inlineStr">
        <is>
          <t>cv.titianmidop1234@gmail.com</t>
        </is>
      </c>
      <c r="E145" t="inlineStr">
        <is>
          <t>https://lpjk.pu.go.id/search-badan-usaha-detail/dTlQMjNLWDdlNSt5d0QreExhTmtmdz09</t>
        </is>
      </c>
      <c r="F145" t="n">
        <v>4</v>
      </c>
      <c r="G145" t="inlineStr">
        <is>
          <t>BG001, BS002</t>
        </is>
      </c>
      <c r="H145" t="inlineStr">
        <is>
          <t>28 April 2015</t>
        </is>
      </c>
      <c r="I145" s="2" t="n">
        <v>46240</v>
      </c>
      <c r="J145" t="inlineStr">
        <is>
          <t>Disetujui</t>
        </is>
      </c>
      <c r="K145" t="n">
        <v>30</v>
      </c>
      <c r="L145" t="inlineStr">
        <is>
          <t>6 Agustus 2026</t>
        </is>
      </c>
      <c r="M145" t="inlineStr">
        <is>
          <t>Bangunan Sipil Jembatan, Jalan Layang, Fly Over, dan Underpass, Konstruksi Gedung Hunian</t>
        </is>
      </c>
      <c r="N145" t="inlineStr">
        <is>
          <t>K</t>
        </is>
      </c>
      <c r="O145" t="inlineStr">
        <is>
          <t>20230807</t>
        </is>
      </c>
      <c r="P145" t="inlineStr">
        <is>
          <t>Kalimantan Barat</t>
        </is>
      </c>
      <c r="Q145" t="inlineStr"/>
    </row>
    <row r="146">
      <c r="A146" t="inlineStr">
        <is>
          <t>TITIAN TEHNIK</t>
        </is>
      </c>
      <c r="B146" t="inlineStr">
        <is>
          <t>Kota Tangerang Selatan</t>
        </is>
      </c>
      <c r="C146" t="inlineStr">
        <is>
          <t>0217564619</t>
        </is>
      </c>
      <c r="D146" t="inlineStr">
        <is>
          <t>pt.titiantehnik@yahoo.com</t>
        </is>
      </c>
      <c r="E146" t="inlineStr">
        <is>
          <t>https://lpjk.pu.go.id/search-badan-usaha-detail/WnhJVzREN1RhdG5PdkQ4MFFEaERiUT09</t>
        </is>
      </c>
      <c r="F146" t="n">
        <v>2</v>
      </c>
      <c r="G146" t="inlineStr">
        <is>
          <t>RT003</t>
        </is>
      </c>
      <c r="H146" t="inlineStr">
        <is>
          <t>10 Maret 2023</t>
        </is>
      </c>
      <c r="I146" s="2" t="n">
        <v>46240</v>
      </c>
      <c r="J146" t="inlineStr">
        <is>
          <t>Disetujui</t>
        </is>
      </c>
      <c r="K146" t="n">
        <v>30</v>
      </c>
      <c r="L146" t="inlineStr">
        <is>
          <t>6 Agustus 2026</t>
        </is>
      </c>
      <c r="M146" t="inlineStr">
        <is>
          <t>Jasa Rekayasa Konstruksi Proses Industrial, Produksi, dan Fasilitas Produksi</t>
        </is>
      </c>
      <c r="N146" t="inlineStr">
        <is>
          <t>K</t>
        </is>
      </c>
      <c r="O146" t="inlineStr">
        <is>
          <t>20230725</t>
        </is>
      </c>
      <c r="P146" t="inlineStr">
        <is>
          <t>Banten</t>
        </is>
      </c>
      <c r="Q146" t="inlineStr"/>
    </row>
    <row r="147">
      <c r="A147" t="inlineStr">
        <is>
          <t>TRI WIRA KARYA MANDIRI</t>
        </is>
      </c>
      <c r="B147" t="inlineStr">
        <is>
          <t>Kab. Probolinggo</t>
        </is>
      </c>
      <c r="C147" t="inlineStr">
        <is>
          <t>08113122534</t>
        </is>
      </c>
      <c r="D147" t="inlineStr">
        <is>
          <t>triwirakaryamandiri.cv@gmail.com</t>
        </is>
      </c>
      <c r="E147" t="inlineStr">
        <is>
          <t>https://lpjk.pu.go.id/search-badan-usaha-detail/RlFkU3hia24zVnlMbHhnZHROc1Bodz09</t>
        </is>
      </c>
      <c r="F147" t="n">
        <v>1</v>
      </c>
      <c r="G147" t="inlineStr">
        <is>
          <t>BS001</t>
        </is>
      </c>
      <c r="H147" t="inlineStr">
        <is>
          <t>26 Mei 2014</t>
        </is>
      </c>
      <c r="I147" s="2" t="n">
        <v>46240</v>
      </c>
      <c r="J147" t="inlineStr">
        <is>
          <t>Disetujui</t>
        </is>
      </c>
      <c r="K147" t="n">
        <v>30</v>
      </c>
      <c r="L147" t="inlineStr">
        <is>
          <t>6 Agustus 2026</t>
        </is>
      </c>
      <c r="M147" t="inlineStr">
        <is>
          <t>Konstruksi Bangunan Sipil Jalan</t>
        </is>
      </c>
      <c r="N147" t="inlineStr">
        <is>
          <t>K</t>
        </is>
      </c>
      <c r="O147" t="inlineStr">
        <is>
          <t>20230804</t>
        </is>
      </c>
      <c r="P147" t="inlineStr">
        <is>
          <t>Jawa Timur</t>
        </is>
      </c>
      <c r="Q147" t="inlineStr"/>
    </row>
    <row r="148">
      <c r="A148" t="inlineStr">
        <is>
          <t>URBAN EKOLOGI KONSULTAN</t>
        </is>
      </c>
      <c r="B148" t="inlineStr">
        <is>
          <t>Kota Pontianak</t>
        </is>
      </c>
      <c r="C148" t="inlineStr">
        <is>
          <t>085245688912</t>
        </is>
      </c>
      <c r="D148" t="inlineStr">
        <is>
          <t>urbelco.info@gmail.com</t>
        </is>
      </c>
      <c r="E148" t="inlineStr">
        <is>
          <t>https://lpjk.pu.go.id/search-badan-usaha-detail/QVZTN0tMVDdFWm9PdDE5T2V4ZlprUT09</t>
        </is>
      </c>
      <c r="F148" t="n">
        <v>1</v>
      </c>
      <c r="G148" t="inlineStr">
        <is>
          <t>AR003</t>
        </is>
      </c>
      <c r="H148" t="inlineStr">
        <is>
          <t>21 Juni 2022</t>
        </is>
      </c>
      <c r="I148" s="2" t="n">
        <v>46240</v>
      </c>
      <c r="J148" t="inlineStr">
        <is>
          <t>Pencabutan</t>
        </is>
      </c>
      <c r="K148" t="n">
        <v>30</v>
      </c>
      <c r="L148" t="inlineStr">
        <is>
          <t>6 Agustus 2026</t>
        </is>
      </c>
      <c r="M148" t="inlineStr">
        <is>
          <t>Jasa Desain Interior pada Bangunan Gedung dan Bangunan Sipil</t>
        </is>
      </c>
      <c r="N148" t="inlineStr">
        <is>
          <t>K</t>
        </is>
      </c>
      <c r="O148" t="inlineStr">
        <is>
          <t>20230724</t>
        </is>
      </c>
      <c r="P148" t="inlineStr">
        <is>
          <t>Kalimantan Barat</t>
        </is>
      </c>
      <c r="Q148" t="inlineStr"/>
    </row>
    <row r="149">
      <c r="A149" t="inlineStr">
        <is>
          <t>WAHANA MITRAKARYA NUSANTARA</t>
        </is>
      </c>
      <c r="B149" t="inlineStr">
        <is>
          <t>Kota Adm. Jakarta Utara</t>
        </is>
      </c>
      <c r="C149" t="inlineStr">
        <is>
          <t>0212452790</t>
        </is>
      </c>
      <c r="D149" t="inlineStr">
        <is>
          <t>PTWAHANAMITRAKARYANUSANTARA@GMAIL.COM</t>
        </is>
      </c>
      <c r="E149" t="inlineStr">
        <is>
          <t>https://lpjk.pu.go.id/search-badan-usaha-detail/VnF0azhWbGRQaUQ5ZnNScjc1SzlKZz09</t>
        </is>
      </c>
      <c r="F149" t="n">
        <v>1</v>
      </c>
      <c r="G149" t="inlineStr">
        <is>
          <t>BG002</t>
        </is>
      </c>
      <c r="H149" t="inlineStr">
        <is>
          <t>1 Februari 2023</t>
        </is>
      </c>
      <c r="I149" s="2" t="n">
        <v>46240</v>
      </c>
      <c r="J149" t="inlineStr">
        <is>
          <t>Disetujui</t>
        </is>
      </c>
      <c r="K149" t="n">
        <v>30</v>
      </c>
      <c r="L149" t="inlineStr">
        <is>
          <t>6 Agustus 2026</t>
        </is>
      </c>
      <c r="M149" t="inlineStr">
        <is>
          <t>Konstruksi Gedung Perkantoran</t>
        </is>
      </c>
      <c r="N149" t="inlineStr">
        <is>
          <t>K</t>
        </is>
      </c>
      <c r="O149" t="inlineStr">
        <is>
          <t>20230802</t>
        </is>
      </c>
      <c r="P149" t="inlineStr">
        <is>
          <t>DKI Jakarta</t>
        </is>
      </c>
      <c r="Q149" t="inlineStr"/>
    </row>
    <row r="150">
      <c r="A150" t="inlineStr">
        <is>
          <t>ZIDANIEL CONSULTANT</t>
        </is>
      </c>
      <c r="B150" t="inlineStr">
        <is>
          <t>Kab. Gayo Lues</t>
        </is>
      </c>
      <c r="C150" t="inlineStr">
        <is>
          <t>081218749270</t>
        </is>
      </c>
      <c r="D150" t="inlineStr">
        <is>
          <t>zidanielconsultant@gmail.com</t>
        </is>
      </c>
      <c r="E150" t="inlineStr">
        <is>
          <t>https://lpjk.pu.go.id/search-badan-usaha-detail/WTVid2hWK3Voc3AwT0YrOWhhU3RIQT09</t>
        </is>
      </c>
      <c r="F150" t="n">
        <v>1</v>
      </c>
      <c r="G150" t="inlineStr">
        <is>
          <t>RK001</t>
        </is>
      </c>
      <c r="H150" t="inlineStr">
        <is>
          <t>10 Mei 2023</t>
        </is>
      </c>
      <c r="I150" s="2" t="n">
        <v>46240</v>
      </c>
      <c r="J150" t="inlineStr">
        <is>
          <t>Disetujui</t>
        </is>
      </c>
      <c r="K150" t="n">
        <v>30</v>
      </c>
      <c r="L150" t="inlineStr">
        <is>
          <t>6 Agustus 2026</t>
        </is>
      </c>
      <c r="M150" t="inlineStr">
        <is>
          <t>Jasa Rekayasa Konstruksi Bangunan Gedung Hunian dan Non Hunian</t>
        </is>
      </c>
      <c r="N150" t="inlineStr">
        <is>
          <t>K</t>
        </is>
      </c>
      <c r="O150" t="inlineStr">
        <is>
          <t>20230721</t>
        </is>
      </c>
      <c r="P150" t="inlineStr">
        <is>
          <t>Aceh</t>
        </is>
      </c>
      <c r="Q150" t="inlineStr"/>
    </row>
    <row r="151">
      <c r="A151" t="inlineStr">
        <is>
          <t>ZIDNY AKSES GEMILANG</t>
        </is>
      </c>
      <c r="B151" t="inlineStr">
        <is>
          <t>Kab. Cirebon</t>
        </is>
      </c>
      <c r="C151" t="inlineStr">
        <is>
          <t>081324110001</t>
        </is>
      </c>
      <c r="D151" t="inlineStr">
        <is>
          <t>pt.zidnyaksesgemilang@gmail.com</t>
        </is>
      </c>
      <c r="E151" t="inlineStr">
        <is>
          <t>https://lpjk.pu.go.id/search-badan-usaha-detail/NXdJcTBUUldvUWM5b1VUeVZXZ2lRUT09</t>
        </is>
      </c>
      <c r="F151" t="n">
        <v>1</v>
      </c>
      <c r="G151" t="inlineStr">
        <is>
          <t>BS009</t>
        </is>
      </c>
      <c r="H151" t="inlineStr">
        <is>
          <t>17 Mei 2017</t>
        </is>
      </c>
      <c r="I151" s="2" t="n">
        <v>46240</v>
      </c>
      <c r="J151" t="inlineStr">
        <is>
          <t>Pencabutan</t>
        </is>
      </c>
      <c r="K151" t="n">
        <v>30</v>
      </c>
      <c r="L151" t="inlineStr">
        <is>
          <t>6 Agustus 2026</t>
        </is>
      </c>
      <c r="M151" t="inlineStr">
        <is>
          <t>Konstruksi Sentral Telekomunikasi</t>
        </is>
      </c>
      <c r="N151" t="inlineStr">
        <is>
          <t>K</t>
        </is>
      </c>
      <c r="O151" t="inlineStr">
        <is>
          <t>20230802</t>
        </is>
      </c>
      <c r="P151" t="inlineStr">
        <is>
          <t>Jawa Barat</t>
        </is>
      </c>
      <c r="Q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2026-07-07T03:07:11Z</dcterms:created>
  <dcterms:modified xsi:type="dcterms:W3CDTF">2026-07-07T03:07:11Z</dcterms:modified>
</cp:coreProperties>
</file>