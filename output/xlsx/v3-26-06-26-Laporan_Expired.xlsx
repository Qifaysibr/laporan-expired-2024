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0"/>
  <sheetViews>
    <sheetView workbookViewId="0">
      <selection activeCell="A1" sqref="A1"/>
    </sheetView>
  </sheetViews>
  <sheetFormatPr baseColWidth="8" defaultRowHeight="15"/>
  <cols>
    <col width="43" customWidth="1" min="1" max="1"/>
    <col width="27" customWidth="1" min="2" max="2"/>
    <col width="16" customWidth="1" min="3" max="3"/>
    <col width="39"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9" customWidth="1" min="12" max="12"/>
    <col width="50" customWidth="1" min="13" max="13"/>
    <col width="17"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ABDEE ANTUSIAS</t>
        </is>
      </c>
      <c r="B2" t="inlineStr">
        <is>
          <t>Kab. Bekasi</t>
        </is>
      </c>
      <c r="C2" t="inlineStr">
        <is>
          <t>081280361456</t>
        </is>
      </c>
      <c r="D2" t="inlineStr">
        <is>
          <t>abdie.antusias@gmail.com</t>
        </is>
      </c>
      <c r="E2" t="inlineStr">
        <is>
          <t>https://lpjk.pu.go.id/search-badan-usaha-detail/eEdUM2N6WUxlZ3NwSS9SVEtGVjNHQT09</t>
        </is>
      </c>
      <c r="F2" t="n">
        <v>1</v>
      </c>
      <c r="G2" t="inlineStr">
        <is>
          <t>BG009</t>
        </is>
      </c>
      <c r="H2" t="inlineStr">
        <is>
          <t>21 Desember 2009</t>
        </is>
      </c>
      <c r="I2" s="2" t="n">
        <v>46289</v>
      </c>
      <c r="J2" t="inlineStr">
        <is>
          <t>Disetujui</t>
        </is>
      </c>
      <c r="K2" t="n">
        <v>90</v>
      </c>
      <c r="L2" t="inlineStr">
        <is>
          <t>24 September 2026</t>
        </is>
      </c>
      <c r="M2" t="inlineStr">
        <is>
          <t>Konstruksi Gedung Lainnya</t>
        </is>
      </c>
      <c r="N2" t="inlineStr">
        <is>
          <t>K</t>
        </is>
      </c>
      <c r="O2" t="inlineStr">
        <is>
          <t>20230920</t>
        </is>
      </c>
      <c r="P2" t="inlineStr">
        <is>
          <t>Jawa Barat</t>
        </is>
      </c>
      <c r="Q2" s="3">
        <f>HYPERLINK("https://wa.me/6281280361456?text=Selamat siang Bapak/Ibu pimpinan ABDEE ANTUSIAS,%0A%0ASemoga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ADHI RAJASA TEKNIK</t>
        </is>
      </c>
      <c r="B3" t="inlineStr">
        <is>
          <t>Kab. Bogor</t>
        </is>
      </c>
      <c r="C3" t="inlineStr">
        <is>
          <t>081219542372</t>
        </is>
      </c>
      <c r="D3" t="inlineStr">
        <is>
          <t>adhirajasa.teknik@gmail.com</t>
        </is>
      </c>
      <c r="E3" t="inlineStr">
        <is>
          <t>https://lpjk.pu.go.id/search-badan-usaha-detail/M0ZLRnlHUXFQSkN0aDc4Qnpjd1pzUT09</t>
        </is>
      </c>
      <c r="F3" t="n">
        <v>2</v>
      </c>
      <c r="G3" t="inlineStr">
        <is>
          <t>BS001, BS002</t>
        </is>
      </c>
      <c r="H3" t="inlineStr">
        <is>
          <t>24 Februari 2020</t>
        </is>
      </c>
      <c r="I3" s="2" t="n">
        <v>46289</v>
      </c>
      <c r="J3" t="inlineStr">
        <is>
          <t>Disetujui</t>
        </is>
      </c>
      <c r="K3" t="n">
        <v>90</v>
      </c>
      <c r="L3" t="inlineStr">
        <is>
          <t>24 September 2026</t>
        </is>
      </c>
      <c r="M3" t="inlineStr">
        <is>
          <t>Bangunan Sipil Jembatan, Jalan Layang, Fly Over, dan Underpass, Konstruksi Bangunan Sipil Jalan</t>
        </is>
      </c>
      <c r="N3" t="inlineStr">
        <is>
          <t>K</t>
        </is>
      </c>
      <c r="O3" t="inlineStr">
        <is>
          <t>20230815</t>
        </is>
      </c>
      <c r="P3" t="inlineStr">
        <is>
          <t>Jawa Barat</t>
        </is>
      </c>
      <c r="Q3" s="3">
        <f>HYPERLINK("https://wa.me/6281219542372?text=Selamat siang Bapak/Ibu pimpinan ADHI RAJASA TEKNIK,%0A%0ASemoga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ANUGRAH SAMUDRA PROPERTINDO</t>
        </is>
      </c>
      <c r="B4" t="inlineStr">
        <is>
          <t>Kota Bekasi</t>
        </is>
      </c>
      <c r="C4" t="inlineStr">
        <is>
          <t>02189457860</t>
        </is>
      </c>
      <c r="D4" t="inlineStr">
        <is>
          <t>anugrahsamudrapropertindo@gmail.com</t>
        </is>
      </c>
      <c r="E4" t="inlineStr">
        <is>
          <t>https://lpjk.pu.go.id/search-badan-usaha-detail/d0ZmTHNZNjZOeVR3U0Q2Y2tvUk9hQT09</t>
        </is>
      </c>
      <c r="F4" t="n">
        <v>2</v>
      </c>
      <c r="G4" t="inlineStr">
        <is>
          <t>BG001</t>
        </is>
      </c>
      <c r="H4" t="inlineStr">
        <is>
          <t>28 September 2020</t>
        </is>
      </c>
      <c r="I4" s="2" t="n">
        <v>46289</v>
      </c>
      <c r="J4" t="inlineStr">
        <is>
          <t>Disetujui</t>
        </is>
      </c>
      <c r="K4" t="n">
        <v>90</v>
      </c>
      <c r="L4" t="inlineStr">
        <is>
          <t>24 September 2026</t>
        </is>
      </c>
      <c r="M4" t="inlineStr">
        <is>
          <t>Konstruksi Gedung Hunian</t>
        </is>
      </c>
      <c r="N4" t="inlineStr">
        <is>
          <t>K</t>
        </is>
      </c>
      <c r="O4" t="inlineStr">
        <is>
          <t>20230913</t>
        </is>
      </c>
      <c r="P4" t="inlineStr">
        <is>
          <t>Jawa Barat</t>
        </is>
      </c>
      <c r="Q4" t="inlineStr"/>
    </row>
    <row r="5">
      <c r="A5" t="inlineStr">
        <is>
          <t>CIPTA MITRA SEJAHTERA</t>
        </is>
      </c>
      <c r="B5" t="inlineStr">
        <is>
          <t>Kab. Bekasi</t>
        </is>
      </c>
      <c r="C5" t="inlineStr">
        <is>
          <t>081282222165</t>
        </is>
      </c>
      <c r="D5" t="inlineStr">
        <is>
          <t>ciptamitrasejahtera99@gmail.com</t>
        </is>
      </c>
      <c r="E5" t="inlineStr">
        <is>
          <t>https://lpjk.pu.go.id/search-badan-usaha-detail/c3doMFdONDBvNFd1aTRzMlRHZGRBUT09</t>
        </is>
      </c>
      <c r="F5" t="n">
        <v>4</v>
      </c>
      <c r="G5" t="inlineStr">
        <is>
          <t>BG006, BG009</t>
        </is>
      </c>
      <c r="H5" t="inlineStr">
        <is>
          <t>27 November 2019</t>
        </is>
      </c>
      <c r="I5" s="2" t="n">
        <v>46289</v>
      </c>
      <c r="J5" t="inlineStr">
        <is>
          <t>Disetujui</t>
        </is>
      </c>
      <c r="K5" t="n">
        <v>90</v>
      </c>
      <c r="L5" t="inlineStr">
        <is>
          <t>24 September 2026</t>
        </is>
      </c>
      <c r="M5" t="inlineStr">
        <is>
          <t>Konstruksi Gedung Lainnya, Konstruksi Gedung Pendidikan</t>
        </is>
      </c>
      <c r="N5" t="inlineStr">
        <is>
          <t>K</t>
        </is>
      </c>
      <c r="O5" t="inlineStr">
        <is>
          <t>20230921</t>
        </is>
      </c>
      <c r="P5" t="inlineStr">
        <is>
          <t>Jawa Barat</t>
        </is>
      </c>
      <c r="Q5" s="3">
        <f>HYPERLINK("https://wa.me/6281282222165?text=Selamat siang Bapak/Ibu pimpinan CIPTA MITRA SEJAHTERA,%0A%0ASemoga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CIPTA RAHARJA MANDIRI</t>
        </is>
      </c>
      <c r="B6" t="inlineStr">
        <is>
          <t>Kab. Bogor</t>
        </is>
      </c>
      <c r="C6" t="inlineStr">
        <is>
          <t>081310208007</t>
        </is>
      </c>
      <c r="D6" t="inlineStr">
        <is>
          <t>ciptaraharjamandiri@gmail.com</t>
        </is>
      </c>
      <c r="E6" t="inlineStr">
        <is>
          <t>https://lpjk.pu.go.id/search-badan-usaha-detail/bGxhVHM3cktxbnYyd09SOXhFWVdNZz09</t>
        </is>
      </c>
      <c r="F6" t="n">
        <v>2</v>
      </c>
      <c r="G6" t="inlineStr">
        <is>
          <t>BG002</t>
        </is>
      </c>
      <c r="H6" t="inlineStr">
        <is>
          <t>14 Juni 2014</t>
        </is>
      </c>
      <c r="I6" s="2" t="n">
        <v>46289</v>
      </c>
      <c r="J6" t="inlineStr">
        <is>
          <t>Disetujui</t>
        </is>
      </c>
      <c r="K6" t="n">
        <v>90</v>
      </c>
      <c r="L6" t="inlineStr">
        <is>
          <t>24 September 2026</t>
        </is>
      </c>
      <c r="M6" t="inlineStr">
        <is>
          <t>Konstruksi Gedung Perkantoran</t>
        </is>
      </c>
      <c r="N6" t="inlineStr">
        <is>
          <t>K</t>
        </is>
      </c>
      <c r="O6" t="inlineStr">
        <is>
          <t>20230913</t>
        </is>
      </c>
      <c r="P6" t="inlineStr">
        <is>
          <t>Jawa Barat</t>
        </is>
      </c>
      <c r="Q6" s="3">
        <f>HYPERLINK("https://wa.me/6281310208007?text=Selamat siang Bapak/Ibu pimpinan CIPTA RAHARJA MANDIRI,%0A%0ASemoga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CIPUTRA MANGGALA TUNGGAL</t>
        </is>
      </c>
      <c r="B7" t="inlineStr">
        <is>
          <t>Kab. Bekasi</t>
        </is>
      </c>
      <c r="C7" t="inlineStr">
        <is>
          <t>0895635530239</t>
        </is>
      </c>
      <c r="D7" t="inlineStr">
        <is>
          <t>cv.ciputramanggalatunggal@gmail.com</t>
        </is>
      </c>
      <c r="E7" t="inlineStr">
        <is>
          <t>https://lpjk.pu.go.id/search-badan-usaha-detail/QmU4aGREM1Y5dHc4QzlyemZCazF4Zz09</t>
        </is>
      </c>
      <c r="F7" t="n">
        <v>2</v>
      </c>
      <c r="G7" t="inlineStr">
        <is>
          <t>BG006, BG009</t>
        </is>
      </c>
      <c r="H7" t="inlineStr">
        <is>
          <t>29 Januari 2020</t>
        </is>
      </c>
      <c r="I7" s="2" t="n">
        <v>46289</v>
      </c>
      <c r="J7" t="inlineStr">
        <is>
          <t>Disetujui</t>
        </is>
      </c>
      <c r="K7" t="n">
        <v>90</v>
      </c>
      <c r="L7" t="inlineStr">
        <is>
          <t>24 September 2026</t>
        </is>
      </c>
      <c r="M7" t="inlineStr">
        <is>
          <t>Konstruksi Gedung Lainnya, Konstruksi Gedung Pendidikan</t>
        </is>
      </c>
      <c r="N7" t="inlineStr">
        <is>
          <t>K</t>
        </is>
      </c>
      <c r="O7" t="inlineStr">
        <is>
          <t>20230821, 20230828</t>
        </is>
      </c>
      <c r="P7" t="inlineStr">
        <is>
          <t>Jawa Barat</t>
        </is>
      </c>
      <c r="Q7" s="3">
        <f>HYPERLINK("https://wa.me/62895635530239?text=Selamat siang Bapak/Ibu pimpinan CIPUTRA MANGGALA TUNGGAL,%0A%0ASemoga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DOE BARA UTAMA</t>
        </is>
      </c>
      <c r="B8" t="inlineStr">
        <is>
          <t>Kota Depok</t>
        </is>
      </c>
      <c r="C8" t="inlineStr">
        <is>
          <t>085771714750</t>
        </is>
      </c>
      <c r="D8" t="inlineStr">
        <is>
          <t>nardy.patih10@gmail.com</t>
        </is>
      </c>
      <c r="E8" t="inlineStr">
        <is>
          <t>https://lpjk.pu.go.id/search-badan-usaha-detail/dkpvU3pQQ20wQ3g5SzNwWjZhVVVnQT09</t>
        </is>
      </c>
      <c r="F8" t="n">
        <v>1</v>
      </c>
      <c r="G8" t="inlineStr">
        <is>
          <t>BS006</t>
        </is>
      </c>
      <c r="H8" t="inlineStr">
        <is>
          <t>14 Juli 2023</t>
        </is>
      </c>
      <c r="I8" s="2" t="n">
        <v>46289</v>
      </c>
      <c r="J8" t="inlineStr">
        <is>
          <t>Disetujui</t>
        </is>
      </c>
      <c r="K8" t="n">
        <v>90</v>
      </c>
      <c r="L8" t="inlineStr">
        <is>
          <t>24 September 2026</t>
        </is>
      </c>
      <c r="M8" t="inlineStr">
        <is>
          <t>Konstruksi Bangunan Sipil Prasarana dan Sarana Sistem Pengolahan Limbah Padat, Cair, dan Gas</t>
        </is>
      </c>
      <c r="N8" t="inlineStr">
        <is>
          <t>K</t>
        </is>
      </c>
      <c r="O8" t="inlineStr">
        <is>
          <t>20230922</t>
        </is>
      </c>
      <c r="P8" t="inlineStr">
        <is>
          <t>Jawa Barat</t>
        </is>
      </c>
      <c r="Q8" s="3">
        <f>HYPERLINK("https://wa.me/6285771714750?text=Selamat siang Bapak/Ibu pimpinan DOE BARA UTAMA,%0A%0ASemoga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GIGA TEKNIK</t>
        </is>
      </c>
      <c r="B9" t="inlineStr">
        <is>
          <t>Kab. Bekasi</t>
        </is>
      </c>
      <c r="C9" t="inlineStr">
        <is>
          <t>08124884737</t>
        </is>
      </c>
      <c r="D9" t="inlineStr">
        <is>
          <t>gigateknikcv@gmail.com</t>
        </is>
      </c>
      <c r="E9" t="inlineStr">
        <is>
          <t>https://lpjk.pu.go.id/search-badan-usaha-detail/NUlNaUFXNHRHTVlyb1RZdUNmdjVlZlhrT0gwcm5sSUpyUHFvNkdYc1hYdz0</t>
        </is>
      </c>
      <c r="F9" t="n">
        <v>1</v>
      </c>
      <c r="G9" t="inlineStr">
        <is>
          <t>BG009</t>
        </is>
      </c>
      <c r="H9" t="inlineStr">
        <is>
          <t>22 Desember 2025</t>
        </is>
      </c>
      <c r="I9" s="2" t="n">
        <v>46289</v>
      </c>
      <c r="J9" t="inlineStr">
        <is>
          <t>Disetujui</t>
        </is>
      </c>
      <c r="K9" t="n">
        <v>90</v>
      </c>
      <c r="L9" t="inlineStr">
        <is>
          <t>24 September 2026</t>
        </is>
      </c>
      <c r="M9" t="inlineStr">
        <is>
          <t>Konstruksi Gedung Lainnya</t>
        </is>
      </c>
      <c r="N9" t="inlineStr">
        <is>
          <t>K</t>
        </is>
      </c>
      <c r="O9" t="inlineStr">
        <is>
          <t>20230920</t>
        </is>
      </c>
      <c r="P9" t="inlineStr">
        <is>
          <t>Jawa Barat</t>
        </is>
      </c>
      <c r="Q9" s="3">
        <f>HYPERLINK("https://wa.me/628124884737?text=Selamat siang Bapak/Ibu pimpinan GIGA TEKNIK,%0A%0ASemoga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GRAHA PRATAMA MANDIRI</t>
        </is>
      </c>
      <c r="B10" t="inlineStr">
        <is>
          <t>Kota Bekasi</t>
        </is>
      </c>
      <c r="C10" t="inlineStr">
        <is>
          <t>02182609102</t>
        </is>
      </c>
      <c r="D10" t="inlineStr">
        <is>
          <t>grc_graha@yahoo.co.id</t>
        </is>
      </c>
      <c r="E10" t="inlineStr">
        <is>
          <t>https://lpjk.pu.go.id/search-badan-usaha-detail/SG85OCtqVTdoNHhWcXJqL2VQT2E2Zz09</t>
        </is>
      </c>
      <c r="F10" t="n">
        <v>1</v>
      </c>
      <c r="G10" t="inlineStr">
        <is>
          <t>BG001</t>
        </is>
      </c>
      <c r="H10" t="inlineStr">
        <is>
          <t>31 Maret 2005</t>
        </is>
      </c>
      <c r="I10" s="2" t="n">
        <v>46289</v>
      </c>
      <c r="J10" t="inlineStr">
        <is>
          <t>Disetujui</t>
        </is>
      </c>
      <c r="K10" t="n">
        <v>90</v>
      </c>
      <c r="L10" t="inlineStr">
        <is>
          <t>24 September 2026</t>
        </is>
      </c>
      <c r="M10" t="inlineStr">
        <is>
          <t>Konstruksi Gedung Hunian</t>
        </is>
      </c>
      <c r="N10" t="inlineStr">
        <is>
          <t>K</t>
        </is>
      </c>
      <c r="O10" t="inlineStr">
        <is>
          <t>20230914</t>
        </is>
      </c>
      <c r="P10" t="inlineStr">
        <is>
          <t>Jawa Barat</t>
        </is>
      </c>
      <c r="Q10" t="inlineStr"/>
    </row>
    <row r="11">
      <c r="A11" t="inlineStr">
        <is>
          <t>IRSAN KARYA JASA TAMA</t>
        </is>
      </c>
      <c r="B11" t="inlineStr">
        <is>
          <t>Kota Bogor</t>
        </is>
      </c>
      <c r="C11" t="inlineStr">
        <is>
          <t>02518330186</t>
        </is>
      </c>
      <c r="D11" t="inlineStr">
        <is>
          <t>irsankarya@gmail.com</t>
        </is>
      </c>
      <c r="E11" t="inlineStr">
        <is>
          <t>https://lpjk.pu.go.id/search-badan-usaha-detail/ZlpWMlJyclVTR05uRGFFWjVwbVZQQT09</t>
        </is>
      </c>
      <c r="F11" t="n">
        <v>2</v>
      </c>
      <c r="G11" t="inlineStr">
        <is>
          <t>BG002, BG009</t>
        </is>
      </c>
      <c r="H11" t="inlineStr">
        <is>
          <t>22 Agustus 2023</t>
        </is>
      </c>
      <c r="I11" s="2" t="n">
        <v>46289</v>
      </c>
      <c r="J11" t="inlineStr">
        <is>
          <t>Disetujui</t>
        </is>
      </c>
      <c r="K11" t="n">
        <v>90</v>
      </c>
      <c r="L11" t="inlineStr">
        <is>
          <t>24 September 2026</t>
        </is>
      </c>
      <c r="M11" t="inlineStr">
        <is>
          <t>Konstruksi Gedung Lainnya, Konstruksi Gedung Perkantoran</t>
        </is>
      </c>
      <c r="N11" t="inlineStr">
        <is>
          <t>K</t>
        </is>
      </c>
      <c r="O11" t="inlineStr">
        <is>
          <t>20230921</t>
        </is>
      </c>
      <c r="P11" t="inlineStr">
        <is>
          <t>Jawa Barat</t>
        </is>
      </c>
      <c r="Q11" s="3">
        <f>HYPERLINK("https://wa.me/622518330186?text=Selamat siang Bapak/Ibu pimpinan IRSAN KARYA JASA TAMA,%0A%0ASemoga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2">
      <c r="A12" t="inlineStr">
        <is>
          <t>METALINDO PRIMA ENGINEERING</t>
        </is>
      </c>
      <c r="B12" t="inlineStr">
        <is>
          <t>Kota Adm. Jakarta Timur</t>
        </is>
      </c>
      <c r="C12" t="inlineStr">
        <is>
          <t>0218561234</t>
        </is>
      </c>
      <c r="D12" t="inlineStr">
        <is>
          <t>hesty.mpe@gmail.com</t>
        </is>
      </c>
      <c r="E12" t="inlineStr">
        <is>
          <t>https://lpjk.pu.go.id/search-badan-usaha-detail/azZ5dkZFK25GYis5VWYxZlJkaFBmZz09</t>
        </is>
      </c>
      <c r="F12" t="n">
        <v>6</v>
      </c>
      <c r="G12" t="inlineStr">
        <is>
          <t>IN008, IN013</t>
        </is>
      </c>
      <c r="H12" t="inlineStr">
        <is>
          <t>6 November 2009</t>
        </is>
      </c>
      <c r="I12" s="2" t="n">
        <v>46289</v>
      </c>
      <c r="J12" t="inlineStr">
        <is>
          <t>Disetujui</t>
        </is>
      </c>
      <c r="K12" t="n">
        <v>90</v>
      </c>
      <c r="L12" t="inlineStr">
        <is>
          <t>24 September 2026</t>
        </is>
      </c>
      <c r="M12" t="inlineStr">
        <is>
          <t>Instalasi Pemanas dan Geotermal, Instalasi Pendingin Dan Ventilasi Udara</t>
        </is>
      </c>
      <c r="N12" t="inlineStr">
        <is>
          <t>Spesialis</t>
        </is>
      </c>
      <c r="O12" t="inlineStr">
        <is>
          <t>20230914</t>
        </is>
      </c>
      <c r="P12" t="inlineStr">
        <is>
          <t>DKI Jakarta</t>
        </is>
      </c>
      <c r="Q12" t="inlineStr"/>
    </row>
    <row r="13">
      <c r="A13" t="inlineStr">
        <is>
          <t>ABDI KARYA</t>
        </is>
      </c>
      <c r="B13" t="inlineStr">
        <is>
          <t>Kab. Gresik</t>
        </is>
      </c>
      <c r="C13" t="inlineStr">
        <is>
          <t>082232676199</t>
        </is>
      </c>
      <c r="D13" t="inlineStr">
        <is>
          <t>abdikaryagres@gmail.com</t>
        </is>
      </c>
      <c r="E13" t="inlineStr">
        <is>
          <t>https://lpjk.pu.go.id/search-badan-usaha-detail/YllZdGpiN1l6VVZvOVpab0pINHRXUT09</t>
        </is>
      </c>
      <c r="F13" t="n">
        <v>3</v>
      </c>
      <c r="G13" t="inlineStr">
        <is>
          <t>BG004, BG005, BS002</t>
        </is>
      </c>
      <c r="H13" t="inlineStr">
        <is>
          <t>14 Agustus 2023</t>
        </is>
      </c>
      <c r="I13" s="2" t="n">
        <v>46289</v>
      </c>
      <c r="J13" t="inlineStr">
        <is>
          <t>Disetujui</t>
        </is>
      </c>
      <c r="K13" t="n">
        <v>90</v>
      </c>
      <c r="L13" t="inlineStr">
        <is>
          <t>24 September 2026</t>
        </is>
      </c>
      <c r="M13" t="inlineStr">
        <is>
          <t>Bangunan Sipil Jembatan, Jalan Layang, Fly Over, dan Underpass, Konstruksi Gedung Kesehatan, Konstruksi Gedung Perbelanjaan</t>
        </is>
      </c>
      <c r="N13" t="inlineStr">
        <is>
          <t>K</t>
        </is>
      </c>
      <c r="O13" t="inlineStr">
        <is>
          <t>20230920</t>
        </is>
      </c>
      <c r="P13" t="inlineStr">
        <is>
          <t>Jawa Timur</t>
        </is>
      </c>
      <c r="Q13" t="inlineStr"/>
    </row>
    <row r="14">
      <c r="A14" t="inlineStr">
        <is>
          <t>ABDI KARYA</t>
        </is>
      </c>
      <c r="B14" t="inlineStr">
        <is>
          <t>Kab. Dairi</t>
        </is>
      </c>
      <c r="C14" t="inlineStr">
        <is>
          <t>082274867628</t>
        </is>
      </c>
      <c r="D14" t="inlineStr">
        <is>
          <t>abdi.sihombing@yahoo.com</t>
        </is>
      </c>
      <c r="E14" t="inlineStr">
        <is>
          <t>https://lpjk.pu.go.id/search-badan-usaha-detail/TzBxaldPcWFHazcrZzQyNlN1eHdrUT09</t>
        </is>
      </c>
      <c r="F14" t="n">
        <v>1</v>
      </c>
      <c r="G14" t="inlineStr">
        <is>
          <t>BG006</t>
        </is>
      </c>
      <c r="H14" t="inlineStr">
        <is>
          <t>17 Januari 2020</t>
        </is>
      </c>
      <c r="I14" s="2" t="n">
        <v>46289</v>
      </c>
      <c r="J14" t="inlineStr">
        <is>
          <t>Disetujui</t>
        </is>
      </c>
      <c r="K14" t="n">
        <v>90</v>
      </c>
      <c r="L14" t="inlineStr">
        <is>
          <t>24 September 2026</t>
        </is>
      </c>
      <c r="M14" t="inlineStr">
        <is>
          <t>Konstruksi Gedung Pendidikan</t>
        </is>
      </c>
      <c r="N14" t="inlineStr">
        <is>
          <t>K</t>
        </is>
      </c>
      <c r="O14" t="inlineStr">
        <is>
          <t>20230921</t>
        </is>
      </c>
      <c r="P14" t="inlineStr">
        <is>
          <t>Sumatera Utara</t>
        </is>
      </c>
      <c r="Q14" t="inlineStr"/>
    </row>
    <row r="15">
      <c r="A15" t="inlineStr">
        <is>
          <t>ABYUDAYA</t>
        </is>
      </c>
      <c r="B15" t="inlineStr">
        <is>
          <t>Kab. Sidoarjo</t>
        </is>
      </c>
      <c r="C15" t="inlineStr">
        <is>
          <t>08113317174</t>
        </is>
      </c>
      <c r="D15" t="inlineStr">
        <is>
          <t>cvabyudaya88@gmail.com</t>
        </is>
      </c>
      <c r="E15" t="inlineStr">
        <is>
          <t>https://lpjk.pu.go.id/search-badan-usaha-detail/cXRaTUZGcUMxNTZoSnZpNWhidm4wdz09</t>
        </is>
      </c>
      <c r="F15" t="n">
        <v>2</v>
      </c>
      <c r="G15" t="inlineStr">
        <is>
          <t>BS001, BS004</t>
        </is>
      </c>
      <c r="H15" t="inlineStr">
        <is>
          <t>10 Februari 2015</t>
        </is>
      </c>
      <c r="I15" s="2" t="n">
        <v>46289</v>
      </c>
      <c r="J15" t="inlineStr">
        <is>
          <t>Disetujui</t>
        </is>
      </c>
      <c r="K15" t="n">
        <v>90</v>
      </c>
      <c r="L15" t="inlineStr">
        <is>
          <t>24 September 2026</t>
        </is>
      </c>
      <c r="M15" t="inlineStr">
        <is>
          <t>Konstruksi Bangunan Sipil Jalan, Konstruksi Jaringan Irigasi dan Drainase</t>
        </is>
      </c>
      <c r="N15" t="inlineStr">
        <is>
          <t>K</t>
        </is>
      </c>
      <c r="O15" t="inlineStr">
        <is>
          <t>20230921</t>
        </is>
      </c>
      <c r="P15" t="inlineStr">
        <is>
          <t>Jawa Timur</t>
        </is>
      </c>
      <c r="Q15" t="inlineStr"/>
    </row>
    <row r="16">
      <c r="A16" t="inlineStr">
        <is>
          <t>ADILOKA KHATULISTIWA</t>
        </is>
      </c>
      <c r="B16" t="inlineStr">
        <is>
          <t>Kab. Indramayu</t>
        </is>
      </c>
      <c r="C16" t="inlineStr">
        <is>
          <t>+6282115808950</t>
        </is>
      </c>
      <c r="D16" t="inlineStr">
        <is>
          <t>adiloka.cv@gmail.com</t>
        </is>
      </c>
      <c r="E16" t="inlineStr">
        <is>
          <t>https://lpjk.pu.go.id/search-badan-usaha-detail/SGFoZ1dacmpkdkxGdzRIaFVqWHUvQT09</t>
        </is>
      </c>
      <c r="F16" t="n">
        <v>2</v>
      </c>
      <c r="G16" t="inlineStr">
        <is>
          <t>BG002</t>
        </is>
      </c>
      <c r="H16" t="inlineStr">
        <is>
          <t>6 September 2023</t>
        </is>
      </c>
      <c r="I16" s="2" t="n">
        <v>46289</v>
      </c>
      <c r="J16" t="inlineStr">
        <is>
          <t>Disetujui</t>
        </is>
      </c>
      <c r="K16" t="n">
        <v>90</v>
      </c>
      <c r="L16" t="inlineStr">
        <is>
          <t>24 September 2026</t>
        </is>
      </c>
      <c r="M16" t="inlineStr">
        <is>
          <t>Konstruksi Gedung Perkantoran</t>
        </is>
      </c>
      <c r="N16" t="inlineStr">
        <is>
          <t>K</t>
        </is>
      </c>
      <c r="O16" t="inlineStr">
        <is>
          <t>20230918</t>
        </is>
      </c>
      <c r="P16" t="inlineStr">
        <is>
          <t>Jawa Barat</t>
        </is>
      </c>
      <c r="Q16" t="inlineStr"/>
    </row>
    <row r="17">
      <c r="A17" t="inlineStr">
        <is>
          <t>AKSA INDO MANUFAKTUR</t>
        </is>
      </c>
      <c r="B17" t="inlineStr">
        <is>
          <t>Kota Palu</t>
        </is>
      </c>
      <c r="C17" t="inlineStr">
        <is>
          <t>08114534393</t>
        </is>
      </c>
      <c r="D17" t="inlineStr">
        <is>
          <t>aksaindomanufaktur@gmail.com</t>
        </is>
      </c>
      <c r="E17" t="inlineStr">
        <is>
          <t>https://lpjk.pu.go.id/search-badan-usaha-detail/L1B1WkZTR1dpTUIzVkRXSkpJL01vdz09</t>
        </is>
      </c>
      <c r="F17" t="n">
        <v>1</v>
      </c>
      <c r="G17" t="inlineStr">
        <is>
          <t>BG002</t>
        </is>
      </c>
      <c r="H17" t="inlineStr">
        <is>
          <t>9 Januari 2023</t>
        </is>
      </c>
      <c r="I17" s="2" t="n">
        <v>46289</v>
      </c>
      <c r="J17" t="inlineStr">
        <is>
          <t>Disetujui</t>
        </is>
      </c>
      <c r="K17" t="n">
        <v>90</v>
      </c>
      <c r="L17" t="inlineStr">
        <is>
          <t>24 September 2026</t>
        </is>
      </c>
      <c r="M17" t="inlineStr">
        <is>
          <t>Konstruksi Gedung Perkantoran</t>
        </is>
      </c>
      <c r="N17" t="inlineStr">
        <is>
          <t>K</t>
        </is>
      </c>
      <c r="O17" t="inlineStr">
        <is>
          <t>20230920</t>
        </is>
      </c>
      <c r="P17" t="inlineStr">
        <is>
          <t>Sulawesi Tengah</t>
        </is>
      </c>
      <c r="Q17" t="inlineStr"/>
    </row>
    <row r="18">
      <c r="A18" t="inlineStr">
        <is>
          <t>ALDO PUTRA BAROKAH</t>
        </is>
      </c>
      <c r="B18" t="inlineStr">
        <is>
          <t>Kab. Jombang</t>
        </is>
      </c>
      <c r="C18" t="inlineStr">
        <is>
          <t>085335773289</t>
        </is>
      </c>
      <c r="D18" t="inlineStr">
        <is>
          <t>arissafirotulf.ks115@gmail.com</t>
        </is>
      </c>
      <c r="E18" t="inlineStr">
        <is>
          <t>https://lpjk.pu.go.id/search-badan-usaha-detail/SDZKdlNHeWhwSmtoaXZwL1g0OEJodz09</t>
        </is>
      </c>
      <c r="F18" t="n">
        <v>1</v>
      </c>
      <c r="G18" t="inlineStr">
        <is>
          <t>BS005</t>
        </is>
      </c>
      <c r="H18" t="inlineStr">
        <is>
          <t>12 Februari 2015</t>
        </is>
      </c>
      <c r="I18" s="2" t="n">
        <v>46289</v>
      </c>
      <c r="J18" t="inlineStr">
        <is>
          <t>Disetujui</t>
        </is>
      </c>
      <c r="K18" t="n">
        <v>90</v>
      </c>
      <c r="L18" t="inlineStr">
        <is>
          <t>24 September 2026</t>
        </is>
      </c>
      <c r="M18" t="inlineStr">
        <is>
          <t>Konstruksi Bangunan Sipil Pengolahan Air Bersih</t>
        </is>
      </c>
      <c r="N18" t="inlineStr">
        <is>
          <t>K</t>
        </is>
      </c>
      <c r="O18" t="inlineStr">
        <is>
          <t>20230921</t>
        </is>
      </c>
      <c r="P18" t="inlineStr">
        <is>
          <t>Jawa Timur</t>
        </is>
      </c>
      <c r="Q18" t="inlineStr"/>
    </row>
    <row r="19">
      <c r="A19" t="inlineStr">
        <is>
          <t>ALESHA AGHNIA GIANI</t>
        </is>
      </c>
      <c r="B19" t="inlineStr">
        <is>
          <t>Kab. Hulu Sungai Utara</t>
        </is>
      </c>
      <c r="C19" t="inlineStr">
        <is>
          <t>0811505355</t>
        </is>
      </c>
      <c r="D19" t="inlineStr">
        <is>
          <t>aleshaaghniagiani@gmail.com</t>
        </is>
      </c>
      <c r="E19" t="inlineStr">
        <is>
          <t>https://lpjk.pu.go.id/search-badan-usaha-detail/cTJ3dm1EWk1xUGFMcklTZlk5TmNUdz09</t>
        </is>
      </c>
      <c r="F19" t="n">
        <v>1</v>
      </c>
      <c r="G19" t="inlineStr">
        <is>
          <t>BG009</t>
        </is>
      </c>
      <c r="H19" t="inlineStr">
        <is>
          <t>31 Mei 2023</t>
        </is>
      </c>
      <c r="I19" s="2" t="n">
        <v>46289</v>
      </c>
      <c r="J19" t="inlineStr">
        <is>
          <t>Disetujui</t>
        </is>
      </c>
      <c r="K19" t="n">
        <v>90</v>
      </c>
      <c r="L19" t="inlineStr">
        <is>
          <t>24 September 2026</t>
        </is>
      </c>
      <c r="M19" t="inlineStr">
        <is>
          <t>Konstruksi Gedung Lainnya</t>
        </is>
      </c>
      <c r="N19" t="inlineStr">
        <is>
          <t>K</t>
        </is>
      </c>
      <c r="O19" t="inlineStr">
        <is>
          <t>20230915</t>
        </is>
      </c>
      <c r="P19" t="inlineStr">
        <is>
          <t>Kalimantan Selatan</t>
        </is>
      </c>
      <c r="Q19" t="inlineStr"/>
    </row>
    <row r="20">
      <c r="A20" t="inlineStr">
        <is>
          <t>ALFA KIRANA KONSTRUKSI</t>
        </is>
      </c>
      <c r="B20" t="inlineStr">
        <is>
          <t>Kota Medan</t>
        </is>
      </c>
      <c r="C20" t="inlineStr">
        <is>
          <t>082166817711</t>
        </is>
      </c>
      <c r="D20" t="inlineStr">
        <is>
          <t>CV.ALFAKIRANA@GMAIL.COM</t>
        </is>
      </c>
      <c r="E20" t="inlineStr">
        <is>
          <t>https://lpjk.pu.go.id/search-badan-usaha-detail/Y2JvYndrWldGNDE5clp5bWdVRGh4QT09</t>
        </is>
      </c>
      <c r="F20" t="n">
        <v>2</v>
      </c>
      <c r="G20" t="inlineStr">
        <is>
          <t>BG002, BG003</t>
        </is>
      </c>
      <c r="H20" t="inlineStr">
        <is>
          <t>6 Juli 2023</t>
        </is>
      </c>
      <c r="I20" s="2" t="n">
        <v>46289</v>
      </c>
      <c r="J20" t="inlineStr">
        <is>
          <t>Disetujui</t>
        </is>
      </c>
      <c r="K20" t="n">
        <v>90</v>
      </c>
      <c r="L20" t="inlineStr">
        <is>
          <t>24 September 2026</t>
        </is>
      </c>
      <c r="M20" t="inlineStr">
        <is>
          <t>Konstruksi Gedung Industri, Konstruksi Gedung Perkantoran</t>
        </is>
      </c>
      <c r="N20" t="inlineStr">
        <is>
          <t>K</t>
        </is>
      </c>
      <c r="O20" t="inlineStr">
        <is>
          <t>20230920</t>
        </is>
      </c>
      <c r="P20" t="inlineStr">
        <is>
          <t>Sumatera Utara</t>
        </is>
      </c>
      <c r="Q20" t="inlineStr"/>
    </row>
    <row r="21">
      <c r="A21" t="inlineStr">
        <is>
          <t>ALIF UTAMA KONTRAKTOR</t>
        </is>
      </c>
      <c r="B21" t="inlineStr">
        <is>
          <t>Kab. Solok</t>
        </is>
      </c>
      <c r="C21" t="inlineStr">
        <is>
          <t>081363477500</t>
        </is>
      </c>
      <c r="D21" t="inlineStr">
        <is>
          <t>cvaliefutama@gmail.com</t>
        </is>
      </c>
      <c r="E21" t="inlineStr">
        <is>
          <t>https://lpjk.pu.go.id/search-badan-usaha-detail/b0NjcmRnQVNzMG5SQ3BRa1FoK3d6QT09</t>
        </is>
      </c>
      <c r="F21" t="n">
        <v>1</v>
      </c>
      <c r="G21" t="inlineStr">
        <is>
          <t>BG005</t>
        </is>
      </c>
      <c r="H21" t="inlineStr">
        <is>
          <t>31 Desember 2021</t>
        </is>
      </c>
      <c r="I21" s="2" t="n">
        <v>46289</v>
      </c>
      <c r="J21" t="inlineStr">
        <is>
          <t>Disetujui</t>
        </is>
      </c>
      <c r="K21" t="n">
        <v>90</v>
      </c>
      <c r="L21" t="inlineStr">
        <is>
          <t>24 September 2026</t>
        </is>
      </c>
      <c r="M21" t="inlineStr">
        <is>
          <t>Konstruksi Gedung Kesehatan</t>
        </is>
      </c>
      <c r="N21" t="inlineStr">
        <is>
          <t>K</t>
        </is>
      </c>
      <c r="O21" t="inlineStr">
        <is>
          <t>20230925</t>
        </is>
      </c>
      <c r="P21" t="inlineStr">
        <is>
          <t>Sumatera Barat</t>
        </is>
      </c>
      <c r="Q21" t="inlineStr"/>
    </row>
    <row r="22">
      <c r="A22" t="inlineStr">
        <is>
          <t>ALVINA ROSE SEJAHTERA</t>
        </is>
      </c>
      <c r="B22" t="inlineStr">
        <is>
          <t>Kota Surabaya</t>
        </is>
      </c>
      <c r="C22" t="inlineStr">
        <is>
          <t>082158989082</t>
        </is>
      </c>
      <c r="D22" t="inlineStr">
        <is>
          <t>alvinarose.sejahtera@gmail.com</t>
        </is>
      </c>
      <c r="E22" t="inlineStr">
        <is>
          <t>https://lpjk.pu.go.id/search-badan-usaha-detail/WUFKd3g5RWFDNkNMQ0d4cm9ac3pOQT09</t>
        </is>
      </c>
      <c r="F22" t="n">
        <v>4</v>
      </c>
      <c r="G22" t="inlineStr">
        <is>
          <t>BS004, BS010</t>
        </is>
      </c>
      <c r="H22" t="inlineStr">
        <is>
          <t>24 Agustus 2006</t>
        </is>
      </c>
      <c r="I22" s="2" t="n">
        <v>46289</v>
      </c>
      <c r="J22" t="inlineStr">
        <is>
          <t>Disetujui, Pencabutan</t>
        </is>
      </c>
      <c r="K22" t="n">
        <v>90</v>
      </c>
      <c r="L22" t="inlineStr">
        <is>
          <t>24 September 2026</t>
        </is>
      </c>
      <c r="M22" t="inlineStr">
        <is>
          <t>Konstruksi Bangunan Prasarana Sumber Daya Air, Konstruksi Jaringan Irigasi dan Drainase</t>
        </is>
      </c>
      <c r="N22" t="inlineStr">
        <is>
          <t>K</t>
        </is>
      </c>
      <c r="O22" t="inlineStr">
        <is>
          <t>20230922</t>
        </is>
      </c>
      <c r="P22" t="inlineStr">
        <is>
          <t>Jawa Timur</t>
        </is>
      </c>
      <c r="Q22" t="inlineStr"/>
    </row>
    <row r="23">
      <c r="A23" t="inlineStr">
        <is>
          <t>ANAK NEGERI</t>
        </is>
      </c>
      <c r="B23" t="inlineStr">
        <is>
          <t>Kab. Pemalang</t>
        </is>
      </c>
      <c r="C23" t="inlineStr">
        <is>
          <t>0818244614</t>
        </is>
      </c>
      <c r="D23" t="inlineStr">
        <is>
          <t>anaknegeripml@yahoo.com</t>
        </is>
      </c>
      <c r="E23" t="inlineStr">
        <is>
          <t>https://lpjk.pu.go.id/search-badan-usaha-detail/V1J0YUFCbndXTjRSdXllQkUzUkNTUT09</t>
        </is>
      </c>
      <c r="F23" t="n">
        <v>1</v>
      </c>
      <c r="G23" t="inlineStr">
        <is>
          <t>BG006</t>
        </is>
      </c>
      <c r="H23" t="inlineStr">
        <is>
          <t>31 Mei 2007</t>
        </is>
      </c>
      <c r="I23" s="2" t="n">
        <v>46289</v>
      </c>
      <c r="J23" t="inlineStr">
        <is>
          <t>Disetujui</t>
        </is>
      </c>
      <c r="K23" t="n">
        <v>90</v>
      </c>
      <c r="L23" t="inlineStr">
        <is>
          <t>24 September 2026</t>
        </is>
      </c>
      <c r="M23" t="inlineStr">
        <is>
          <t>Konstruksi Gedung Pendidikan</t>
        </is>
      </c>
      <c r="N23" t="inlineStr">
        <is>
          <t>K</t>
        </is>
      </c>
      <c r="O23" t="inlineStr">
        <is>
          <t>20230918</t>
        </is>
      </c>
      <c r="P23" t="inlineStr">
        <is>
          <t>Jawa Tengah</t>
        </is>
      </c>
      <c r="Q23" t="inlineStr"/>
    </row>
    <row r="24">
      <c r="A24" t="inlineStr">
        <is>
          <t>ANUGERAH HASEA JAYA</t>
        </is>
      </c>
      <c r="B24" t="inlineStr">
        <is>
          <t>Kota Medan</t>
        </is>
      </c>
      <c r="C24" t="inlineStr">
        <is>
          <t>081260062002</t>
        </is>
      </c>
      <c r="D24" t="inlineStr">
        <is>
          <t>ptanugerahhaseajaya@gmail.com</t>
        </is>
      </c>
      <c r="E24" t="inlineStr">
        <is>
          <t>https://lpjk.pu.go.id/search-badan-usaha-detail/ZlYwV0lJUUVVOHJzekUwa0lLNmNKUT09</t>
        </is>
      </c>
      <c r="F24" t="n">
        <v>1</v>
      </c>
      <c r="G24" t="inlineStr">
        <is>
          <t>BG002</t>
        </is>
      </c>
      <c r="H24" t="inlineStr">
        <is>
          <t>16 Mei 2016</t>
        </is>
      </c>
      <c r="I24" s="2" t="n">
        <v>46289</v>
      </c>
      <c r="J24" t="inlineStr">
        <is>
          <t>Disetujui</t>
        </is>
      </c>
      <c r="K24" t="n">
        <v>90</v>
      </c>
      <c r="L24" t="inlineStr">
        <is>
          <t>24 September 2026</t>
        </is>
      </c>
      <c r="M24" t="inlineStr">
        <is>
          <t>Konstruksi Gedung Perkantoran</t>
        </is>
      </c>
      <c r="N24" t="inlineStr">
        <is>
          <t>K</t>
        </is>
      </c>
      <c r="O24" t="inlineStr">
        <is>
          <t>20230921</t>
        </is>
      </c>
      <c r="P24" t="inlineStr">
        <is>
          <t>Sumatera Utara</t>
        </is>
      </c>
      <c r="Q24" t="inlineStr"/>
    </row>
    <row r="25">
      <c r="A25" t="inlineStr">
        <is>
          <t>ARGATAMA</t>
        </is>
      </c>
      <c r="B25" t="inlineStr">
        <is>
          <t>Kab. Jember</t>
        </is>
      </c>
      <c r="C25" t="inlineStr">
        <is>
          <t>085236887000</t>
        </is>
      </c>
      <c r="D25" t="inlineStr">
        <is>
          <t>cvargatamajbr@gmail.com</t>
        </is>
      </c>
      <c r="E25" t="inlineStr">
        <is>
          <t>https://lpjk.pu.go.id/search-badan-usaha-detail/eitYOU9oeDZwMEJrd013TW1tWTBuZz09</t>
        </is>
      </c>
      <c r="F25" t="n">
        <v>3</v>
      </c>
      <c r="G25" t="inlineStr">
        <is>
          <t>BS005</t>
        </is>
      </c>
      <c r="H25" t="inlineStr">
        <is>
          <t>22 Januari 1982</t>
        </is>
      </c>
      <c r="I25" s="2" t="n">
        <v>46289</v>
      </c>
      <c r="J25" t="inlineStr">
        <is>
          <t>Pencabutan</t>
        </is>
      </c>
      <c r="K25" t="n">
        <v>90</v>
      </c>
      <c r="L25" t="inlineStr">
        <is>
          <t>24 September 2026</t>
        </is>
      </c>
      <c r="M25" t="inlineStr">
        <is>
          <t>Konstruksi Bangunan Sipil Pengolahan Air Bersih</t>
        </is>
      </c>
      <c r="N25" t="inlineStr">
        <is>
          <t>K</t>
        </is>
      </c>
      <c r="O25" t="inlineStr">
        <is>
          <t>20230920</t>
        </is>
      </c>
      <c r="P25" t="inlineStr">
        <is>
          <t>Jawa Timur</t>
        </is>
      </c>
      <c r="Q25" t="inlineStr"/>
    </row>
    <row r="26">
      <c r="A26" t="inlineStr">
        <is>
          <t>ARIS KARYA</t>
        </is>
      </c>
      <c r="B26" t="inlineStr">
        <is>
          <t>Kota Padang Sidempuan</t>
        </is>
      </c>
      <c r="C26" t="inlineStr">
        <is>
          <t>082276778267</t>
        </is>
      </c>
      <c r="D26" t="inlineStr">
        <is>
          <t>cvariskaryapsp@gmail.com</t>
        </is>
      </c>
      <c r="E26" t="inlineStr">
        <is>
          <t>https://lpjk.pu.go.id/search-badan-usaha-detail/Ymg0Q0xvYWdtdjhadHhRcUtiOUZoUT09</t>
        </is>
      </c>
      <c r="F26" t="n">
        <v>2</v>
      </c>
      <c r="G26" t="inlineStr">
        <is>
          <t>BS010</t>
        </is>
      </c>
      <c r="H26" t="inlineStr">
        <is>
          <t>2 April 2011</t>
        </is>
      </c>
      <c r="I26" s="2" t="n">
        <v>46289</v>
      </c>
      <c r="J26" t="inlineStr">
        <is>
          <t>Disetujui</t>
        </is>
      </c>
      <c r="K26" t="n">
        <v>90</v>
      </c>
      <c r="L26" t="inlineStr">
        <is>
          <t>24 September 2026</t>
        </is>
      </c>
      <c r="M26" t="inlineStr">
        <is>
          <t>Konstruksi Bangunan Prasarana Sumber Daya Air</t>
        </is>
      </c>
      <c r="N26" t="inlineStr">
        <is>
          <t>K</t>
        </is>
      </c>
      <c r="O26" t="inlineStr">
        <is>
          <t>20230925</t>
        </is>
      </c>
      <c r="P26" t="inlineStr">
        <is>
          <t>Sumatera Utara</t>
        </is>
      </c>
      <c r="Q26" t="inlineStr"/>
    </row>
    <row r="27">
      <c r="A27" t="inlineStr">
        <is>
          <t>ARNOLD</t>
        </is>
      </c>
      <c r="B27" t="inlineStr">
        <is>
          <t>Kab. Dairi</t>
        </is>
      </c>
      <c r="C27" t="inlineStr">
        <is>
          <t>082161156312</t>
        </is>
      </c>
      <c r="D27" t="inlineStr">
        <is>
          <t>arnolcv217@gmail.com</t>
        </is>
      </c>
      <c r="E27" t="inlineStr">
        <is>
          <t>https://lpjk.pu.go.id/search-badan-usaha-detail/eUtxbmNYSnRpQUsvTnNOTVp6MUF1UT09</t>
        </is>
      </c>
      <c r="F27" t="n">
        <v>1</v>
      </c>
      <c r="G27" t="inlineStr">
        <is>
          <t>BG009</t>
        </is>
      </c>
      <c r="H27" t="inlineStr">
        <is>
          <t>9 Mei 2014</t>
        </is>
      </c>
      <c r="I27" s="2" t="n">
        <v>46289</v>
      </c>
      <c r="J27" t="inlineStr">
        <is>
          <t>Disetujui</t>
        </is>
      </c>
      <c r="K27" t="n">
        <v>90</v>
      </c>
      <c r="L27" t="inlineStr">
        <is>
          <t>24 September 2026</t>
        </is>
      </c>
      <c r="M27" t="inlineStr">
        <is>
          <t>Konstruksi Gedung Lainnya</t>
        </is>
      </c>
      <c r="N27" t="inlineStr">
        <is>
          <t>K</t>
        </is>
      </c>
      <c r="O27" t="inlineStr">
        <is>
          <t>20230920</t>
        </is>
      </c>
      <c r="P27" t="inlineStr">
        <is>
          <t>Sumatera Utara</t>
        </is>
      </c>
      <c r="Q27" t="inlineStr"/>
    </row>
    <row r="28">
      <c r="A28" t="inlineStr">
        <is>
          <t>ARUS MAHAKAM ABADI</t>
        </is>
      </c>
      <c r="B28" t="inlineStr">
        <is>
          <t>Kab. Kutai Kartanegara</t>
        </is>
      </c>
      <c r="C28" t="inlineStr">
        <is>
          <t>081215633333</t>
        </is>
      </c>
      <c r="D28" t="inlineStr">
        <is>
          <t>arusmahakam.abadi88@gmail.com</t>
        </is>
      </c>
      <c r="E28" t="inlineStr">
        <is>
          <t>https://lpjk.pu.go.id/search-badan-usaha-detail/VTA2THhkVFVxdk01QUh4MnBTNWErQT09</t>
        </is>
      </c>
      <c r="F28" t="n">
        <v>3</v>
      </c>
      <c r="G28" t="inlineStr">
        <is>
          <t>BG006, BG009, BS004</t>
        </is>
      </c>
      <c r="H28" t="inlineStr">
        <is>
          <t>21 Februari 2008</t>
        </is>
      </c>
      <c r="I28" s="2" t="n">
        <v>46289</v>
      </c>
      <c r="J28" t="inlineStr">
        <is>
          <t>Disetujui</t>
        </is>
      </c>
      <c r="K28" t="n">
        <v>90</v>
      </c>
      <c r="L28" t="inlineStr">
        <is>
          <t>24 September 2026</t>
        </is>
      </c>
      <c r="M28" t="inlineStr">
        <is>
          <t>Konstruksi Gedung Lainnya, Konstruksi Gedung Pendidikan, Konstruksi Jaringan Irigasi dan Drainase</t>
        </is>
      </c>
      <c r="N28" t="inlineStr">
        <is>
          <t>K</t>
        </is>
      </c>
      <c r="O28" t="inlineStr">
        <is>
          <t>20230921</t>
        </is>
      </c>
      <c r="P28" t="inlineStr">
        <is>
          <t>Kalimantan Timur</t>
        </is>
      </c>
      <c r="Q28" t="inlineStr"/>
    </row>
    <row r="29">
      <c r="A29" t="inlineStr">
        <is>
          <t>ATARA DESAIN</t>
        </is>
      </c>
      <c r="B29" t="inlineStr">
        <is>
          <t>Kab. Brebes</t>
        </is>
      </c>
      <c r="C29" t="inlineStr">
        <is>
          <t>085868875880</t>
        </is>
      </c>
      <c r="D29" t="inlineStr">
        <is>
          <t>ataradesain@gmail.com</t>
        </is>
      </c>
      <c r="E29" t="inlineStr">
        <is>
          <t>https://lpjk.pu.go.id/search-badan-usaha-detail/T1B3Tk1vMHZGbE5vWENUNmkwdloyUT09</t>
        </is>
      </c>
      <c r="F29" t="n">
        <v>2</v>
      </c>
      <c r="G29" t="inlineStr">
        <is>
          <t>RK002, RK003</t>
        </is>
      </c>
      <c r="H29" t="inlineStr">
        <is>
          <t>6 November 2015</t>
        </is>
      </c>
      <c r="I29" s="2" t="n">
        <v>46289</v>
      </c>
      <c r="J29" t="inlineStr">
        <is>
          <t>Pencabutan</t>
        </is>
      </c>
      <c r="K29" t="n">
        <v>90</v>
      </c>
      <c r="L29" t="inlineStr">
        <is>
          <t>24 September 2026</t>
        </is>
      </c>
      <c r="M29" t="inlineStr">
        <is>
          <t>Jasa Rekayasa Pekerjaan Teknik Sipil Sumber Daya Air, Jasa Rekayasa Pekerjaan Teknik Sipil Transportasi</t>
        </is>
      </c>
      <c r="N29" t="inlineStr">
        <is>
          <t>K</t>
        </is>
      </c>
      <c r="O29" t="inlineStr">
        <is>
          <t>20230713</t>
        </is>
      </c>
      <c r="P29" t="inlineStr">
        <is>
          <t>Jawa Tengah</t>
        </is>
      </c>
      <c r="Q29" t="inlineStr"/>
    </row>
    <row r="30">
      <c r="A30" t="inlineStr">
        <is>
          <t>AZ-ZIYADAH</t>
        </is>
      </c>
      <c r="B30" t="inlineStr">
        <is>
          <t>Kab. Sumedang</t>
        </is>
      </c>
      <c r="C30" t="inlineStr">
        <is>
          <t>085222291749</t>
        </is>
      </c>
      <c r="D30" t="inlineStr">
        <is>
          <t>cvazziyadahizin@gmail.com</t>
        </is>
      </c>
      <c r="E30" t="inlineStr">
        <is>
          <t>https://lpjk.pu.go.id/search-badan-usaha-detail/cnBwMnVHSWNuKzhJY2o2NGkwejE1UT09</t>
        </is>
      </c>
      <c r="F30" t="n">
        <v>2</v>
      </c>
      <c r="G30" t="inlineStr">
        <is>
          <t>BS001, BS004</t>
        </is>
      </c>
      <c r="H30" t="inlineStr">
        <is>
          <t>21 Maret 2013</t>
        </is>
      </c>
      <c r="I30" s="2" t="n">
        <v>46289</v>
      </c>
      <c r="J30" t="inlineStr">
        <is>
          <t>Disetujui</t>
        </is>
      </c>
      <c r="K30" t="n">
        <v>90</v>
      </c>
      <c r="L30" t="inlineStr">
        <is>
          <t>24 September 2026</t>
        </is>
      </c>
      <c r="M30" t="inlineStr">
        <is>
          <t>Konstruksi Bangunan Sipil Jalan, Konstruksi Jaringan Irigasi dan Drainase</t>
        </is>
      </c>
      <c r="N30" t="inlineStr">
        <is>
          <t>K</t>
        </is>
      </c>
      <c r="O30" t="inlineStr">
        <is>
          <t>20230908, 20230920</t>
        </is>
      </c>
      <c r="P30" t="inlineStr">
        <is>
          <t>Jawa Barat</t>
        </is>
      </c>
      <c r="Q30" t="inlineStr"/>
    </row>
    <row r="31">
      <c r="A31" t="inlineStr">
        <is>
          <t>BAHANA TOTALINDO TEKNIK</t>
        </is>
      </c>
      <c r="B31" t="inlineStr">
        <is>
          <t>Kota Adm. Jakarta Pusat</t>
        </is>
      </c>
      <c r="C31" t="inlineStr">
        <is>
          <t>0215733007</t>
        </is>
      </c>
      <c r="D31" t="inlineStr">
        <is>
          <t>bahanatotalindoteknik@gmail.com</t>
        </is>
      </c>
      <c r="E31" t="inlineStr">
        <is>
          <t>https://lpjk.pu.go.id/search-badan-usaha-detail/bnZ3aWEvOUlVbC9yQmlUSXNGMTMzZz09</t>
        </is>
      </c>
      <c r="F31" t="n">
        <v>1</v>
      </c>
      <c r="G31" t="inlineStr">
        <is>
          <t>BG009</t>
        </is>
      </c>
      <c r="H31" t="inlineStr">
        <is>
          <t>4 Januari 2019</t>
        </is>
      </c>
      <c r="I31" s="2" t="n">
        <v>46289</v>
      </c>
      <c r="J31" t="inlineStr">
        <is>
          <t>Disetujui</t>
        </is>
      </c>
      <c r="K31" t="n">
        <v>90</v>
      </c>
      <c r="L31" t="inlineStr">
        <is>
          <t>24 September 2026</t>
        </is>
      </c>
      <c r="M31" t="inlineStr">
        <is>
          <t>Konstruksi Gedung Lainnya</t>
        </is>
      </c>
      <c r="N31" t="inlineStr">
        <is>
          <t>K</t>
        </is>
      </c>
      <c r="O31" t="inlineStr">
        <is>
          <t>20230924</t>
        </is>
      </c>
      <c r="P31" t="inlineStr">
        <is>
          <t>DKI Jakarta</t>
        </is>
      </c>
      <c r="Q31" t="inlineStr"/>
    </row>
    <row r="32">
      <c r="A32" t="inlineStr">
        <is>
          <t>BAROKAH BUMI KARYA</t>
        </is>
      </c>
      <c r="B32" t="inlineStr">
        <is>
          <t>Kab. Tuban</t>
        </is>
      </c>
      <c r="C32" t="inlineStr">
        <is>
          <t>081230596188</t>
        </is>
      </c>
      <c r="D32" t="inlineStr">
        <is>
          <t>pt.barokahbumikarya27@yahoo.com</t>
        </is>
      </c>
      <c r="E32" t="inlineStr">
        <is>
          <t>https://lpjk.pu.go.id/search-badan-usaha-detail/Y2dLU2VWeTd2Zkk1ZHlwYUFOejljQT09</t>
        </is>
      </c>
      <c r="F32" t="n">
        <v>2</v>
      </c>
      <c r="G32" t="inlineStr">
        <is>
          <t>BG003</t>
        </is>
      </c>
      <c r="H32" t="inlineStr">
        <is>
          <t>6 Juni 2014</t>
        </is>
      </c>
      <c r="I32" s="2" t="n">
        <v>46289</v>
      </c>
      <c r="J32" t="inlineStr">
        <is>
          <t>Disetujui</t>
        </is>
      </c>
      <c r="K32" t="n">
        <v>90</v>
      </c>
      <c r="L32" t="inlineStr">
        <is>
          <t>24 September 2026</t>
        </is>
      </c>
      <c r="M32" t="inlineStr">
        <is>
          <t>Konstruksi Gedung Industri</t>
        </is>
      </c>
      <c r="N32" t="inlineStr">
        <is>
          <t>K</t>
        </is>
      </c>
      <c r="O32" t="inlineStr">
        <is>
          <t>20230922</t>
        </is>
      </c>
      <c r="P32" t="inlineStr">
        <is>
          <t>Jawa Timur</t>
        </is>
      </c>
      <c r="Q32" t="inlineStr"/>
    </row>
    <row r="33">
      <c r="A33" t="inlineStr">
        <is>
          <t>BATU ALAS PERMATA</t>
        </is>
      </c>
      <c r="B33" t="inlineStr">
        <is>
          <t>Kota Adm. Jakarta Barat</t>
        </is>
      </c>
      <c r="C33" t="inlineStr">
        <is>
          <t>02122528514</t>
        </is>
      </c>
      <c r="D33" t="inlineStr">
        <is>
          <t>batualaspermatapt@yahoo.com</t>
        </is>
      </c>
      <c r="E33" t="inlineStr">
        <is>
          <t>https://lpjk.pu.go.id/search-badan-usaha-detail/cGhROGc5V2JXbytVZS9mZ0cwekN6dz09</t>
        </is>
      </c>
      <c r="F33" t="n">
        <v>2</v>
      </c>
      <c r="G33" t="inlineStr">
        <is>
          <t>BS001, BS004</t>
        </is>
      </c>
      <c r="H33" t="inlineStr">
        <is>
          <t>15 April 1998</t>
        </is>
      </c>
      <c r="I33" s="2" t="n">
        <v>46289</v>
      </c>
      <c r="J33" t="inlineStr">
        <is>
          <t>Disetujui</t>
        </is>
      </c>
      <c r="K33" t="n">
        <v>90</v>
      </c>
      <c r="L33" t="inlineStr">
        <is>
          <t>24 September 2026</t>
        </is>
      </c>
      <c r="M33" t="inlineStr">
        <is>
          <t>Konstruksi Bangunan Sipil Jalan, Konstruksi Jaringan Irigasi dan Drainase</t>
        </is>
      </c>
      <c r="N33" t="inlineStr">
        <is>
          <t>K</t>
        </is>
      </c>
      <c r="O33" t="inlineStr">
        <is>
          <t>20230919</t>
        </is>
      </c>
      <c r="P33" t="inlineStr">
        <is>
          <t>DKI Jakarta</t>
        </is>
      </c>
      <c r="Q33" t="inlineStr"/>
    </row>
    <row r="34">
      <c r="A34" t="inlineStr">
        <is>
          <t>BEN HARI KONSULTAN</t>
        </is>
      </c>
      <c r="B34" t="inlineStr">
        <is>
          <t>Kab. Jayapura</t>
        </is>
      </c>
      <c r="C34" t="inlineStr">
        <is>
          <t>085244665468</t>
        </is>
      </c>
      <c r="D34" t="inlineStr">
        <is>
          <t>cvbenharikonsultan@gmail.com</t>
        </is>
      </c>
      <c r="E34" t="inlineStr">
        <is>
          <t>https://lpjk.pu.go.id/search-badan-usaha-detail/NnZEbG80dU5Bemc1b3hnb3RoN3VaZz09</t>
        </is>
      </c>
      <c r="F34" t="n">
        <v>2</v>
      </c>
      <c r="G34" t="inlineStr">
        <is>
          <t>AR001, RK001</t>
        </is>
      </c>
      <c r="H34" t="inlineStr">
        <is>
          <t>17 November 2015</t>
        </is>
      </c>
      <c r="I34" s="2" t="n">
        <v>46289</v>
      </c>
      <c r="J34" t="inlineStr">
        <is>
          <t>Disetujui</t>
        </is>
      </c>
      <c r="K34" t="n">
        <v>90</v>
      </c>
      <c r="L34" t="inlineStr">
        <is>
          <t>24 September 2026</t>
        </is>
      </c>
      <c r="M34" t="inlineStr">
        <is>
          <t>Jasa Arsitektural Bangunan Gedung Hunian dan Non Hunian, Jasa Rekayasa Konstruksi Bangunan Gedung Hunian dan Non Hunian</t>
        </is>
      </c>
      <c r="N34" t="inlineStr">
        <is>
          <t>K</t>
        </is>
      </c>
      <c r="O34" t="inlineStr">
        <is>
          <t>20230829, 20230901</t>
        </is>
      </c>
      <c r="P34" t="inlineStr">
        <is>
          <t>Papua</t>
        </is>
      </c>
      <c r="Q34" t="inlineStr"/>
    </row>
    <row r="35">
      <c r="A35" t="inlineStr">
        <is>
          <t>BERDIKARI PRIMA</t>
        </is>
      </c>
      <c r="B35" t="inlineStr">
        <is>
          <t>Kab. Tegal</t>
        </is>
      </c>
      <c r="C35" t="inlineStr">
        <is>
          <t>085842020138</t>
        </is>
      </c>
      <c r="D35" t="inlineStr">
        <is>
          <t>berdikari.prima@yahoo.co.id</t>
        </is>
      </c>
      <c r="E35" t="inlineStr">
        <is>
          <t>https://lpjk.pu.go.id/search-badan-usaha-detail/WXNSKy92d2hZZWk5Sm10aHlwMXR2QT09</t>
        </is>
      </c>
      <c r="F35" t="n">
        <v>3</v>
      </c>
      <c r="G35" t="inlineStr">
        <is>
          <t>BG005, BS001, BS004</t>
        </is>
      </c>
      <c r="H35" t="inlineStr">
        <is>
          <t>22 Juni 2012</t>
        </is>
      </c>
      <c r="I35" s="2" t="n">
        <v>46289</v>
      </c>
      <c r="J35" t="inlineStr">
        <is>
          <t>Disetujui</t>
        </is>
      </c>
      <c r="K35" t="n">
        <v>90</v>
      </c>
      <c r="L35" t="inlineStr">
        <is>
          <t>24 September 2026</t>
        </is>
      </c>
      <c r="M35" t="inlineStr">
        <is>
          <t>Konstruksi Bangunan Sipil Jalan, Konstruksi Gedung Kesehatan, Konstruksi Jaringan Irigasi dan Drainase</t>
        </is>
      </c>
      <c r="N35" t="inlineStr">
        <is>
          <t>K</t>
        </is>
      </c>
      <c r="O35" t="inlineStr">
        <is>
          <t>20230919</t>
        </is>
      </c>
      <c r="P35" t="inlineStr">
        <is>
          <t>Jawa Tengah</t>
        </is>
      </c>
      <c r="Q35" t="inlineStr"/>
    </row>
    <row r="36">
      <c r="A36" t="inlineStr">
        <is>
          <t>BIMA SAKTI</t>
        </is>
      </c>
      <c r="B36" t="inlineStr">
        <is>
          <t>Kab. Bandung</t>
        </is>
      </c>
      <c r="C36" t="inlineStr">
        <is>
          <t>087822415390</t>
        </is>
      </c>
      <c r="D36" t="inlineStr">
        <is>
          <t>cvbimasakti@ymail.com</t>
        </is>
      </c>
      <c r="E36" t="inlineStr">
        <is>
          <t>https://lpjk.pu.go.id/search-badan-usaha-detail/d3EwQWxxQzJOMDlnQzBOcUM5VVNiZz09</t>
        </is>
      </c>
      <c r="F36" t="n">
        <v>3</v>
      </c>
      <c r="G36" t="inlineStr">
        <is>
          <t>BS001, BS004, BS005</t>
        </is>
      </c>
      <c r="H36" t="inlineStr">
        <is>
          <t>2 Oktober 1985</t>
        </is>
      </c>
      <c r="I36" s="2" t="n">
        <v>46289</v>
      </c>
      <c r="J36" t="inlineStr">
        <is>
          <t>Disetujui</t>
        </is>
      </c>
      <c r="K36" t="n">
        <v>90</v>
      </c>
      <c r="L36" t="inlineStr">
        <is>
          <t>24 September 2026</t>
        </is>
      </c>
      <c r="M36" t="inlineStr">
        <is>
          <t>Konstruksi Bangunan Sipil Jalan, Konstruksi Bangunan Sipil Pengolahan Air Bersih, Konstruksi Jaringan Irigasi dan Drainase</t>
        </is>
      </c>
      <c r="N36" t="inlineStr">
        <is>
          <t>K</t>
        </is>
      </c>
      <c r="O36" t="inlineStr">
        <is>
          <t>20230922</t>
        </is>
      </c>
      <c r="P36" t="inlineStr">
        <is>
          <t>Jawa Barat</t>
        </is>
      </c>
      <c r="Q36" t="inlineStr"/>
    </row>
    <row r="37">
      <c r="A37" t="inlineStr">
        <is>
          <t>BINA BARAGA PALEMBANG</t>
        </is>
      </c>
      <c r="B37" t="inlineStr">
        <is>
          <t>Kota Palembang</t>
        </is>
      </c>
      <c r="C37" t="inlineStr">
        <is>
          <t>0711814840</t>
        </is>
      </c>
      <c r="D37" t="inlineStr">
        <is>
          <t>bina_baraga@yahoo.co.id</t>
        </is>
      </c>
      <c r="E37" t="inlineStr">
        <is>
          <t>https://lpjk.pu.go.id/search-badan-usaha-detail/Rlhjb0RkQ0VjUHBMZnRkeXl3clJNUT09</t>
        </is>
      </c>
      <c r="F37" t="n">
        <v>1</v>
      </c>
      <c r="G37" t="inlineStr">
        <is>
          <t>BS001</t>
        </is>
      </c>
      <c r="H37" t="inlineStr">
        <is>
          <t>17 September 2008</t>
        </is>
      </c>
      <c r="I37" s="2" t="n">
        <v>46289</v>
      </c>
      <c r="J37" t="inlineStr">
        <is>
          <t>Disetujui</t>
        </is>
      </c>
      <c r="K37" t="n">
        <v>90</v>
      </c>
      <c r="L37" t="inlineStr">
        <is>
          <t>24 September 2026</t>
        </is>
      </c>
      <c r="M37" t="inlineStr">
        <is>
          <t>Konstruksi Bangunan Sipil Jalan</t>
        </is>
      </c>
      <c r="N37" t="inlineStr">
        <is>
          <t>M</t>
        </is>
      </c>
      <c r="O37" t="inlineStr">
        <is>
          <t>20230925</t>
        </is>
      </c>
      <c r="P37" t="inlineStr">
        <is>
          <t>Sumatera Selatan</t>
        </is>
      </c>
      <c r="Q37" t="inlineStr"/>
    </row>
    <row r="38">
      <c r="A38" t="inlineStr">
        <is>
          <t>BINA TALENTA SOLUSINDO</t>
        </is>
      </c>
      <c r="B38" t="inlineStr">
        <is>
          <t>Kota Tangerang</t>
        </is>
      </c>
      <c r="C38" t="inlineStr">
        <is>
          <t>081280908987</t>
        </is>
      </c>
      <c r="D38" t="inlineStr">
        <is>
          <t>bina_talenta@yahoo.co.id</t>
        </is>
      </c>
      <c r="E38" t="inlineStr">
        <is>
          <t>https://lpjk.pu.go.id/search-badan-usaha-detail/MXdqTGNIRHNnUno5bVhFQjFXVlJEdz09</t>
        </is>
      </c>
      <c r="F38" t="n">
        <v>1</v>
      </c>
      <c r="G38" t="inlineStr">
        <is>
          <t>AR001</t>
        </is>
      </c>
      <c r="H38" t="inlineStr">
        <is>
          <t>28 November 2013</t>
        </is>
      </c>
      <c r="I38" s="2" t="n">
        <v>46289</v>
      </c>
      <c r="J38" t="inlineStr">
        <is>
          <t>Disetujui</t>
        </is>
      </c>
      <c r="K38" t="n">
        <v>90</v>
      </c>
      <c r="L38" t="inlineStr">
        <is>
          <t>24 September 2026</t>
        </is>
      </c>
      <c r="M38" t="inlineStr">
        <is>
          <t>Jasa Arsitektural Bangunan Gedung Hunian dan Non Hunian</t>
        </is>
      </c>
      <c r="N38" t="inlineStr">
        <is>
          <t>K</t>
        </is>
      </c>
      <c r="O38" t="inlineStr">
        <is>
          <t>20230914</t>
        </is>
      </c>
      <c r="P38" t="inlineStr">
        <is>
          <t>Banten</t>
        </is>
      </c>
      <c r="Q38" t="inlineStr"/>
    </row>
    <row r="39">
      <c r="A39" t="inlineStr">
        <is>
          <t>BORNEO DZIBAN SEJAHTERA</t>
        </is>
      </c>
      <c r="B39" t="inlineStr">
        <is>
          <t>Kab. Kutai Timur</t>
        </is>
      </c>
      <c r="C39" t="inlineStr">
        <is>
          <t>081347400545</t>
        </is>
      </c>
      <c r="D39" t="inlineStr">
        <is>
          <t>cvborneods@gmail.com</t>
        </is>
      </c>
      <c r="E39" t="inlineStr">
        <is>
          <t>https://lpjk.pu.go.id/search-badan-usaha-detail/QkFIL0xLUFE4OE9ENjY1ZTE2R2JlZz09</t>
        </is>
      </c>
      <c r="F39" t="n">
        <v>2</v>
      </c>
      <c r="G39" t="inlineStr">
        <is>
          <t>BG009, BS004</t>
        </is>
      </c>
      <c r="H39" t="inlineStr">
        <is>
          <t>14 April 2023</t>
        </is>
      </c>
      <c r="I39" s="2" t="n">
        <v>46289</v>
      </c>
      <c r="J39" t="inlineStr">
        <is>
          <t>Disetujui</t>
        </is>
      </c>
      <c r="K39" t="n">
        <v>90</v>
      </c>
      <c r="L39" t="inlineStr">
        <is>
          <t>24 September 2026</t>
        </is>
      </c>
      <c r="M39" t="inlineStr">
        <is>
          <t>Konstruksi Gedung Lainnya, Konstruksi Jaringan Irigasi dan Drainase</t>
        </is>
      </c>
      <c r="N39" t="inlineStr">
        <is>
          <t>K</t>
        </is>
      </c>
      <c r="O39" t="inlineStr">
        <is>
          <t>20230919</t>
        </is>
      </c>
      <c r="P39" t="inlineStr">
        <is>
          <t>Kalimantan Timur</t>
        </is>
      </c>
      <c r="Q39" t="inlineStr"/>
    </row>
    <row r="40">
      <c r="A40" t="inlineStr">
        <is>
          <t>CAHAYA BERKAH</t>
        </is>
      </c>
      <c r="B40" t="inlineStr">
        <is>
          <t>Kab. Bandung</t>
        </is>
      </c>
      <c r="C40" t="inlineStr">
        <is>
          <t>081322212787</t>
        </is>
      </c>
      <c r="D40" t="inlineStr">
        <is>
          <t>cahayaberkah32@yahoo.com</t>
        </is>
      </c>
      <c r="E40" t="inlineStr">
        <is>
          <t>https://lpjk.pu.go.id/search-badan-usaha-detail/U1R0VzZmNFdqUElvYWZ3Mko1Y0FZQT09</t>
        </is>
      </c>
      <c r="F40" t="n">
        <v>1</v>
      </c>
      <c r="G40" t="inlineStr">
        <is>
          <t>BG006</t>
        </is>
      </c>
      <c r="H40" t="inlineStr">
        <is>
          <t>12 Agustus 2016</t>
        </is>
      </c>
      <c r="I40" s="2" t="n">
        <v>46289</v>
      </c>
      <c r="J40" t="inlineStr">
        <is>
          <t>Disetujui</t>
        </is>
      </c>
      <c r="K40" t="n">
        <v>90</v>
      </c>
      <c r="L40" t="inlineStr">
        <is>
          <t>24 September 2026</t>
        </is>
      </c>
      <c r="M40" t="inlineStr">
        <is>
          <t>Konstruksi Gedung Pendidikan</t>
        </is>
      </c>
      <c r="N40" t="inlineStr">
        <is>
          <t>K</t>
        </is>
      </c>
      <c r="O40" t="inlineStr">
        <is>
          <t>20230912</t>
        </is>
      </c>
      <c r="P40" t="inlineStr">
        <is>
          <t>Jawa Barat</t>
        </is>
      </c>
      <c r="Q40" t="inlineStr"/>
    </row>
    <row r="41">
      <c r="A41" t="inlineStr">
        <is>
          <t>CAHAYA SENGKANG</t>
        </is>
      </c>
      <c r="B41" t="inlineStr">
        <is>
          <t>Kota Samarinda</t>
        </is>
      </c>
      <c r="C41" t="inlineStr">
        <is>
          <t>081347630308</t>
        </is>
      </c>
      <c r="D41" t="inlineStr">
        <is>
          <t>gulmandm@gmail.com</t>
        </is>
      </c>
      <c r="E41" t="inlineStr">
        <is>
          <t>https://lpjk.pu.go.id/search-badan-usaha-detail/YUZTNWVucitRcm8vcmdOYTdpQWkyQT09</t>
        </is>
      </c>
      <c r="F41" t="n">
        <v>4</v>
      </c>
      <c r="G41" t="inlineStr">
        <is>
          <t>BS001, BS002, BS004, BS010</t>
        </is>
      </c>
      <c r="H41" t="inlineStr">
        <is>
          <t>13 Februari 2006</t>
        </is>
      </c>
      <c r="I41" s="2" t="n">
        <v>46289</v>
      </c>
      <c r="J41" t="inlineStr">
        <is>
          <t>Disetujui</t>
        </is>
      </c>
      <c r="K41" t="n">
        <v>90</v>
      </c>
      <c r="L41" t="inlineStr">
        <is>
          <t>24 September 2026</t>
        </is>
      </c>
      <c r="M41" t="inlineStr">
        <is>
          <t>Bangunan Sipil Jembatan, Jalan Layang, Fly Over, dan Underpass, Konstruksi Bangunan Prasarana Sumber Daya Air, Konstruksi Bangunan Sipil Jalan, Konstruksi Jaringan Irigasi dan Drainase</t>
        </is>
      </c>
      <c r="N41" t="inlineStr">
        <is>
          <t>K</t>
        </is>
      </c>
      <c r="O41" t="inlineStr">
        <is>
          <t>20230919</t>
        </is>
      </c>
      <c r="P41" t="inlineStr">
        <is>
          <t>Kalimantan Timur</t>
        </is>
      </c>
      <c r="Q41" t="inlineStr"/>
    </row>
    <row r="42">
      <c r="A42" t="inlineStr">
        <is>
          <t>CHANDRA MITRA STRUKTURINDO</t>
        </is>
      </c>
      <c r="B42" t="inlineStr">
        <is>
          <t>Kota Adm. Jakarta Utara</t>
        </is>
      </c>
      <c r="C42" t="inlineStr">
        <is>
          <t>08158788859</t>
        </is>
      </c>
      <c r="D42" t="inlineStr">
        <is>
          <t>chandra.mitra.strukturindo@gmail.com</t>
        </is>
      </c>
      <c r="E42" t="inlineStr">
        <is>
          <t>https://lpjk.pu.go.id/search-badan-usaha-detail/T0JaUU1ENHVjQVpudjluRXhYd3dvQT09</t>
        </is>
      </c>
      <c r="F42" t="n">
        <v>1</v>
      </c>
      <c r="G42" t="inlineStr">
        <is>
          <t>BG002</t>
        </is>
      </c>
      <c r="H42" t="inlineStr">
        <is>
          <t>23 Februari 2022</t>
        </is>
      </c>
      <c r="I42" s="2" t="n">
        <v>46289</v>
      </c>
      <c r="J42" t="inlineStr">
        <is>
          <t>Disetujui</t>
        </is>
      </c>
      <c r="K42" t="n">
        <v>90</v>
      </c>
      <c r="L42" t="inlineStr">
        <is>
          <t>24 September 2026</t>
        </is>
      </c>
      <c r="M42" t="inlineStr">
        <is>
          <t>Konstruksi Gedung Perkantoran</t>
        </is>
      </c>
      <c r="N42" t="inlineStr">
        <is>
          <t>M</t>
        </is>
      </c>
      <c r="O42" t="inlineStr">
        <is>
          <t>20230809</t>
        </is>
      </c>
      <c r="P42" t="inlineStr">
        <is>
          <t>DKI Jakarta</t>
        </is>
      </c>
      <c r="Q42" t="inlineStr"/>
    </row>
    <row r="43">
      <c r="A43" t="inlineStr">
        <is>
          <t>CITRA</t>
        </is>
      </c>
      <c r="B43" t="inlineStr">
        <is>
          <t>Kab. Pemalang</t>
        </is>
      </c>
      <c r="C43" t="inlineStr">
        <is>
          <t>0818244614</t>
        </is>
      </c>
      <c r="D43" t="inlineStr">
        <is>
          <t>citrapmlcv@yahoo.com</t>
        </is>
      </c>
      <c r="E43" t="inlineStr">
        <is>
          <t>https://lpjk.pu.go.id/search-badan-usaha-detail/N09mSU0yb3hCVHB4NU5FR3AxejVHdz09</t>
        </is>
      </c>
      <c r="F43" t="n">
        <v>4</v>
      </c>
      <c r="G43" t="inlineStr">
        <is>
          <t>BG002, BG006, BS001, BS004</t>
        </is>
      </c>
      <c r="H43" t="inlineStr">
        <is>
          <t>29 September 1988</t>
        </is>
      </c>
      <c r="I43" s="2" t="n">
        <v>46289</v>
      </c>
      <c r="J43" t="inlineStr">
        <is>
          <t>Disetujui</t>
        </is>
      </c>
      <c r="K43" t="n">
        <v>90</v>
      </c>
      <c r="L43" t="inlineStr">
        <is>
          <t>24 September 2026</t>
        </is>
      </c>
      <c r="M43" t="inlineStr">
        <is>
          <t>Konstruksi Bangunan Sipil Jalan, Konstruksi Gedung Pendidikan, Konstruksi Gedung Perkantoran, Konstruksi Jaringan Irigasi dan Drainase</t>
        </is>
      </c>
      <c r="N43" t="inlineStr">
        <is>
          <t>K</t>
        </is>
      </c>
      <c r="O43" t="inlineStr">
        <is>
          <t>20230918, 20230920</t>
        </is>
      </c>
      <c r="P43" t="inlineStr">
        <is>
          <t>Jawa Tengah</t>
        </is>
      </c>
      <c r="Q43" t="inlineStr"/>
    </row>
    <row r="44">
      <c r="A44" t="inlineStr">
        <is>
          <t>CV. ADIL</t>
        </is>
      </c>
      <c r="B44" t="inlineStr">
        <is>
          <t>Kab. Bandung Barat</t>
        </is>
      </c>
      <c r="C44" t="inlineStr">
        <is>
          <t>082126920720</t>
        </is>
      </c>
      <c r="D44" t="inlineStr">
        <is>
          <t>cv.adil.ha23@gmail.com</t>
        </is>
      </c>
      <c r="E44" t="inlineStr">
        <is>
          <t>https://lpjk.pu.go.id/search-badan-usaha-detail/NWhGRUZnTHVGV204SFpUT29aK1NrZz09</t>
        </is>
      </c>
      <c r="F44" t="n">
        <v>2</v>
      </c>
      <c r="G44" t="inlineStr">
        <is>
          <t>BG009</t>
        </is>
      </c>
      <c r="H44" t="inlineStr">
        <is>
          <t>19 September 2012</t>
        </is>
      </c>
      <c r="I44" s="2" t="n">
        <v>46289</v>
      </c>
      <c r="J44" t="inlineStr">
        <is>
          <t>Disetujui</t>
        </is>
      </c>
      <c r="K44" t="n">
        <v>90</v>
      </c>
      <c r="L44" t="inlineStr">
        <is>
          <t>24 September 2026</t>
        </is>
      </c>
      <c r="M44" t="inlineStr">
        <is>
          <t>Konstruksi Gedung Lainnya</t>
        </is>
      </c>
      <c r="N44" t="inlineStr">
        <is>
          <t>K</t>
        </is>
      </c>
      <c r="O44" t="inlineStr">
        <is>
          <t>20230921</t>
        </is>
      </c>
      <c r="P44" t="inlineStr">
        <is>
          <t>Jawa Barat</t>
        </is>
      </c>
      <c r="Q44" t="inlineStr"/>
    </row>
    <row r="45">
      <c r="A45" t="inlineStr">
        <is>
          <t>CV. KERAMIK JAYA</t>
        </is>
      </c>
      <c r="B45" t="inlineStr">
        <is>
          <t>Kota Palopo</t>
        </is>
      </c>
      <c r="C45" t="inlineStr">
        <is>
          <t>085299368207</t>
        </is>
      </c>
      <c r="D45" t="inlineStr">
        <is>
          <t>keramikjayacv@gmail.com</t>
        </is>
      </c>
      <c r="E45" t="inlineStr">
        <is>
          <t>https://lpjk.pu.go.id/search-badan-usaha-detail/dEZ0ZW90T1JDdnBPSVhoQnl0dnRPZz09</t>
        </is>
      </c>
      <c r="F45" t="n">
        <v>2</v>
      </c>
      <c r="G45" t="inlineStr">
        <is>
          <t>BG001, BG006</t>
        </is>
      </c>
      <c r="H45" t="inlineStr">
        <is>
          <t>8 Februari 1984</t>
        </is>
      </c>
      <c r="I45" s="2" t="n">
        <v>46289</v>
      </c>
      <c r="J45" t="inlineStr">
        <is>
          <t>Disetujui</t>
        </is>
      </c>
      <c r="K45" t="n">
        <v>90</v>
      </c>
      <c r="L45" t="inlineStr">
        <is>
          <t>24 September 2026</t>
        </is>
      </c>
      <c r="M45" t="inlineStr">
        <is>
          <t>Konstruksi Gedung Hunian, Konstruksi Gedung Pendidikan</t>
        </is>
      </c>
      <c r="N45" t="inlineStr">
        <is>
          <t>K</t>
        </is>
      </c>
      <c r="O45" t="inlineStr">
        <is>
          <t>20230924</t>
        </is>
      </c>
      <c r="P45" t="inlineStr">
        <is>
          <t>Sulawesi Selatan</t>
        </is>
      </c>
      <c r="Q45" t="inlineStr"/>
    </row>
    <row r="46">
      <c r="A46" t="inlineStr">
        <is>
          <t>DANA REJA</t>
        </is>
      </c>
      <c r="B46" t="inlineStr">
        <is>
          <t>Kota Semarang</t>
        </is>
      </c>
      <c r="C46" t="inlineStr">
        <is>
          <t>02476635395</t>
        </is>
      </c>
      <c r="D46" t="inlineStr">
        <is>
          <t>danareja_cv@yahoo.co.id</t>
        </is>
      </c>
      <c r="E46" t="inlineStr">
        <is>
          <t>https://lpjk.pu.go.id/search-badan-usaha-detail/UXJWTTJ2dnl4aU9jRkwxV1AySGpQUT09</t>
        </is>
      </c>
      <c r="F46" t="n">
        <v>2</v>
      </c>
      <c r="G46" t="inlineStr">
        <is>
          <t>BG005, BG009</t>
        </is>
      </c>
      <c r="H46" t="inlineStr">
        <is>
          <t>11 November 2008</t>
        </is>
      </c>
      <c r="I46" s="2" t="n">
        <v>46289</v>
      </c>
      <c r="J46" t="inlineStr">
        <is>
          <t>Disetujui</t>
        </is>
      </c>
      <c r="K46" t="n">
        <v>90</v>
      </c>
      <c r="L46" t="inlineStr">
        <is>
          <t>24 September 2026</t>
        </is>
      </c>
      <c r="M46" t="inlineStr">
        <is>
          <t>Konstruksi Gedung Kesehatan, Konstruksi Gedung Lainnya</t>
        </is>
      </c>
      <c r="N46" t="inlineStr">
        <is>
          <t>K</t>
        </is>
      </c>
      <c r="O46" t="inlineStr">
        <is>
          <t>20230919</t>
        </is>
      </c>
      <c r="P46" t="inlineStr">
        <is>
          <t>Jawa Tengah</t>
        </is>
      </c>
      <c r="Q46" t="inlineStr"/>
    </row>
    <row r="47">
      <c r="A47" t="inlineStr">
        <is>
          <t>DARMA RAYA KONSTRUKSI</t>
        </is>
      </c>
      <c r="B47" t="inlineStr">
        <is>
          <t>Kab. Jember</t>
        </is>
      </c>
      <c r="C47" t="inlineStr">
        <is>
          <t>08174107000</t>
        </is>
      </c>
      <c r="D47" t="inlineStr">
        <is>
          <t>wkencagie@gmail.com</t>
        </is>
      </c>
      <c r="E47" t="inlineStr">
        <is>
          <t>https://lpjk.pu.go.id/search-badan-usaha-detail/ZGFFVHB4c1BEdzh5Um5VVkErZkk3QT09</t>
        </is>
      </c>
      <c r="F47" t="n">
        <v>1</v>
      </c>
      <c r="G47" t="inlineStr">
        <is>
          <t>BS001</t>
        </is>
      </c>
      <c r="H47" t="inlineStr">
        <is>
          <t>22 Maret 2017</t>
        </is>
      </c>
      <c r="I47" s="2" t="n">
        <v>46289</v>
      </c>
      <c r="J47" t="inlineStr">
        <is>
          <t>Disetujui</t>
        </is>
      </c>
      <c r="K47" t="n">
        <v>90</v>
      </c>
      <c r="L47" t="inlineStr">
        <is>
          <t>24 September 2026</t>
        </is>
      </c>
      <c r="M47" t="inlineStr">
        <is>
          <t>Konstruksi Bangunan Sipil Jalan</t>
        </is>
      </c>
      <c r="N47" t="inlineStr">
        <is>
          <t>K</t>
        </is>
      </c>
      <c r="O47" t="inlineStr">
        <is>
          <t>20230920</t>
        </is>
      </c>
      <c r="P47" t="inlineStr">
        <is>
          <t>Jawa Timur</t>
        </is>
      </c>
      <c r="Q47" t="inlineStr"/>
    </row>
    <row r="48">
      <c r="A48" t="inlineStr">
        <is>
          <t>DARMA SATRIA PUTRA</t>
        </is>
      </c>
      <c r="B48" t="inlineStr">
        <is>
          <t>Kab. Bojonegoro</t>
        </is>
      </c>
      <c r="C48" t="inlineStr">
        <is>
          <t>081553025155</t>
        </is>
      </c>
      <c r="D48" t="inlineStr">
        <is>
          <t>darmasatriaputra31@gmail.com</t>
        </is>
      </c>
      <c r="E48" t="inlineStr">
        <is>
          <t>https://lpjk.pu.go.id/search-badan-usaha-detail/S0owbVBQU3JGNjlWcFFZQy8wTXppUT09</t>
        </is>
      </c>
      <c r="F48" t="n">
        <v>1</v>
      </c>
      <c r="G48" t="inlineStr">
        <is>
          <t>BG002</t>
        </is>
      </c>
      <c r="H48" t="inlineStr">
        <is>
          <t>12 Desember 2019</t>
        </is>
      </c>
      <c r="I48" s="2" t="n">
        <v>46289</v>
      </c>
      <c r="J48" t="inlineStr">
        <is>
          <t>Disetujui</t>
        </is>
      </c>
      <c r="K48" t="n">
        <v>90</v>
      </c>
      <c r="L48" t="inlineStr">
        <is>
          <t>24 September 2026</t>
        </is>
      </c>
      <c r="M48" t="inlineStr">
        <is>
          <t>Konstruksi Gedung Perkantoran</t>
        </is>
      </c>
      <c r="N48" t="inlineStr">
        <is>
          <t>K</t>
        </is>
      </c>
      <c r="O48" t="inlineStr">
        <is>
          <t>20230925</t>
        </is>
      </c>
      <c r="P48" t="inlineStr">
        <is>
          <t>Jawa Timur</t>
        </is>
      </c>
      <c r="Q48" t="inlineStr"/>
    </row>
    <row r="49">
      <c r="A49" t="inlineStr">
        <is>
          <t>DESI KARYA</t>
        </is>
      </c>
      <c r="B49" t="inlineStr">
        <is>
          <t>Kota Pematangsiantar</t>
        </is>
      </c>
      <c r="C49" t="inlineStr">
        <is>
          <t>081262835081</t>
        </is>
      </c>
      <c r="D49" t="inlineStr">
        <is>
          <t>cv.desikarya2022@gmail.com</t>
        </is>
      </c>
      <c r="E49" t="inlineStr">
        <is>
          <t>https://lpjk.pu.go.id/search-badan-usaha-detail/RzFqaXRIVmJ3NU9VZGJhMzNVbjBnUT09</t>
        </is>
      </c>
      <c r="F49" t="n">
        <v>1</v>
      </c>
      <c r="G49" t="inlineStr">
        <is>
          <t>BS005</t>
        </is>
      </c>
      <c r="H49" t="inlineStr">
        <is>
          <t>27 November 2006</t>
        </is>
      </c>
      <c r="I49" s="2" t="n">
        <v>46289</v>
      </c>
      <c r="J49" t="inlineStr">
        <is>
          <t>Disetujui</t>
        </is>
      </c>
      <c r="K49" t="n">
        <v>90</v>
      </c>
      <c r="L49" t="inlineStr">
        <is>
          <t>24 September 2026</t>
        </is>
      </c>
      <c r="M49" t="inlineStr">
        <is>
          <t>Konstruksi Bangunan Sipil Pengolahan Air Bersih</t>
        </is>
      </c>
      <c r="N49" t="inlineStr">
        <is>
          <t>K</t>
        </is>
      </c>
      <c r="O49" t="inlineStr">
        <is>
          <t>20230916</t>
        </is>
      </c>
      <c r="P49" t="inlineStr">
        <is>
          <t>Sumatera Utara</t>
        </is>
      </c>
      <c r="Q49" t="inlineStr"/>
    </row>
    <row r="50">
      <c r="A50" t="inlineStr">
        <is>
          <t>DINA BIMA ABADI</t>
        </is>
      </c>
      <c r="B50" t="inlineStr">
        <is>
          <t>Kab. Pelalawan</t>
        </is>
      </c>
      <c r="C50" t="inlineStr">
        <is>
          <t>082258551342</t>
        </is>
      </c>
      <c r="D50" t="inlineStr">
        <is>
          <t>cv.dinabimaabadi@gmail.com</t>
        </is>
      </c>
      <c r="E50" t="inlineStr">
        <is>
          <t>https://lpjk.pu.go.id/search-badan-usaha-detail/d1ZQc0dXWjFlZEQ2VkpGTXlkZ3hHdz09</t>
        </is>
      </c>
      <c r="F50" t="n">
        <v>4</v>
      </c>
      <c r="G50" t="inlineStr">
        <is>
          <t>BG001, BG009</t>
        </is>
      </c>
      <c r="H50" t="inlineStr">
        <is>
          <t>24 Agustus 2020</t>
        </is>
      </c>
      <c r="I50" s="2" t="n">
        <v>46289</v>
      </c>
      <c r="J50" t="inlineStr">
        <is>
          <t>Disetujui</t>
        </is>
      </c>
      <c r="K50" t="n">
        <v>90</v>
      </c>
      <c r="L50" t="inlineStr">
        <is>
          <t>24 September 2026</t>
        </is>
      </c>
      <c r="M50" t="inlineStr">
        <is>
          <t>Konstruksi Gedung Hunian, Konstruksi Gedung Lainnya</t>
        </is>
      </c>
      <c r="N50" t="inlineStr">
        <is>
          <t>K</t>
        </is>
      </c>
      <c r="O50" t="inlineStr">
        <is>
          <t>20230921, 20230925</t>
        </is>
      </c>
      <c r="P50" t="inlineStr">
        <is>
          <t>Riau</t>
        </is>
      </c>
      <c r="Q50" t="inlineStr"/>
    </row>
    <row r="51">
      <c r="A51" t="inlineStr">
        <is>
          <t>DUA PUTRA JAYA</t>
        </is>
      </c>
      <c r="B51" t="inlineStr">
        <is>
          <t>Kota Palangkaraya</t>
        </is>
      </c>
      <c r="C51" t="inlineStr">
        <is>
          <t>081258430223</t>
        </is>
      </c>
      <c r="D51" t="inlineStr">
        <is>
          <t>duapjaya.plk@gmail.com</t>
        </is>
      </c>
      <c r="E51" t="inlineStr">
        <is>
          <t>https://lpjk.pu.go.id/search-badan-usaha-detail/Y1NLTXRtWmdLcmREWEMvMC9wVlJJUT09</t>
        </is>
      </c>
      <c r="F51" t="n">
        <v>1</v>
      </c>
      <c r="G51" t="inlineStr">
        <is>
          <t>BG005</t>
        </is>
      </c>
      <c r="H51" t="inlineStr">
        <is>
          <t>27 Desember 2013</t>
        </is>
      </c>
      <c r="I51" s="2" t="n">
        <v>46289</v>
      </c>
      <c r="J51" t="inlineStr">
        <is>
          <t>Disetujui</t>
        </is>
      </c>
      <c r="K51" t="n">
        <v>90</v>
      </c>
      <c r="L51" t="inlineStr">
        <is>
          <t>24 September 2026</t>
        </is>
      </c>
      <c r="M51" t="inlineStr">
        <is>
          <t>Konstruksi Gedung Kesehatan</t>
        </is>
      </c>
      <c r="N51" t="inlineStr">
        <is>
          <t>K</t>
        </is>
      </c>
      <c r="O51" t="inlineStr">
        <is>
          <t>20230925</t>
        </is>
      </c>
      <c r="P51" t="inlineStr">
        <is>
          <t>Kalimantan Tengah</t>
        </is>
      </c>
      <c r="Q51" t="inlineStr"/>
    </row>
    <row r="52">
      <c r="A52" t="inlineStr">
        <is>
          <t>DUTA KONTRAKTOR INDONESIA</t>
        </is>
      </c>
      <c r="B52" t="inlineStr">
        <is>
          <t>Kota Adm. Jakarta Barat</t>
        </is>
      </c>
      <c r="C52" t="inlineStr">
        <is>
          <t>081211117490</t>
        </is>
      </c>
      <c r="D52" t="inlineStr">
        <is>
          <t>dki888jakarta@gmail.com</t>
        </is>
      </c>
      <c r="E52" t="inlineStr">
        <is>
          <t>https://lpjk.pu.go.id/search-badan-usaha-detail/MTNoRWpuSnBrb1ZOSjE5SmRNWVJzQT09</t>
        </is>
      </c>
      <c r="F52" t="n">
        <v>2</v>
      </c>
      <c r="G52" t="inlineStr">
        <is>
          <t>RK001, RT003</t>
        </is>
      </c>
      <c r="H52" t="inlineStr">
        <is>
          <t>23 Februari 2021</t>
        </is>
      </c>
      <c r="I52" s="2" t="n">
        <v>46289</v>
      </c>
      <c r="J52" t="inlineStr">
        <is>
          <t>Disetujui, Pencabutan</t>
        </is>
      </c>
      <c r="K52" t="n">
        <v>90</v>
      </c>
      <c r="L52" t="inlineStr">
        <is>
          <t>24 September 2026</t>
        </is>
      </c>
      <c r="M52" t="inlineStr">
        <is>
          <t>Jasa Rekayasa Konstruksi Bangunan Gedung Hunian dan Non Hunian, Jasa Rekayasa Konstruksi Proses Industrial, Produksi, dan Fasilitas Produksi</t>
        </is>
      </c>
      <c r="N52" t="inlineStr">
        <is>
          <t>B</t>
        </is>
      </c>
      <c r="O52" t="inlineStr">
        <is>
          <t>20230918, 20230920</t>
        </is>
      </c>
      <c r="P52" t="inlineStr">
        <is>
          <t>DKI Jakarta</t>
        </is>
      </c>
      <c r="Q52" t="inlineStr"/>
    </row>
    <row r="53">
      <c r="A53" t="inlineStr">
        <is>
          <t>DUTA PERSATUAN</t>
        </is>
      </c>
      <c r="B53" t="inlineStr">
        <is>
          <t>Kab. Blitar</t>
        </is>
      </c>
      <c r="C53" t="inlineStr">
        <is>
          <t>08123368032</t>
        </is>
      </c>
      <c r="D53" t="inlineStr">
        <is>
          <t>cvdp_blitar@yahoo.co.id</t>
        </is>
      </c>
      <c r="E53" t="inlineStr">
        <is>
          <t>https://lpjk.pu.go.id/search-badan-usaha-detail/bnNmQXBVb3VWVVJEdllYM0RubDcrUT09</t>
        </is>
      </c>
      <c r="F53" t="n">
        <v>4</v>
      </c>
      <c r="G53" t="inlineStr">
        <is>
          <t>BS005</t>
        </is>
      </c>
      <c r="H53" t="inlineStr">
        <is>
          <t>17 November 2001</t>
        </is>
      </c>
      <c r="I53" s="2" t="n">
        <v>46289</v>
      </c>
      <c r="J53" t="inlineStr">
        <is>
          <t>Disetujui</t>
        </is>
      </c>
      <c r="K53" t="n">
        <v>90</v>
      </c>
      <c r="L53" t="inlineStr">
        <is>
          <t>24 September 2026</t>
        </is>
      </c>
      <c r="M53" t="inlineStr">
        <is>
          <t>Konstruksi Bangunan Sipil Pengolahan Air Bersih</t>
        </is>
      </c>
      <c r="N53" t="inlineStr">
        <is>
          <t>K</t>
        </is>
      </c>
      <c r="O53" t="inlineStr">
        <is>
          <t>20230920</t>
        </is>
      </c>
      <c r="P53" t="inlineStr">
        <is>
          <t>Jawa Timur</t>
        </is>
      </c>
      <c r="Q53" t="inlineStr"/>
    </row>
    <row r="54">
      <c r="A54" t="inlineStr">
        <is>
          <t>DWI PUTRA KARYA</t>
        </is>
      </c>
      <c r="B54" t="inlineStr">
        <is>
          <t>Kota Surabaya</t>
        </is>
      </c>
      <c r="C54" t="inlineStr">
        <is>
          <t>0817329013</t>
        </is>
      </c>
      <c r="D54" t="inlineStr">
        <is>
          <t>cv.dwiputrakarya@ymail.com</t>
        </is>
      </c>
      <c r="E54" t="inlineStr">
        <is>
          <t>https://lpjk.pu.go.id/search-badan-usaha-detail/Vy9VMVVsL1R0Vk41dWhTYXdmQ2Qzdz09</t>
        </is>
      </c>
      <c r="F54" t="n">
        <v>4</v>
      </c>
      <c r="G54" t="inlineStr">
        <is>
          <t>BG004, BG005, BG006, BS004</t>
        </is>
      </c>
      <c r="H54" t="inlineStr">
        <is>
          <t>6 Januari 2004</t>
        </is>
      </c>
      <c r="I54" s="2" t="n">
        <v>46289</v>
      </c>
      <c r="J54" t="inlineStr">
        <is>
          <t>Disetujui</t>
        </is>
      </c>
      <c r="K54" t="n">
        <v>90</v>
      </c>
      <c r="L54" t="inlineStr">
        <is>
          <t>24 September 2026</t>
        </is>
      </c>
      <c r="M54" t="inlineStr">
        <is>
          <t>Konstruksi Gedung Kesehatan, Konstruksi Gedung Pendidikan, Konstruksi Gedung Perbelanjaan, Konstruksi Jaringan Irigasi dan Drainase</t>
        </is>
      </c>
      <c r="N54" t="inlineStr">
        <is>
          <t>K</t>
        </is>
      </c>
      <c r="O54" t="inlineStr">
        <is>
          <t>20230922</t>
        </is>
      </c>
      <c r="P54" t="inlineStr">
        <is>
          <t>Jawa Timur</t>
        </is>
      </c>
      <c r="Q54" t="inlineStr"/>
    </row>
    <row r="55">
      <c r="A55" t="inlineStr">
        <is>
          <t>EMPAT KARYA</t>
        </is>
      </c>
      <c r="B55" t="inlineStr">
        <is>
          <t>Kab. Donggala</t>
        </is>
      </c>
      <c r="C55" t="inlineStr">
        <is>
          <t>085394098211</t>
        </is>
      </c>
      <c r="D55" t="inlineStr">
        <is>
          <t>empatkarya.kadarisman@gmail.com</t>
        </is>
      </c>
      <c r="E55" t="inlineStr">
        <is>
          <t>https://lpjk.pu.go.id/search-badan-usaha-detail/MFJCVlBBRmZoOUU3NmpEa0JxTUswdz09</t>
        </is>
      </c>
      <c r="F55" t="n">
        <v>2</v>
      </c>
      <c r="G55" t="inlineStr">
        <is>
          <t>BG008, BG009</t>
        </is>
      </c>
      <c r="H55" t="inlineStr">
        <is>
          <t>30 September 2013</t>
        </is>
      </c>
      <c r="I55" s="2" t="n">
        <v>46289</v>
      </c>
      <c r="J55" t="inlineStr">
        <is>
          <t>Disetujui</t>
        </is>
      </c>
      <c r="K55" t="n">
        <v>90</v>
      </c>
      <c r="L55" t="inlineStr">
        <is>
          <t>24 September 2026</t>
        </is>
      </c>
      <c r="M55" t="inlineStr">
        <is>
          <t>Konstruksi Gedung Lainnya, Konstruksi Gedung Tempat Hiburan dan Olahraga</t>
        </is>
      </c>
      <c r="N55" t="inlineStr">
        <is>
          <t>K</t>
        </is>
      </c>
      <c r="O55" t="inlineStr">
        <is>
          <t>20230919, 20230920</t>
        </is>
      </c>
      <c r="P55" t="inlineStr">
        <is>
          <t>Sulawesi Tengah</t>
        </is>
      </c>
      <c r="Q55" t="inlineStr"/>
    </row>
    <row r="56">
      <c r="A56" t="inlineStr">
        <is>
          <t>ENERGI LIDAH API</t>
        </is>
      </c>
      <c r="B56" t="inlineStr">
        <is>
          <t>Kab. Sidoarjo</t>
        </is>
      </c>
      <c r="C56" t="inlineStr">
        <is>
          <t>0318530170</t>
        </is>
      </c>
      <c r="D56" t="inlineStr">
        <is>
          <t>yosefv@pt-elia.com</t>
        </is>
      </c>
      <c r="E56" t="inlineStr">
        <is>
          <t>https://lpjk.pu.go.id/search-badan-usaha-detail/ajZvT1Q4SFRKZjNEWEdoUENVQUQwQT09</t>
        </is>
      </c>
      <c r="F56" t="n">
        <v>2</v>
      </c>
      <c r="G56" t="inlineStr">
        <is>
          <t>IN004, IN013</t>
        </is>
      </c>
      <c r="H56" t="inlineStr">
        <is>
          <t>16 April 2012</t>
        </is>
      </c>
      <c r="I56" s="2" t="n">
        <v>46289</v>
      </c>
      <c r="J56" t="inlineStr">
        <is>
          <t>Disetujui, Pembekuan</t>
        </is>
      </c>
      <c r="K56" t="n">
        <v>90</v>
      </c>
      <c r="L56" t="inlineStr">
        <is>
          <t>24 September 2026</t>
        </is>
      </c>
      <c r="M56" t="inlineStr">
        <is>
          <t>Instalasi Minyak dan Gas, Instalasi Pemanas dan Geotermal</t>
        </is>
      </c>
      <c r="N56" t="inlineStr">
        <is>
          <t>Spesialis</t>
        </is>
      </c>
      <c r="O56" t="inlineStr">
        <is>
          <t>20230913</t>
        </is>
      </c>
      <c r="P56" t="inlineStr">
        <is>
          <t>Jawa Timur</t>
        </is>
      </c>
      <c r="Q56" t="inlineStr"/>
    </row>
    <row r="57">
      <c r="A57" t="inlineStr">
        <is>
          <t>GAGAS SEJAHTERA MANDIRI</t>
        </is>
      </c>
      <c r="B57" t="inlineStr">
        <is>
          <t>Kota Tangerang</t>
        </is>
      </c>
      <c r="C57" t="inlineStr">
        <is>
          <t>02122270660</t>
        </is>
      </c>
      <c r="D57" t="inlineStr">
        <is>
          <t>pt.gagassejahteramandiri14@gmail.com</t>
        </is>
      </c>
      <c r="E57" t="inlineStr">
        <is>
          <t>https://lpjk.pu.go.id/search-badan-usaha-detail/V0liNkhwK043RkRUODJIQ20wMXludz09</t>
        </is>
      </c>
      <c r="F57" t="n">
        <v>1</v>
      </c>
      <c r="G57" t="inlineStr">
        <is>
          <t>BG003</t>
        </is>
      </c>
      <c r="H57" t="inlineStr">
        <is>
          <t>18 Maret 2017</t>
        </is>
      </c>
      <c r="I57" s="2" t="n">
        <v>46289</v>
      </c>
      <c r="J57" t="inlineStr">
        <is>
          <t>Disetujui</t>
        </is>
      </c>
      <c r="K57" t="n">
        <v>90</v>
      </c>
      <c r="L57" t="inlineStr">
        <is>
          <t>24 September 2026</t>
        </is>
      </c>
      <c r="M57" t="inlineStr">
        <is>
          <t>Konstruksi Gedung Industri</t>
        </is>
      </c>
      <c r="N57" t="inlineStr">
        <is>
          <t>K</t>
        </is>
      </c>
      <c r="O57" t="inlineStr">
        <is>
          <t>20230921</t>
        </is>
      </c>
      <c r="P57" t="inlineStr">
        <is>
          <t>Banten</t>
        </is>
      </c>
      <c r="Q57" t="inlineStr"/>
    </row>
    <row r="58">
      <c r="A58" t="inlineStr">
        <is>
          <t>GALUH RAMADHITA</t>
        </is>
      </c>
      <c r="B58" t="inlineStr">
        <is>
          <t>Kota Bandung</t>
        </is>
      </c>
      <c r="C58" t="inlineStr">
        <is>
          <t>082262244624</t>
        </is>
      </c>
      <c r="D58" t="inlineStr">
        <is>
          <t>galuhramadhita@yahoo.com</t>
        </is>
      </c>
      <c r="E58" t="inlineStr">
        <is>
          <t>https://lpjk.pu.go.id/search-badan-usaha-detail/N0IxMXQ2cSswcHZhL0RHQXEzK1pkUT09</t>
        </is>
      </c>
      <c r="F58" t="n">
        <v>1</v>
      </c>
      <c r="G58" t="inlineStr">
        <is>
          <t>BS004</t>
        </is>
      </c>
      <c r="H58" t="inlineStr">
        <is>
          <t>22 Juni 2012</t>
        </is>
      </c>
      <c r="I58" s="2" t="n">
        <v>46289</v>
      </c>
      <c r="J58" t="inlineStr">
        <is>
          <t>Disetujui</t>
        </is>
      </c>
      <c r="K58" t="n">
        <v>90</v>
      </c>
      <c r="L58" t="inlineStr">
        <is>
          <t>24 September 2026</t>
        </is>
      </c>
      <c r="M58" t="inlineStr">
        <is>
          <t>Konstruksi Jaringan Irigasi dan Drainase</t>
        </is>
      </c>
      <c r="N58" t="inlineStr">
        <is>
          <t>K</t>
        </is>
      </c>
      <c r="O58" t="inlineStr">
        <is>
          <t>20230925</t>
        </is>
      </c>
      <c r="P58" t="inlineStr">
        <is>
          <t>Jawa Barat</t>
        </is>
      </c>
      <c r="Q58" t="inlineStr"/>
    </row>
    <row r="59">
      <c r="A59" t="inlineStr">
        <is>
          <t>GEMILANG INTI PERSADA</t>
        </is>
      </c>
      <c r="B59" t="inlineStr">
        <is>
          <t>Kab. Luwu Utara</t>
        </is>
      </c>
      <c r="C59" t="inlineStr">
        <is>
          <t>082393476865</t>
        </is>
      </c>
      <c r="D59" t="inlineStr">
        <is>
          <t>baso.dewasamudra@gmail.com</t>
        </is>
      </c>
      <c r="E59" t="inlineStr">
        <is>
          <t>https://lpjk.pu.go.id/search-badan-usaha-detail/cjVrOU1weXEycnR0U1B2ckJzK0JaUT09</t>
        </is>
      </c>
      <c r="F59" t="n">
        <v>6</v>
      </c>
      <c r="G59" t="inlineStr">
        <is>
          <t>BG005, BG006, BG008, BG009, BS001, BS004</t>
        </is>
      </c>
      <c r="H59" t="inlineStr">
        <is>
          <t>22 Juli 2019</t>
        </is>
      </c>
      <c r="I59" s="2" t="n">
        <v>46289</v>
      </c>
      <c r="J59" t="inlineStr">
        <is>
          <t>Disetujui</t>
        </is>
      </c>
      <c r="K59" t="n">
        <v>90</v>
      </c>
      <c r="L59" t="inlineStr">
        <is>
          <t>24 September 2026</t>
        </is>
      </c>
      <c r="M59" t="inlineStr">
        <is>
          <t>Konstruksi Bangunan Sipil Jalan, Konstruksi Gedung Kesehatan, Konstruksi Gedung Lainnya, Konstruksi Gedung Pendidikan, Konstruksi Gedung Tempat Hiburan dan Olahraga, Konstruksi Jaringan Irigasi dan Drainase</t>
        </is>
      </c>
      <c r="N59" t="inlineStr">
        <is>
          <t>K</t>
        </is>
      </c>
      <c r="O59" t="inlineStr">
        <is>
          <t>20220808, 20230916, 20230919</t>
        </is>
      </c>
      <c r="P59" t="inlineStr">
        <is>
          <t>Sulawesi Selatan</t>
        </is>
      </c>
      <c r="Q59" t="inlineStr"/>
    </row>
    <row r="60">
      <c r="A60" t="inlineStr">
        <is>
          <t>GENTA WIJAYA</t>
        </is>
      </c>
      <c r="B60" t="inlineStr">
        <is>
          <t>Kab. Gresik</t>
        </is>
      </c>
      <c r="C60" t="inlineStr">
        <is>
          <t>082234431617</t>
        </is>
      </c>
      <c r="D60" t="inlineStr">
        <is>
          <t>genta_wijaya@ymail.com</t>
        </is>
      </c>
      <c r="E60" t="inlineStr">
        <is>
          <t>https://lpjk.pu.go.id/search-badan-usaha-detail/ZDhiWXRlUThORXJ5dkpCMW1CZW5ndz09</t>
        </is>
      </c>
      <c r="F60" t="n">
        <v>4</v>
      </c>
      <c r="G60" t="inlineStr">
        <is>
          <t>BG005</t>
        </is>
      </c>
      <c r="H60" t="inlineStr">
        <is>
          <t>20 Februari 2003</t>
        </is>
      </c>
      <c r="I60" s="2" t="n">
        <v>46289</v>
      </c>
      <c r="J60" t="inlineStr">
        <is>
          <t>Pencabutan</t>
        </is>
      </c>
      <c r="K60" t="n">
        <v>90</v>
      </c>
      <c r="L60" t="inlineStr">
        <is>
          <t>24 September 2026</t>
        </is>
      </c>
      <c r="M60" t="inlineStr">
        <is>
          <t>Konstruksi Gedung Kesehatan</t>
        </is>
      </c>
      <c r="N60" t="inlineStr">
        <is>
          <t>K</t>
        </is>
      </c>
      <c r="O60" t="inlineStr">
        <is>
          <t>20230915</t>
        </is>
      </c>
      <c r="P60" t="inlineStr">
        <is>
          <t>Jawa Timur</t>
        </is>
      </c>
      <c r="Q60" t="inlineStr"/>
    </row>
    <row r="61">
      <c r="A61" t="inlineStr">
        <is>
          <t>GESANG MINULYO</t>
        </is>
      </c>
      <c r="B61" t="inlineStr">
        <is>
          <t>Kab. Brebes</t>
        </is>
      </c>
      <c r="C61" t="inlineStr">
        <is>
          <t>0895355120583</t>
        </is>
      </c>
      <c r="D61" t="inlineStr">
        <is>
          <t>gesangminulyo2021@gmail.com</t>
        </is>
      </c>
      <c r="E61" t="inlineStr">
        <is>
          <t>https://lpjk.pu.go.id/search-badan-usaha-detail/cFFzbFRhcDRKK3pvSHE1SDBjZU9CZz09</t>
        </is>
      </c>
      <c r="F61" t="n">
        <v>3</v>
      </c>
      <c r="G61" t="inlineStr">
        <is>
          <t>BG002, BG006, BS005</t>
        </is>
      </c>
      <c r="H61" t="inlineStr">
        <is>
          <t>19 Agustus 2021</t>
        </is>
      </c>
      <c r="I61" s="2" t="n">
        <v>46289</v>
      </c>
      <c r="J61" t="inlineStr">
        <is>
          <t>Disetujui</t>
        </is>
      </c>
      <c r="K61" t="n">
        <v>90</v>
      </c>
      <c r="L61" t="inlineStr">
        <is>
          <t>24 September 2026</t>
        </is>
      </c>
      <c r="M61" t="inlineStr">
        <is>
          <t>Konstruksi Bangunan Sipil Pengolahan Air Bersih, Konstruksi Gedung Pendidikan, Konstruksi Gedung Perkantoran</t>
        </is>
      </c>
      <c r="N61" t="inlineStr">
        <is>
          <t>K</t>
        </is>
      </c>
      <c r="O61" t="inlineStr">
        <is>
          <t>20230411, 20230918</t>
        </is>
      </c>
      <c r="P61" t="inlineStr">
        <is>
          <t>Jawa Tengah</t>
        </is>
      </c>
      <c r="Q61" t="inlineStr"/>
    </row>
    <row r="62">
      <c r="A62" t="inlineStr">
        <is>
          <t>GIRI MANDE KONSTRUKSINDO</t>
        </is>
      </c>
      <c r="B62" t="inlineStr">
        <is>
          <t>Kab. Pangandaran</t>
        </is>
      </c>
      <c r="C62" t="inlineStr">
        <is>
          <t>082216947634</t>
        </is>
      </c>
      <c r="D62" t="inlineStr">
        <is>
          <t>girimande88@gmail.com</t>
        </is>
      </c>
      <c r="E62" t="inlineStr">
        <is>
          <t>https://lpjk.pu.go.id/search-badan-usaha-detail/NXRKUkNZMUVqN01OTzd6bDJ2OWhxUT09</t>
        </is>
      </c>
      <c r="F62" t="n">
        <v>1</v>
      </c>
      <c r="G62" t="inlineStr">
        <is>
          <t>BG009</t>
        </is>
      </c>
      <c r="H62" t="inlineStr">
        <is>
          <t>14 Maret 2019</t>
        </is>
      </c>
      <c r="I62" s="2" t="n">
        <v>46289</v>
      </c>
      <c r="J62" t="inlineStr">
        <is>
          <t>Disetujui</t>
        </is>
      </c>
      <c r="K62" t="n">
        <v>90</v>
      </c>
      <c r="L62" t="inlineStr">
        <is>
          <t>24 September 2026</t>
        </is>
      </c>
      <c r="M62" t="inlineStr">
        <is>
          <t>Konstruksi Gedung Lainnya</t>
        </is>
      </c>
      <c r="N62" t="inlineStr">
        <is>
          <t>K</t>
        </is>
      </c>
      <c r="O62" t="inlineStr">
        <is>
          <t>20230912</t>
        </is>
      </c>
      <c r="P62" t="inlineStr">
        <is>
          <t>Jawa Barat</t>
        </is>
      </c>
      <c r="Q62" t="inlineStr"/>
    </row>
    <row r="63">
      <c r="A63" t="inlineStr">
        <is>
          <t>GRAHA ARTHA PRATAMA</t>
        </is>
      </c>
      <c r="B63" t="inlineStr">
        <is>
          <t>Kota Jambi</t>
        </is>
      </c>
      <c r="C63" t="inlineStr">
        <is>
          <t>07413062149</t>
        </is>
      </c>
      <c r="D63" t="inlineStr">
        <is>
          <t>gap.cjuk@gmail.com</t>
        </is>
      </c>
      <c r="E63" t="inlineStr">
        <is>
          <t>https://lpjk.pu.go.id/search-badan-usaha-detail/K3h0UXlkbGtQemRSWnpBZTFkRHFMUT09</t>
        </is>
      </c>
      <c r="F63" t="n">
        <v>1</v>
      </c>
      <c r="G63" t="inlineStr">
        <is>
          <t>BS001</t>
        </is>
      </c>
      <c r="H63" t="inlineStr">
        <is>
          <t>14 Maret 2012</t>
        </is>
      </c>
      <c r="I63" s="2" t="n">
        <v>46289</v>
      </c>
      <c r="J63" t="inlineStr">
        <is>
          <t>Disetujui</t>
        </is>
      </c>
      <c r="K63" t="n">
        <v>90</v>
      </c>
      <c r="L63" t="inlineStr">
        <is>
          <t>24 September 2026</t>
        </is>
      </c>
      <c r="M63" t="inlineStr">
        <is>
          <t>Konstruksi Bangunan Sipil Jalan</t>
        </is>
      </c>
      <c r="N63" t="inlineStr">
        <is>
          <t>K</t>
        </is>
      </c>
      <c r="O63" t="inlineStr">
        <is>
          <t>20230915</t>
        </is>
      </c>
      <c r="P63" t="inlineStr">
        <is>
          <t>Jambi</t>
        </is>
      </c>
      <c r="Q63" t="inlineStr"/>
    </row>
    <row r="64">
      <c r="A64" t="inlineStr">
        <is>
          <t>GUNTUR ABADI</t>
        </is>
      </c>
      <c r="B64" t="inlineStr">
        <is>
          <t>Kab. Sidoarjo</t>
        </is>
      </c>
      <c r="C64" t="inlineStr">
        <is>
          <t>081252968769</t>
        </is>
      </c>
      <c r="D64" t="inlineStr">
        <is>
          <t>gunturabadi.cv@gmail.com</t>
        </is>
      </c>
      <c r="E64" t="inlineStr">
        <is>
          <t>https://lpjk.pu.go.id/search-badan-usaha-detail/eXM3b3JaUCtoTUJFWSszQ2ZGcENrdz09</t>
        </is>
      </c>
      <c r="F64" t="n">
        <v>3</v>
      </c>
      <c r="G64" t="inlineStr">
        <is>
          <t>BS001, BS004, BS005</t>
        </is>
      </c>
      <c r="H64" t="inlineStr">
        <is>
          <t>18 Juni 2020</t>
        </is>
      </c>
      <c r="I64" s="2" t="n">
        <v>46289</v>
      </c>
      <c r="J64" t="inlineStr">
        <is>
          <t>Disetujui</t>
        </is>
      </c>
      <c r="K64" t="n">
        <v>90</v>
      </c>
      <c r="L64" t="inlineStr">
        <is>
          <t>24 September 2026</t>
        </is>
      </c>
      <c r="M64" t="inlineStr">
        <is>
          <t>Konstruksi Bangunan Sipil Jalan, Konstruksi Bangunan Sipil Pengolahan Air Bersih, Konstruksi Jaringan Irigasi dan Drainase</t>
        </is>
      </c>
      <c r="N64" t="inlineStr">
        <is>
          <t>K</t>
        </is>
      </c>
      <c r="O64" t="inlineStr">
        <is>
          <t>20230921, 20230922</t>
        </is>
      </c>
      <c r="P64" t="inlineStr">
        <is>
          <t>Jawa Timur</t>
        </is>
      </c>
      <c r="Q64" t="inlineStr"/>
    </row>
    <row r="65">
      <c r="A65" t="inlineStr">
        <is>
          <t>HIDAYAH MAKMUR JAYA</t>
        </is>
      </c>
      <c r="B65" t="inlineStr">
        <is>
          <t>Kab. Sidoarjo</t>
        </is>
      </c>
      <c r="C65" t="inlineStr">
        <is>
          <t>082132251980</t>
        </is>
      </c>
      <c r="D65" t="inlineStr">
        <is>
          <t>cv_hmj_sda@yahoo.co.id</t>
        </is>
      </c>
      <c r="E65" t="inlineStr">
        <is>
          <t>https://lpjk.pu.go.id/search-badan-usaha-detail/d3haTG1VMG9nVTRqNmhDODdta2IwZz09</t>
        </is>
      </c>
      <c r="F65" t="n">
        <v>2</v>
      </c>
      <c r="G65" t="inlineStr">
        <is>
          <t>BG004, BS004</t>
        </is>
      </c>
      <c r="H65" t="inlineStr">
        <is>
          <t>29 Juli 2015</t>
        </is>
      </c>
      <c r="I65" s="2" t="n">
        <v>46289</v>
      </c>
      <c r="J65" t="inlineStr">
        <is>
          <t>Disetujui</t>
        </is>
      </c>
      <c r="K65" t="n">
        <v>90</v>
      </c>
      <c r="L65" t="inlineStr">
        <is>
          <t>24 September 2026</t>
        </is>
      </c>
      <c r="M65" t="inlineStr">
        <is>
          <t>Konstruksi Gedung Perbelanjaan, Konstruksi Jaringan Irigasi dan Drainase</t>
        </is>
      </c>
      <c r="N65" t="inlineStr">
        <is>
          <t>K</t>
        </is>
      </c>
      <c r="O65" t="inlineStr">
        <is>
          <t>20230922</t>
        </is>
      </c>
      <c r="P65" t="inlineStr">
        <is>
          <t>Jawa Timur</t>
        </is>
      </c>
      <c r="Q65" t="inlineStr"/>
    </row>
    <row r="66">
      <c r="A66" t="inlineStr">
        <is>
          <t>HUTAMA MANDALA KONSULTAN</t>
        </is>
      </c>
      <c r="B66" t="inlineStr">
        <is>
          <t>Kab. Sidoarjo</t>
        </is>
      </c>
      <c r="C66" t="inlineStr">
        <is>
          <t>081333158978</t>
        </is>
      </c>
      <c r="D66" t="inlineStr">
        <is>
          <t>hmk.konsultan@gmail.com</t>
        </is>
      </c>
      <c r="E66" t="inlineStr">
        <is>
          <t>https://lpjk.pu.go.id/search-badan-usaha-detail/Uzc4ejg5Q1FycXgxOG0ralJJRnVzZz09</t>
        </is>
      </c>
      <c r="F66" t="n">
        <v>8</v>
      </c>
      <c r="G66" t="inlineStr">
        <is>
          <t>AR001, AR003, RK001, RK004</t>
        </is>
      </c>
      <c r="H66" t="inlineStr">
        <is>
          <t>23 Maret 2018</t>
        </is>
      </c>
      <c r="I66" s="2" t="n">
        <v>46289</v>
      </c>
      <c r="J66" t="inlineStr">
        <is>
          <t>Disetujui</t>
        </is>
      </c>
      <c r="K66" t="n">
        <v>90</v>
      </c>
      <c r="L66" t="inlineStr">
        <is>
          <t>24 September 2026</t>
        </is>
      </c>
      <c r="M66" t="inlineStr">
        <is>
          <t>Jasa Arsitektural Bangunan Gedung Hunian dan Non Hunian, Jasa Desain Interior pada Bangunan Gedung dan Bangunan Sipil, Jasa Rekayasa Konstruksi Bangunan Gedung Hunian dan Non Hunian, Jasa Rekayasa Pekerjaan Mekanikal Dalam Bangunan</t>
        </is>
      </c>
      <c r="N66" t="inlineStr">
        <is>
          <t>K</t>
        </is>
      </c>
      <c r="O66" t="inlineStr">
        <is>
          <t>20230919</t>
        </is>
      </c>
      <c r="P66" t="inlineStr">
        <is>
          <t>Jawa Timur</t>
        </is>
      </c>
      <c r="Q66" t="inlineStr"/>
    </row>
    <row r="67">
      <c r="A67" t="inlineStr">
        <is>
          <t>IBRAHIMY RAYA SEJAHTERA</t>
        </is>
      </c>
      <c r="B67" t="inlineStr">
        <is>
          <t>Kota Pontianak</t>
        </is>
      </c>
      <c r="C67" t="inlineStr">
        <is>
          <t>0895701710481</t>
        </is>
      </c>
      <c r="D67" t="inlineStr">
        <is>
          <t>ibrahimyrayasejahtera@gmail.com</t>
        </is>
      </c>
      <c r="E67" t="inlineStr">
        <is>
          <t>https://lpjk.pu.go.id/search-badan-usaha-detail/VlZqUmtvZnRKdkpaRm9uMTVqNk91UT09</t>
        </is>
      </c>
      <c r="F67" t="n">
        <v>1</v>
      </c>
      <c r="G67" t="inlineStr">
        <is>
          <t>BS001</t>
        </is>
      </c>
      <c r="H67" t="inlineStr">
        <is>
          <t>31 Januari 2020</t>
        </is>
      </c>
      <c r="I67" s="2" t="n">
        <v>46289</v>
      </c>
      <c r="J67" t="inlineStr">
        <is>
          <t>Disetujui</t>
        </is>
      </c>
      <c r="K67" t="n">
        <v>90</v>
      </c>
      <c r="L67" t="inlineStr">
        <is>
          <t>24 September 2026</t>
        </is>
      </c>
      <c r="M67" t="inlineStr">
        <is>
          <t>Konstruksi Bangunan Sipil Jalan</t>
        </is>
      </c>
      <c r="N67" t="inlineStr">
        <is>
          <t>K</t>
        </is>
      </c>
      <c r="O67" t="inlineStr">
        <is>
          <t>20230922</t>
        </is>
      </c>
      <c r="P67" t="inlineStr">
        <is>
          <t>Kalimantan Barat</t>
        </is>
      </c>
      <c r="Q67" t="inlineStr"/>
    </row>
    <row r="68">
      <c r="A68" t="inlineStr">
        <is>
          <t>INTAN PRIMA MANDIRI</t>
        </is>
      </c>
      <c r="B68" t="inlineStr">
        <is>
          <t>Kab. Agam</t>
        </is>
      </c>
      <c r="C68" t="inlineStr">
        <is>
          <t>081311321637</t>
        </is>
      </c>
      <c r="D68" t="inlineStr">
        <is>
          <t>yusrial909@gmail.com</t>
        </is>
      </c>
      <c r="E68" t="inlineStr">
        <is>
          <t>https://lpjk.pu.go.id/search-badan-usaha-detail/THcyZGlOd3hXUGxjVzNKWWlXSHpGZz09</t>
        </is>
      </c>
      <c r="F68" t="n">
        <v>2</v>
      </c>
      <c r="G68" t="inlineStr">
        <is>
          <t>BG002, BG008</t>
        </is>
      </c>
      <c r="H68" t="inlineStr">
        <is>
          <t>20 Februari 2007</t>
        </is>
      </c>
      <c r="I68" s="2" t="n">
        <v>46289</v>
      </c>
      <c r="J68" t="inlineStr">
        <is>
          <t>Disetujui</t>
        </is>
      </c>
      <c r="K68" t="n">
        <v>90</v>
      </c>
      <c r="L68" t="inlineStr">
        <is>
          <t>24 September 2026</t>
        </is>
      </c>
      <c r="M68" t="inlineStr">
        <is>
          <t>Konstruksi Gedung Perkantoran, Konstruksi Gedung Tempat Hiburan dan Olahraga</t>
        </is>
      </c>
      <c r="N68" t="inlineStr">
        <is>
          <t>K</t>
        </is>
      </c>
      <c r="O68" t="inlineStr">
        <is>
          <t>20230908</t>
        </is>
      </c>
      <c r="P68" t="inlineStr">
        <is>
          <t>Sumatera Barat</t>
        </is>
      </c>
      <c r="Q68" t="inlineStr"/>
    </row>
    <row r="69">
      <c r="A69" t="inlineStr">
        <is>
          <t>ITERGO BUANA UTAMA</t>
        </is>
      </c>
      <c r="B69" t="inlineStr">
        <is>
          <t>Kota Bandung</t>
        </is>
      </c>
      <c r="C69" t="inlineStr">
        <is>
          <t>-</t>
        </is>
      </c>
      <c r="D69" t="inlineStr">
        <is>
          <t>intergobuanautama1@gmail.com</t>
        </is>
      </c>
      <c r="E69" t="inlineStr">
        <is>
          <t>https://lpjk.pu.go.id/search-badan-usaha-detail/b3Z1WVNybzhIK01xY3d4OXJIM2tFQT09</t>
        </is>
      </c>
      <c r="F69" t="n">
        <v>1</v>
      </c>
      <c r="G69" t="inlineStr">
        <is>
          <t>AR003</t>
        </is>
      </c>
      <c r="H69" t="inlineStr">
        <is>
          <t>19 Agustus 2013</t>
        </is>
      </c>
      <c r="I69" s="2" t="n">
        <v>46289</v>
      </c>
      <c r="J69" t="inlineStr">
        <is>
          <t>Disetujui</t>
        </is>
      </c>
      <c r="K69" t="n">
        <v>90</v>
      </c>
      <c r="L69" t="inlineStr">
        <is>
          <t>24 September 2026</t>
        </is>
      </c>
      <c r="M69" t="inlineStr">
        <is>
          <t>Jasa Desain Interior pada Bangunan Gedung dan Bangunan Sipil</t>
        </is>
      </c>
      <c r="N69" t="inlineStr">
        <is>
          <t>K</t>
        </is>
      </c>
      <c r="O69" t="inlineStr">
        <is>
          <t>20230908</t>
        </is>
      </c>
      <c r="P69" t="inlineStr">
        <is>
          <t>Jawa Barat</t>
        </is>
      </c>
      <c r="Q69" t="inlineStr"/>
    </row>
    <row r="70">
      <c r="A70" t="inlineStr">
        <is>
          <t>KARYA KAMEFADA WIJAYA INDONESIA</t>
        </is>
      </c>
      <c r="B70" t="inlineStr">
        <is>
          <t>Kota Bandar Lampung</t>
        </is>
      </c>
      <c r="C70" t="inlineStr">
        <is>
          <t>081367743843</t>
        </is>
      </c>
      <c r="D70" t="inlineStr">
        <is>
          <t>pt.karyakamefada2007@gmail.com</t>
        </is>
      </c>
      <c r="E70" t="inlineStr">
        <is>
          <t>https://lpjk.pu.go.id/search-badan-usaha-detail/YTJEVTJ1RHh5T2lPWVhHUjdGbDFtdz09</t>
        </is>
      </c>
      <c r="F70" t="n">
        <v>1</v>
      </c>
      <c r="G70" t="inlineStr">
        <is>
          <t>BS010</t>
        </is>
      </c>
      <c r="H70" t="inlineStr">
        <is>
          <t>22 Januari 2007</t>
        </is>
      </c>
      <c r="I70" s="2" t="n">
        <v>46289</v>
      </c>
      <c r="J70" t="inlineStr">
        <is>
          <t>Disetujui</t>
        </is>
      </c>
      <c r="K70" t="n">
        <v>90</v>
      </c>
      <c r="L70" t="inlineStr">
        <is>
          <t>24 September 2026</t>
        </is>
      </c>
      <c r="M70" t="inlineStr">
        <is>
          <t>Konstruksi Bangunan Prasarana Sumber Daya Air</t>
        </is>
      </c>
      <c r="N70" t="inlineStr">
        <is>
          <t>M</t>
        </is>
      </c>
      <c r="O70" t="inlineStr">
        <is>
          <t>20230919</t>
        </is>
      </c>
      <c r="P70" t="inlineStr">
        <is>
          <t>Lampung</t>
        </is>
      </c>
      <c r="Q70" t="inlineStr"/>
    </row>
    <row r="71">
      <c r="A71" t="inlineStr">
        <is>
          <t>KARYA MANUNGGAL KONSTRUKSI</t>
        </is>
      </c>
      <c r="B71" t="inlineStr">
        <is>
          <t>Kota Pekanbaru</t>
        </is>
      </c>
      <c r="C71" t="inlineStr">
        <is>
          <t>081364822267</t>
        </is>
      </c>
      <c r="D71" t="inlineStr">
        <is>
          <t>cv.karyamanunggalkonstruksi@gmail.com</t>
        </is>
      </c>
      <c r="E71" t="inlineStr">
        <is>
          <t>https://lpjk.pu.go.id/search-badan-usaha-detail/aGxNd0gwdXJCMGtJL2VjV0pvU3hhZz09</t>
        </is>
      </c>
      <c r="F71" t="n">
        <v>1</v>
      </c>
      <c r="G71" t="inlineStr">
        <is>
          <t>BS004</t>
        </is>
      </c>
      <c r="H71" t="inlineStr">
        <is>
          <t>15 Maret 2023</t>
        </is>
      </c>
      <c r="I71" s="2" t="n">
        <v>46289</v>
      </c>
      <c r="J71" t="inlineStr">
        <is>
          <t>Disetujui</t>
        </is>
      </c>
      <c r="K71" t="n">
        <v>90</v>
      </c>
      <c r="L71" t="inlineStr">
        <is>
          <t>24 September 2026</t>
        </is>
      </c>
      <c r="M71" t="inlineStr">
        <is>
          <t>Konstruksi Jaringan Irigasi dan Drainase</t>
        </is>
      </c>
      <c r="N71" t="inlineStr">
        <is>
          <t>K</t>
        </is>
      </c>
      <c r="O71" t="inlineStr">
        <is>
          <t>20230922</t>
        </is>
      </c>
      <c r="P71" t="inlineStr">
        <is>
          <t>Riau</t>
        </is>
      </c>
      <c r="Q71" t="inlineStr"/>
    </row>
    <row r="72">
      <c r="A72" t="inlineStr">
        <is>
          <t>KARYA PRIMA CIPTA UTAMA</t>
        </is>
      </c>
      <c r="B72" t="inlineStr">
        <is>
          <t>Kota Denpasar</t>
        </is>
      </c>
      <c r="C72" t="inlineStr">
        <is>
          <t>0361227279</t>
        </is>
      </c>
      <c r="D72" t="inlineStr">
        <is>
          <t>mail.kpcu@gmail.com</t>
        </is>
      </c>
      <c r="E72" t="inlineStr">
        <is>
          <t>https://lpjk.pu.go.id/search-badan-usaha-detail/ZkpRNnNOMkVvS0RsTERoQUUwTzZzdz09</t>
        </is>
      </c>
      <c r="F72" t="n">
        <v>1</v>
      </c>
      <c r="G72" t="inlineStr">
        <is>
          <t>KK003</t>
        </is>
      </c>
      <c r="H72" t="inlineStr">
        <is>
          <t>5 Juni 1999</t>
        </is>
      </c>
      <c r="I72" s="2" t="n">
        <v>46289</v>
      </c>
      <c r="J72" t="inlineStr">
        <is>
          <t>Disetujui</t>
        </is>
      </c>
      <c r="K72" t="n">
        <v>90</v>
      </c>
      <c r="L72" t="inlineStr">
        <is>
          <t>24 September 2026</t>
        </is>
      </c>
      <c r="M72" t="inlineStr">
        <is>
          <t>Konstruksi Intake, Control Gate, Penstock dan Outflow Pembangkit Listrik Tenaga Air</t>
        </is>
      </c>
      <c r="N72" t="inlineStr">
        <is>
          <t>Spesialis</t>
        </is>
      </c>
      <c r="O72" t="inlineStr">
        <is>
          <t>20230922</t>
        </is>
      </c>
      <c r="P72" t="inlineStr">
        <is>
          <t>Bali</t>
        </is>
      </c>
      <c r="Q72" t="inlineStr"/>
    </row>
    <row r="73">
      <c r="A73" t="inlineStr">
        <is>
          <t>KARYA PUTRA PANDAWA</t>
        </is>
      </c>
      <c r="B73" t="inlineStr">
        <is>
          <t>Kab. Barito Kuala</t>
        </is>
      </c>
      <c r="C73" t="inlineStr">
        <is>
          <t>085386667303</t>
        </is>
      </c>
      <c r="D73" t="inlineStr">
        <is>
          <t>cv.karyaputrapandawa@gmail.com</t>
        </is>
      </c>
      <c r="E73" t="inlineStr">
        <is>
          <t>https://lpjk.pu.go.id/search-badan-usaha-detail/d3RyNmk3d29TOGs0aTVMckZyanBlUT09</t>
        </is>
      </c>
      <c r="F73" t="n">
        <v>1</v>
      </c>
      <c r="G73" t="inlineStr">
        <is>
          <t>BS004</t>
        </is>
      </c>
      <c r="H73" t="inlineStr">
        <is>
          <t>4 Maret 2013</t>
        </is>
      </c>
      <c r="I73" s="2" t="n">
        <v>46289</v>
      </c>
      <c r="J73" t="inlineStr">
        <is>
          <t>Pencabutan</t>
        </is>
      </c>
      <c r="K73" t="n">
        <v>90</v>
      </c>
      <c r="L73" t="inlineStr">
        <is>
          <t>24 September 2026</t>
        </is>
      </c>
      <c r="M73" t="inlineStr">
        <is>
          <t>Konstruksi Jaringan Irigasi dan Drainase</t>
        </is>
      </c>
      <c r="N73" t="inlineStr">
        <is>
          <t>K</t>
        </is>
      </c>
      <c r="O73" t="inlineStr">
        <is>
          <t>20230925</t>
        </is>
      </c>
      <c r="P73" t="inlineStr">
        <is>
          <t>Kalimantan Selatan</t>
        </is>
      </c>
      <c r="Q73" t="inlineStr"/>
    </row>
    <row r="74">
      <c r="A74" t="inlineStr">
        <is>
          <t>KARYA TIGA PUTERA</t>
        </is>
      </c>
      <c r="B74" t="inlineStr">
        <is>
          <t>Kota Cimahi</t>
        </is>
      </c>
      <c r="C74" t="inlineStr">
        <is>
          <t>081282091335</t>
        </is>
      </c>
      <c r="D74" t="inlineStr">
        <is>
          <t>karyatigaputera@gmail.com</t>
        </is>
      </c>
      <c r="E74" t="inlineStr">
        <is>
          <t>https://lpjk.pu.go.id/search-badan-usaha-detail/TG5KV1RlZkFWelJ2N1JycUozeGlvZz09</t>
        </is>
      </c>
      <c r="F74" t="n">
        <v>1</v>
      </c>
      <c r="G74" t="inlineStr">
        <is>
          <t>BS001</t>
        </is>
      </c>
      <c r="H74" t="inlineStr">
        <is>
          <t>22 Juni 2012</t>
        </is>
      </c>
      <c r="I74" s="2" t="n">
        <v>46289</v>
      </c>
      <c r="J74" t="inlineStr">
        <is>
          <t>Disetujui</t>
        </is>
      </c>
      <c r="K74" t="n">
        <v>90</v>
      </c>
      <c r="L74" t="inlineStr">
        <is>
          <t>24 September 2026</t>
        </is>
      </c>
      <c r="M74" t="inlineStr">
        <is>
          <t>Konstruksi Bangunan Sipil Jalan</t>
        </is>
      </c>
      <c r="N74" t="inlineStr">
        <is>
          <t>K</t>
        </is>
      </c>
      <c r="O74" t="inlineStr">
        <is>
          <t>20230914</t>
        </is>
      </c>
      <c r="P74" t="inlineStr">
        <is>
          <t>Jawa Barat</t>
        </is>
      </c>
      <c r="Q74" t="inlineStr"/>
    </row>
    <row r="75">
      <c r="A75" t="inlineStr">
        <is>
          <t>KHAYRA PERMATA</t>
        </is>
      </c>
      <c r="B75" t="inlineStr">
        <is>
          <t>Kota Medan</t>
        </is>
      </c>
      <c r="C75" t="inlineStr">
        <is>
          <t>081265319342</t>
        </is>
      </c>
      <c r="D75" t="inlineStr">
        <is>
          <t>khayrapermatacv@gmail.com</t>
        </is>
      </c>
      <c r="E75" t="inlineStr">
        <is>
          <t>https://lpjk.pu.go.id/search-badan-usaha-detail/dXF3VkUvR0Frc05wcnV1VHZoakpVZz09</t>
        </is>
      </c>
      <c r="F75" t="n">
        <v>1</v>
      </c>
      <c r="G75" t="inlineStr">
        <is>
          <t>BG006</t>
        </is>
      </c>
      <c r="H75" t="inlineStr">
        <is>
          <t>27 April 2020</t>
        </is>
      </c>
      <c r="I75" s="2" t="n">
        <v>46289</v>
      </c>
      <c r="J75" t="inlineStr">
        <is>
          <t>Disetujui</t>
        </is>
      </c>
      <c r="K75" t="n">
        <v>90</v>
      </c>
      <c r="L75" t="inlineStr">
        <is>
          <t>24 September 2026</t>
        </is>
      </c>
      <c r="M75" t="inlineStr">
        <is>
          <t>Konstruksi Gedung Pendidikan</t>
        </is>
      </c>
      <c r="N75" t="inlineStr">
        <is>
          <t>K</t>
        </is>
      </c>
      <c r="O75" t="inlineStr">
        <is>
          <t>20230915</t>
        </is>
      </c>
      <c r="P75" t="inlineStr">
        <is>
          <t>Sumatera Utara</t>
        </is>
      </c>
      <c r="Q75" t="inlineStr"/>
    </row>
    <row r="76">
      <c r="A76" t="inlineStr">
        <is>
          <t>KITAPURA MEMBANGUN</t>
        </is>
      </c>
      <c r="B76" t="inlineStr">
        <is>
          <t>Kota Palu</t>
        </is>
      </c>
      <c r="C76" t="inlineStr">
        <is>
          <t>081354679479</t>
        </is>
      </c>
      <c r="D76" t="inlineStr">
        <is>
          <t>kitapuramembangun@yahoo.co.id</t>
        </is>
      </c>
      <c r="E76" t="inlineStr">
        <is>
          <t>https://lpjk.pu.go.id/search-badan-usaha-detail/SUFkVGx3Y2pvTGw0aWVSSVdXd3FQZz09</t>
        </is>
      </c>
      <c r="F76" t="n">
        <v>1</v>
      </c>
      <c r="G76" t="inlineStr">
        <is>
          <t>BG001</t>
        </is>
      </c>
      <c r="H76" t="inlineStr">
        <is>
          <t>30 April 2011</t>
        </is>
      </c>
      <c r="I76" s="2" t="n">
        <v>46289</v>
      </c>
      <c r="J76" t="inlineStr">
        <is>
          <t>Disetujui</t>
        </is>
      </c>
      <c r="K76" t="n">
        <v>90</v>
      </c>
      <c r="L76" t="inlineStr">
        <is>
          <t>24 September 2026</t>
        </is>
      </c>
      <c r="M76" t="inlineStr">
        <is>
          <t>Konstruksi Gedung Hunian</t>
        </is>
      </c>
      <c r="N76" t="inlineStr">
        <is>
          <t>K</t>
        </is>
      </c>
      <c r="O76" t="inlineStr">
        <is>
          <t>20230919</t>
        </is>
      </c>
      <c r="P76" t="inlineStr">
        <is>
          <t>Sulawesi Tengah</t>
        </is>
      </c>
      <c r="Q76" t="inlineStr"/>
    </row>
    <row r="77">
      <c r="A77" t="inlineStr">
        <is>
          <t>LOKAL UTAMA</t>
        </is>
      </c>
      <c r="B77" t="inlineStr">
        <is>
          <t>Kab. Sumbawa Barat</t>
        </is>
      </c>
      <c r="C77" t="inlineStr">
        <is>
          <t>081339639396</t>
        </is>
      </c>
      <c r="D77" t="inlineStr">
        <is>
          <t>lokalutama@yahoo.com</t>
        </is>
      </c>
      <c r="E77" t="inlineStr">
        <is>
          <t>https://lpjk.pu.go.id/search-badan-usaha-detail/M2czZ21PWHhLcHRuRW5XQ1VyZlpxUT09</t>
        </is>
      </c>
      <c r="F77" t="n">
        <v>2</v>
      </c>
      <c r="G77" t="inlineStr">
        <is>
          <t>BG004, BG005</t>
        </is>
      </c>
      <c r="H77" t="inlineStr">
        <is>
          <t>19 Oktober 2001</t>
        </is>
      </c>
      <c r="I77" s="2" t="n">
        <v>46289</v>
      </c>
      <c r="J77" t="inlineStr">
        <is>
          <t>Disetujui</t>
        </is>
      </c>
      <c r="K77" t="n">
        <v>90</v>
      </c>
      <c r="L77" t="inlineStr">
        <is>
          <t>24 September 2026</t>
        </is>
      </c>
      <c r="M77" t="inlineStr">
        <is>
          <t>Konstruksi Gedung Kesehatan, Konstruksi Gedung Perbelanjaan</t>
        </is>
      </c>
      <c r="N77" t="inlineStr">
        <is>
          <t>K</t>
        </is>
      </c>
      <c r="O77" t="inlineStr">
        <is>
          <t>20230809, 20230921</t>
        </is>
      </c>
      <c r="P77" t="inlineStr">
        <is>
          <t>Nusa Tenggara Barat</t>
        </is>
      </c>
      <c r="Q77" t="inlineStr"/>
    </row>
    <row r="78">
      <c r="A78" t="inlineStr">
        <is>
          <t>MAHKOTA ALAM JAYA</t>
        </is>
      </c>
      <c r="B78" t="inlineStr">
        <is>
          <t>Kab. Pangandaran</t>
        </is>
      </c>
      <c r="C78" t="inlineStr">
        <is>
          <t>082127778054</t>
        </is>
      </c>
      <c r="D78" t="inlineStr">
        <is>
          <t>mahkotaalamjaya.pnd@gmail.com</t>
        </is>
      </c>
      <c r="E78" t="inlineStr">
        <is>
          <t>https://lpjk.pu.go.id/search-badan-usaha-detail/aElaTjFKMW12UzZMN1BxTTV1N05hdz09</t>
        </is>
      </c>
      <c r="F78" t="n">
        <v>1</v>
      </c>
      <c r="G78" t="inlineStr">
        <is>
          <t>BS001</t>
        </is>
      </c>
      <c r="H78" t="inlineStr">
        <is>
          <t>24 Februari 2017</t>
        </is>
      </c>
      <c r="I78" s="2" t="n">
        <v>46289</v>
      </c>
      <c r="J78" t="inlineStr">
        <is>
          <t>Disetujui</t>
        </is>
      </c>
      <c r="K78" t="n">
        <v>90</v>
      </c>
      <c r="L78" t="inlineStr">
        <is>
          <t>24 September 2026</t>
        </is>
      </c>
      <c r="M78" t="inlineStr">
        <is>
          <t>Konstruksi Bangunan Sipil Jalan</t>
        </is>
      </c>
      <c r="N78" t="inlineStr">
        <is>
          <t>K</t>
        </is>
      </c>
      <c r="O78" t="inlineStr">
        <is>
          <t>20230921</t>
        </is>
      </c>
      <c r="P78" t="inlineStr">
        <is>
          <t>Jawa Barat</t>
        </is>
      </c>
      <c r="Q78" t="inlineStr"/>
    </row>
    <row r="79">
      <c r="A79" t="inlineStr">
        <is>
          <t>MAJU BERSAMA</t>
        </is>
      </c>
      <c r="B79" t="inlineStr">
        <is>
          <t>Kota Singkawang</t>
        </is>
      </c>
      <c r="C79" t="inlineStr">
        <is>
          <t>085389679695</t>
        </is>
      </c>
      <c r="D79" t="inlineStr">
        <is>
          <t>rromypanjaitan1122@gmail.com</t>
        </is>
      </c>
      <c r="E79" t="inlineStr">
        <is>
          <t>https://lpjk.pu.go.id/search-badan-usaha-detail/N0JSREdSWWpmL1B3TXo4SGcvNERVZz09</t>
        </is>
      </c>
      <c r="F79" t="n">
        <v>1</v>
      </c>
      <c r="G79" t="inlineStr">
        <is>
          <t>BS001</t>
        </is>
      </c>
      <c r="H79" t="inlineStr">
        <is>
          <t>29 Oktober 2002</t>
        </is>
      </c>
      <c r="I79" s="2" t="n">
        <v>46289</v>
      </c>
      <c r="J79" t="inlineStr">
        <is>
          <t>Disetujui</t>
        </is>
      </c>
      <c r="K79" t="n">
        <v>90</v>
      </c>
      <c r="L79" t="inlineStr">
        <is>
          <t>24 September 2026</t>
        </is>
      </c>
      <c r="M79" t="inlineStr">
        <is>
          <t>Konstruksi Bangunan Sipil Jalan</t>
        </is>
      </c>
      <c r="N79" t="inlineStr">
        <is>
          <t>K</t>
        </is>
      </c>
      <c r="O79" t="inlineStr">
        <is>
          <t>20230911</t>
        </is>
      </c>
      <c r="P79" t="inlineStr">
        <is>
          <t>Kalimantan Barat</t>
        </is>
      </c>
      <c r="Q79" t="inlineStr"/>
    </row>
    <row r="80">
      <c r="A80" t="inlineStr">
        <is>
          <t>MAJU MAKMUR</t>
        </is>
      </c>
      <c r="B80" t="inlineStr">
        <is>
          <t>Kab. Kendal</t>
        </is>
      </c>
      <c r="C80" t="inlineStr">
        <is>
          <t>081901641449</t>
        </is>
      </c>
      <c r="D80" t="inlineStr">
        <is>
          <t>cvmajumakmur@yahoo.co.id</t>
        </is>
      </c>
      <c r="E80" t="inlineStr">
        <is>
          <t>https://lpjk.pu.go.id/search-badan-usaha-detail/U2krU3ZGbDFKa0NGNFVjVmVzbUtFZz09</t>
        </is>
      </c>
      <c r="F80" t="n">
        <v>3</v>
      </c>
      <c r="G80" t="inlineStr">
        <is>
          <t>BG009, BS001, BS004</t>
        </is>
      </c>
      <c r="H80" t="inlineStr">
        <is>
          <t>13 Januari 1984</t>
        </is>
      </c>
      <c r="I80" s="2" t="n">
        <v>46289</v>
      </c>
      <c r="J80" t="inlineStr">
        <is>
          <t>Disetujui</t>
        </is>
      </c>
      <c r="K80" t="n">
        <v>90</v>
      </c>
      <c r="L80" t="inlineStr">
        <is>
          <t>24 September 2026</t>
        </is>
      </c>
      <c r="M80" t="inlineStr">
        <is>
          <t>Konstruksi Bangunan Sipil Jalan, Konstruksi Gedung Lainnya, Konstruksi Jaringan Irigasi dan Drainase</t>
        </is>
      </c>
      <c r="N80" t="inlineStr">
        <is>
          <t>K</t>
        </is>
      </c>
      <c r="O80" t="inlineStr">
        <is>
          <t>20230920</t>
        </is>
      </c>
      <c r="P80" t="inlineStr">
        <is>
          <t>Jawa Tengah</t>
        </is>
      </c>
      <c r="Q80" t="inlineStr"/>
    </row>
    <row r="81">
      <c r="A81" t="inlineStr">
        <is>
          <t>MEGAH KARYA TIKA PRATAMA</t>
        </is>
      </c>
      <c r="B81" t="inlineStr">
        <is>
          <t>Kota Semarang</t>
        </is>
      </c>
      <c r="C81" t="inlineStr">
        <is>
          <t>0247623792</t>
        </is>
      </c>
      <c r="D81" t="inlineStr">
        <is>
          <t>megah_group@yahoo.com</t>
        </is>
      </c>
      <c r="E81" t="inlineStr">
        <is>
          <t>https://lpjk.pu.go.id/search-badan-usaha-detail/RUh6aEpnSXFRUnF2Q1hqNlc5TFFXUT09</t>
        </is>
      </c>
      <c r="F81" t="n">
        <v>2</v>
      </c>
      <c r="G81" t="inlineStr">
        <is>
          <t>BG004</t>
        </is>
      </c>
      <c r="H81" t="inlineStr">
        <is>
          <t>25 Mei 1990</t>
        </is>
      </c>
      <c r="I81" s="2" t="n">
        <v>46289</v>
      </c>
      <c r="J81" t="inlineStr">
        <is>
          <t>Disetujui</t>
        </is>
      </c>
      <c r="K81" t="n">
        <v>90</v>
      </c>
      <c r="L81" t="inlineStr">
        <is>
          <t>24 September 2026</t>
        </is>
      </c>
      <c r="M81" t="inlineStr">
        <is>
          <t>Konstruksi Gedung Perbelanjaan</t>
        </is>
      </c>
      <c r="N81" t="inlineStr">
        <is>
          <t>M</t>
        </is>
      </c>
      <c r="O81" t="inlineStr">
        <is>
          <t>20230918</t>
        </is>
      </c>
      <c r="P81" t="inlineStr">
        <is>
          <t>Jawa Tengah</t>
        </is>
      </c>
      <c r="Q81" t="inlineStr"/>
    </row>
    <row r="82">
      <c r="A82" t="inlineStr">
        <is>
          <t>MENARA DHAHABI</t>
        </is>
      </c>
      <c r="B82" t="inlineStr">
        <is>
          <t>Kab. Tuban</t>
        </is>
      </c>
      <c r="C82" t="inlineStr">
        <is>
          <t>082234676786</t>
        </is>
      </c>
      <c r="D82" t="inlineStr">
        <is>
          <t>menara.dhahabi@gmail.com</t>
        </is>
      </c>
      <c r="E82" t="inlineStr">
        <is>
          <t>https://lpjk.pu.go.id/search-badan-usaha-detail/QnFhbGhvNXVXQWcrUzhvczlDK3piQT09</t>
        </is>
      </c>
      <c r="F82" t="n">
        <v>1</v>
      </c>
      <c r="G82" t="inlineStr">
        <is>
          <t>BS001</t>
        </is>
      </c>
      <c r="H82" t="inlineStr">
        <is>
          <t>21 Agustus 2023</t>
        </is>
      </c>
      <c r="I82" s="2" t="n">
        <v>46289</v>
      </c>
      <c r="J82" t="inlineStr">
        <is>
          <t>Disetujui</t>
        </is>
      </c>
      <c r="K82" t="n">
        <v>90</v>
      </c>
      <c r="L82" t="inlineStr">
        <is>
          <t>24 September 2026</t>
        </is>
      </c>
      <c r="M82" t="inlineStr">
        <is>
          <t>Konstruksi Bangunan Sipil Jalan</t>
        </is>
      </c>
      <c r="N82" t="inlineStr">
        <is>
          <t>K</t>
        </is>
      </c>
      <c r="O82" t="inlineStr">
        <is>
          <t>20230911</t>
        </is>
      </c>
      <c r="P82" t="inlineStr">
        <is>
          <t>Jawa Timur</t>
        </is>
      </c>
      <c r="Q82" t="inlineStr"/>
    </row>
    <row r="83">
      <c r="A83" t="inlineStr">
        <is>
          <t>MENTARI KARYA NUSA</t>
        </is>
      </c>
      <c r="B83" t="inlineStr">
        <is>
          <t>Kota Tangerang Selatan</t>
        </is>
      </c>
      <c r="C83" t="inlineStr">
        <is>
          <t>0</t>
        </is>
      </c>
      <c r="D83" t="inlineStr">
        <is>
          <t>pt.mentarikaryanusa@gmail.com</t>
        </is>
      </c>
      <c r="E83" t="inlineStr">
        <is>
          <t>https://lpjk.pu.go.id/search-badan-usaha-detail/MmFnZnNyWWZqVGxEcFJuNysvZXdTdz09</t>
        </is>
      </c>
      <c r="F83" t="n">
        <v>1</v>
      </c>
      <c r="G83" t="inlineStr">
        <is>
          <t>BG002</t>
        </is>
      </c>
      <c r="H83" t="inlineStr">
        <is>
          <t>18 Agustus 2022</t>
        </is>
      </c>
      <c r="I83" s="2" t="n">
        <v>46289</v>
      </c>
      <c r="J83" t="inlineStr">
        <is>
          <t>Disetujui</t>
        </is>
      </c>
      <c r="K83" t="n">
        <v>90</v>
      </c>
      <c r="L83" t="inlineStr">
        <is>
          <t>24 September 2026</t>
        </is>
      </c>
      <c r="M83" t="inlineStr">
        <is>
          <t>Konstruksi Gedung Perkantoran</t>
        </is>
      </c>
      <c r="N83" t="inlineStr">
        <is>
          <t>K</t>
        </is>
      </c>
      <c r="O83" t="inlineStr">
        <is>
          <t>20230925</t>
        </is>
      </c>
      <c r="P83" t="inlineStr">
        <is>
          <t>Banten</t>
        </is>
      </c>
      <c r="Q83" t="inlineStr"/>
    </row>
    <row r="84">
      <c r="A84" t="inlineStr">
        <is>
          <t>MITRA ANDALAN SAKTI</t>
        </is>
      </c>
      <c r="B84" t="inlineStr">
        <is>
          <t>Kota Semarang</t>
        </is>
      </c>
      <c r="C84" t="inlineStr">
        <is>
          <t>081904348136</t>
        </is>
      </c>
      <c r="D84" t="inlineStr">
        <is>
          <t>info.mitrasakti@gmail.com</t>
        </is>
      </c>
      <c r="E84" t="inlineStr">
        <is>
          <t>https://lpjk.pu.go.id/search-badan-usaha-detail/UGVWZWNnbFUyNWVIUXE2ZmtPN0pQQT09</t>
        </is>
      </c>
      <c r="F84" t="n">
        <v>3</v>
      </c>
      <c r="G84" t="inlineStr">
        <is>
          <t>BG004, BG005, BG006</t>
        </is>
      </c>
      <c r="H84" t="inlineStr">
        <is>
          <t>10 Maret 2008</t>
        </is>
      </c>
      <c r="I84" s="2" t="n">
        <v>46289</v>
      </c>
      <c r="J84" t="inlineStr">
        <is>
          <t>Disetujui, Pencabutan</t>
        </is>
      </c>
      <c r="K84" t="n">
        <v>90</v>
      </c>
      <c r="L84" t="inlineStr">
        <is>
          <t>24 September 2026</t>
        </is>
      </c>
      <c r="M84" t="inlineStr">
        <is>
          <t>Konstruksi Gedung Kesehatan, Konstruksi Gedung Pendidikan, Konstruksi Gedung Perbelanjaan</t>
        </is>
      </c>
      <c r="N84" t="inlineStr">
        <is>
          <t>B, M</t>
        </is>
      </c>
      <c r="O84" t="inlineStr">
        <is>
          <t>20230918</t>
        </is>
      </c>
      <c r="P84" t="inlineStr">
        <is>
          <t>Jawa Tengah</t>
        </is>
      </c>
      <c r="Q84" t="inlineStr"/>
    </row>
    <row r="85">
      <c r="A85" t="inlineStr">
        <is>
          <t>MITRA BAHANA ENGINEERING</t>
        </is>
      </c>
      <c r="B85" t="inlineStr">
        <is>
          <t>Kota Adm. Jakarta Barat</t>
        </is>
      </c>
      <c r="C85" t="inlineStr">
        <is>
          <t>02158908922</t>
        </is>
      </c>
      <c r="D85" t="inlineStr">
        <is>
          <t>mitra_bahana.engineering@yahoo.co.id</t>
        </is>
      </c>
      <c r="E85" t="inlineStr">
        <is>
          <t>https://lpjk.pu.go.id/search-badan-usaha-detail/S0dydUhwRDczWk1qMm00eXg4UmlDQT09</t>
        </is>
      </c>
      <c r="F85" t="n">
        <v>1</v>
      </c>
      <c r="G85" t="inlineStr">
        <is>
          <t>RK004</t>
        </is>
      </c>
      <c r="H85" t="inlineStr">
        <is>
          <t>5 Juni 2014</t>
        </is>
      </c>
      <c r="I85" s="2" t="n">
        <v>46289</v>
      </c>
      <c r="J85" t="inlineStr">
        <is>
          <t>Disetujui</t>
        </is>
      </c>
      <c r="K85" t="n">
        <v>90</v>
      </c>
      <c r="L85" t="inlineStr">
        <is>
          <t>24 September 2026</t>
        </is>
      </c>
      <c r="M85" t="inlineStr">
        <is>
          <t>Jasa Rekayasa Pekerjaan Mekanikal Dalam Bangunan</t>
        </is>
      </c>
      <c r="N85" t="inlineStr">
        <is>
          <t>K</t>
        </is>
      </c>
      <c r="O85" t="inlineStr">
        <is>
          <t>20230912</t>
        </is>
      </c>
      <c r="P85" t="inlineStr">
        <is>
          <t>DKI Jakarta</t>
        </is>
      </c>
      <c r="Q85" t="inlineStr"/>
    </row>
    <row r="86">
      <c r="A86" t="inlineStr">
        <is>
          <t>MITRA TUNGGAL SENTOSA</t>
        </is>
      </c>
      <c r="B86" t="inlineStr">
        <is>
          <t>Kab. Tuban</t>
        </is>
      </c>
      <c r="C86" t="inlineStr">
        <is>
          <t>082140384955</t>
        </is>
      </c>
      <c r="D86" t="inlineStr">
        <is>
          <t>mitratunggalsentosa79@gmail.com</t>
        </is>
      </c>
      <c r="E86" t="inlineStr">
        <is>
          <t>https://lpjk.pu.go.id/search-badan-usaha-detail/c3FOeTZYMzVYejVwQnE1K21IRkE5dz09</t>
        </is>
      </c>
      <c r="F86" t="n">
        <v>1</v>
      </c>
      <c r="G86" t="inlineStr">
        <is>
          <t>BG003</t>
        </is>
      </c>
      <c r="H86" t="inlineStr">
        <is>
          <t>2 Maret 2018</t>
        </is>
      </c>
      <c r="I86" s="2" t="n">
        <v>46289</v>
      </c>
      <c r="J86" t="inlineStr">
        <is>
          <t>Disetujui</t>
        </is>
      </c>
      <c r="K86" t="n">
        <v>90</v>
      </c>
      <c r="L86" t="inlineStr">
        <is>
          <t>24 September 2026</t>
        </is>
      </c>
      <c r="M86" t="inlineStr">
        <is>
          <t>Konstruksi Gedung Industri</t>
        </is>
      </c>
      <c r="N86" t="inlineStr">
        <is>
          <t>K</t>
        </is>
      </c>
      <c r="O86" t="inlineStr">
        <is>
          <t>20230922</t>
        </is>
      </c>
      <c r="P86" t="inlineStr">
        <is>
          <t>Jawa Timur</t>
        </is>
      </c>
      <c r="Q86" t="inlineStr"/>
    </row>
    <row r="87">
      <c r="A87" t="inlineStr">
        <is>
          <t>NAZIB JAYA FAHMI</t>
        </is>
      </c>
      <c r="B87" t="inlineStr">
        <is>
          <t>Kab. Tasikmalaya</t>
        </is>
      </c>
      <c r="C87" t="inlineStr">
        <is>
          <t>081361892700</t>
        </is>
      </c>
      <c r="D87" t="inlineStr">
        <is>
          <t>pt.nazibjayafahmi17@gmail.com</t>
        </is>
      </c>
      <c r="E87" t="inlineStr">
        <is>
          <t>https://lpjk.pu.go.id/search-badan-usaha-detail/RTN6eVEwaHBId3c5Z3FKV1BGWVVDZz09</t>
        </is>
      </c>
      <c r="F87" t="n">
        <v>1</v>
      </c>
      <c r="G87" t="inlineStr">
        <is>
          <t>BG007</t>
        </is>
      </c>
      <c r="H87" t="inlineStr">
        <is>
          <t>10 September 2022</t>
        </is>
      </c>
      <c r="I87" s="2" t="n">
        <v>46289</v>
      </c>
      <c r="J87" t="inlineStr">
        <is>
          <t>Disetujui</t>
        </is>
      </c>
      <c r="K87" t="n">
        <v>90</v>
      </c>
      <c r="L87" t="inlineStr">
        <is>
          <t>24 September 2026</t>
        </is>
      </c>
      <c r="M87" t="inlineStr">
        <is>
          <t>Konstruksi Gedung Penginapan</t>
        </is>
      </c>
      <c r="N87" t="inlineStr">
        <is>
          <t>K</t>
        </is>
      </c>
      <c r="O87" t="inlineStr">
        <is>
          <t>20230922</t>
        </is>
      </c>
      <c r="P87" t="inlineStr">
        <is>
          <t>Jawa Barat</t>
        </is>
      </c>
      <c r="Q87" t="inlineStr"/>
    </row>
    <row r="88">
      <c r="A88" t="inlineStr">
        <is>
          <t>ORION</t>
        </is>
      </c>
      <c r="B88" t="inlineStr">
        <is>
          <t>Kab. Merauke</t>
        </is>
      </c>
      <c r="C88" t="inlineStr">
        <is>
          <t>082238828008</t>
        </is>
      </c>
      <c r="D88" t="inlineStr">
        <is>
          <t>cvorion06@gmail.com</t>
        </is>
      </c>
      <c r="E88" t="inlineStr">
        <is>
          <t>https://lpjk.pu.go.id/search-badan-usaha-detail/SXR3bkl5MStjelAySS9TQTNlSWhodz09</t>
        </is>
      </c>
      <c r="F88" t="n">
        <v>1</v>
      </c>
      <c r="G88" t="inlineStr">
        <is>
          <t>BG001</t>
        </is>
      </c>
      <c r="H88" t="inlineStr">
        <is>
          <t>10 Desember 1999</t>
        </is>
      </c>
      <c r="I88" s="2" t="n">
        <v>46289</v>
      </c>
      <c r="J88" t="inlineStr">
        <is>
          <t>Disetujui</t>
        </is>
      </c>
      <c r="K88" t="n">
        <v>90</v>
      </c>
      <c r="L88" t="inlineStr">
        <is>
          <t>24 September 2026</t>
        </is>
      </c>
      <c r="M88" t="inlineStr">
        <is>
          <t>Konstruksi Gedung Hunian</t>
        </is>
      </c>
      <c r="N88" t="inlineStr">
        <is>
          <t>K</t>
        </is>
      </c>
      <c r="O88" t="inlineStr">
        <is>
          <t>20230914</t>
        </is>
      </c>
      <c r="P88" t="inlineStr">
        <is>
          <t>Papua Selatan</t>
        </is>
      </c>
      <c r="Q88" t="inlineStr"/>
    </row>
    <row r="89">
      <c r="A89" t="inlineStr">
        <is>
          <t>PADATINDO</t>
        </is>
      </c>
      <c r="B89" t="inlineStr">
        <is>
          <t>Kab. Muna</t>
        </is>
      </c>
      <c r="C89" t="inlineStr">
        <is>
          <t>081341633259</t>
        </is>
      </c>
      <c r="D89" t="inlineStr">
        <is>
          <t>yopimarampa03@gmail.com</t>
        </is>
      </c>
      <c r="E89" t="inlineStr">
        <is>
          <t>https://lpjk.pu.go.id/search-badan-usaha-detail/NXRTMVl3cSs1enA4S1NGRnd6NDhWUT09</t>
        </is>
      </c>
      <c r="F89" t="n">
        <v>2</v>
      </c>
      <c r="G89" t="inlineStr">
        <is>
          <t>BS002, BS004</t>
        </is>
      </c>
      <c r="H89" t="inlineStr">
        <is>
          <t>18 September 2000</t>
        </is>
      </c>
      <c r="I89" s="2" t="n">
        <v>46289</v>
      </c>
      <c r="J89" t="inlineStr">
        <is>
          <t>Pencabutan</t>
        </is>
      </c>
      <c r="K89" t="n">
        <v>90</v>
      </c>
      <c r="L89" t="inlineStr">
        <is>
          <t>24 September 2026</t>
        </is>
      </c>
      <c r="M89" t="inlineStr">
        <is>
          <t>Bangunan Sipil Jembatan, Jalan Layang, Fly Over, dan Underpass, Konstruksi Jaringan Irigasi dan Drainase</t>
        </is>
      </c>
      <c r="N89" t="inlineStr">
        <is>
          <t>K</t>
        </is>
      </c>
      <c r="O89" t="inlineStr">
        <is>
          <t>20230920</t>
        </is>
      </c>
      <c r="P89" t="inlineStr">
        <is>
          <t>Sulawesi Tenggara</t>
        </is>
      </c>
      <c r="Q89" t="inlineStr"/>
    </row>
    <row r="90">
      <c r="A90" t="inlineStr">
        <is>
          <t>PERMATA JAYA KARISMA</t>
        </is>
      </c>
      <c r="B90" t="inlineStr">
        <is>
          <t>Kota Tanjung Pinang</t>
        </is>
      </c>
      <c r="C90" t="inlineStr">
        <is>
          <t>081372077853</t>
        </is>
      </c>
      <c r="D90" t="inlineStr">
        <is>
          <t>permata.jaya.karisma@gmail.com</t>
        </is>
      </c>
      <c r="E90" t="inlineStr">
        <is>
          <t>https://lpjk.pu.go.id/search-badan-usaha-detail/SGpiSWVPdHNLRURvaWlsWXdSSVdTZz09</t>
        </is>
      </c>
      <c r="F90" t="n">
        <v>2</v>
      </c>
      <c r="G90" t="inlineStr">
        <is>
          <t>BG001, BG009</t>
        </is>
      </c>
      <c r="H90" t="inlineStr">
        <is>
          <t>2 Mei 2023</t>
        </is>
      </c>
      <c r="I90" s="2" t="n">
        <v>46289</v>
      </c>
      <c r="J90" t="inlineStr">
        <is>
          <t>Disetujui</t>
        </is>
      </c>
      <c r="K90" t="n">
        <v>90</v>
      </c>
      <c r="L90" t="inlineStr">
        <is>
          <t>24 September 2026</t>
        </is>
      </c>
      <c r="M90" t="inlineStr">
        <is>
          <t>Konstruksi Gedung Hunian, Konstruksi Gedung Lainnya</t>
        </is>
      </c>
      <c r="N90" t="inlineStr">
        <is>
          <t>K</t>
        </is>
      </c>
      <c r="O90" t="inlineStr">
        <is>
          <t>20230920</t>
        </is>
      </c>
      <c r="P90" t="inlineStr">
        <is>
          <t>Kepulauan Riau</t>
        </is>
      </c>
      <c r="Q90" t="inlineStr"/>
    </row>
    <row r="91">
      <c r="A91" t="inlineStr">
        <is>
          <t>PLANOSIP NUSANTARA ENGINEERING CONSULTANT</t>
        </is>
      </c>
      <c r="B91" t="inlineStr">
        <is>
          <t>Kota Bandung</t>
        </is>
      </c>
      <c r="C91" t="inlineStr">
        <is>
          <t>082128381515</t>
        </is>
      </c>
      <c r="D91" t="inlineStr">
        <is>
          <t>ptplanosipnusantara@yahoo.co.id</t>
        </is>
      </c>
      <c r="E91" t="inlineStr">
        <is>
          <t>https://lpjk.pu.go.id/search-badan-usaha-detail/ckxueXdmMmIzejY0TVdDWVV2SkJYdz09</t>
        </is>
      </c>
      <c r="F91" t="n">
        <v>5</v>
      </c>
      <c r="G91" t="inlineStr">
        <is>
          <t>AR001, AR002, AR003, IT003, RK003</t>
        </is>
      </c>
      <c r="H91" t="inlineStr">
        <is>
          <t>25 Oktober 1990</t>
        </is>
      </c>
      <c r="I91" s="2" t="n">
        <v>46289</v>
      </c>
      <c r="J91" t="inlineStr">
        <is>
          <t>Disetujui</t>
        </is>
      </c>
      <c r="K91" t="n">
        <v>90</v>
      </c>
      <c r="L91" t="inlineStr">
        <is>
          <t>24 September 2026</t>
        </is>
      </c>
      <c r="M91" t="inlineStr">
        <is>
          <t>Jasa Arsitektural Bangunan Gedung Hunian dan Non Hunian, Jasa Arsitektural Lainnya, Jasa Desain Interior pada Bangunan Gedung dan Bangunan Sipil, Jasa Konsultansi Ilmiah dan Teknis Permukaan Tanah dan Pembuatan Peta, Jasa Rekayasa Pekerjaan Teknik Sipil Transportasi</t>
        </is>
      </c>
      <c r="N91" t="inlineStr">
        <is>
          <t>K, M, Spesialis</t>
        </is>
      </c>
      <c r="O91" t="inlineStr">
        <is>
          <t>20230911</t>
        </is>
      </c>
      <c r="P91" t="inlineStr">
        <is>
          <t>Jawa Barat</t>
        </is>
      </c>
      <c r="Q91" t="inlineStr"/>
    </row>
    <row r="92">
      <c r="A92" t="inlineStr">
        <is>
          <t>PRAKARSA UTAMA</t>
        </is>
      </c>
      <c r="B92" t="inlineStr">
        <is>
          <t>Kab. Subang</t>
        </is>
      </c>
      <c r="C92" t="inlineStr">
        <is>
          <t>082130830444</t>
        </is>
      </c>
      <c r="D92" t="inlineStr">
        <is>
          <t>cv.prakarsautama@outlook.com</t>
        </is>
      </c>
      <c r="E92" t="inlineStr">
        <is>
          <t>https://lpjk.pu.go.id/search-badan-usaha-detail/aGNGV2drL3BwK2t0MzJOTy8xdUdCZz09</t>
        </is>
      </c>
      <c r="F92" t="n">
        <v>1</v>
      </c>
      <c r="G92" t="inlineStr">
        <is>
          <t>BG003</t>
        </is>
      </c>
      <c r="H92" t="inlineStr">
        <is>
          <t>7 Februari 2000</t>
        </is>
      </c>
      <c r="I92" s="2" t="n">
        <v>46289</v>
      </c>
      <c r="J92" t="inlineStr">
        <is>
          <t>Disetujui</t>
        </is>
      </c>
      <c r="K92" t="n">
        <v>90</v>
      </c>
      <c r="L92" t="inlineStr">
        <is>
          <t>24 September 2026</t>
        </is>
      </c>
      <c r="M92" t="inlineStr">
        <is>
          <t>Konstruksi Gedung Industri</t>
        </is>
      </c>
      <c r="N92" t="inlineStr">
        <is>
          <t>K</t>
        </is>
      </c>
      <c r="O92" t="inlineStr">
        <is>
          <t>20230922</t>
        </is>
      </c>
      <c r="P92" t="inlineStr">
        <is>
          <t>Jawa Barat</t>
        </is>
      </c>
      <c r="Q92" t="inlineStr"/>
    </row>
    <row r="93">
      <c r="A93" t="inlineStr">
        <is>
          <t>PRATAMA ADIWITYA</t>
        </is>
      </c>
      <c r="B93" t="inlineStr">
        <is>
          <t>Kota Blitar</t>
        </is>
      </c>
      <c r="C93" t="inlineStr">
        <is>
          <t>081333102347</t>
        </is>
      </c>
      <c r="D93" t="inlineStr">
        <is>
          <t>cvpratamaadiwitya@gmail.com</t>
        </is>
      </c>
      <c r="E93" t="inlineStr">
        <is>
          <t>https://lpjk.pu.go.id/search-badan-usaha-detail/NncvZzNMaXpwNXN1c00rT09NeXE2QT09</t>
        </is>
      </c>
      <c r="F93" t="n">
        <v>1</v>
      </c>
      <c r="G93" t="inlineStr">
        <is>
          <t>BG009</t>
        </is>
      </c>
      <c r="H93" t="inlineStr">
        <is>
          <t>3 Juli 2012</t>
        </is>
      </c>
      <c r="I93" s="2" t="n">
        <v>46289</v>
      </c>
      <c r="J93" t="inlineStr">
        <is>
          <t>Disetujui</t>
        </is>
      </c>
      <c r="K93" t="n">
        <v>90</v>
      </c>
      <c r="L93" t="inlineStr">
        <is>
          <t>24 September 2026</t>
        </is>
      </c>
      <c r="M93" t="inlineStr">
        <is>
          <t>Konstruksi Gedung Lainnya</t>
        </is>
      </c>
      <c r="N93" t="inlineStr">
        <is>
          <t>K</t>
        </is>
      </c>
      <c r="O93" t="inlineStr">
        <is>
          <t>20230925</t>
        </is>
      </c>
      <c r="P93" t="inlineStr">
        <is>
          <t>Jawa Timur</t>
        </is>
      </c>
      <c r="Q93" t="inlineStr"/>
    </row>
    <row r="94">
      <c r="A94" t="inlineStr">
        <is>
          <t>PRIMA MEGAH IRSA</t>
        </is>
      </c>
      <c r="B94" t="inlineStr">
        <is>
          <t>Kab. Gresik</t>
        </is>
      </c>
      <c r="C94" t="inlineStr">
        <is>
          <t>0811125585</t>
        </is>
      </c>
      <c r="D94" t="inlineStr">
        <is>
          <t>makhrudy@yahoo.com</t>
        </is>
      </c>
      <c r="E94" t="inlineStr">
        <is>
          <t>https://lpjk.pu.go.id/search-badan-usaha-detail/VkFUdXhMSVY4R2VyVk43SUhzbkFoUT09</t>
        </is>
      </c>
      <c r="F94" t="n">
        <v>1</v>
      </c>
      <c r="G94" t="inlineStr">
        <is>
          <t>BG005</t>
        </is>
      </c>
      <c r="H94" t="inlineStr">
        <is>
          <t>13 Maret 2010</t>
        </is>
      </c>
      <c r="I94" s="2" t="n">
        <v>46289</v>
      </c>
      <c r="J94" t="inlineStr">
        <is>
          <t>Disetujui</t>
        </is>
      </c>
      <c r="K94" t="n">
        <v>90</v>
      </c>
      <c r="L94" t="inlineStr">
        <is>
          <t>24 September 2026</t>
        </is>
      </c>
      <c r="M94" t="inlineStr">
        <is>
          <t>Konstruksi Gedung Kesehatan</t>
        </is>
      </c>
      <c r="N94" t="inlineStr">
        <is>
          <t>K</t>
        </is>
      </c>
      <c r="O94" t="inlineStr">
        <is>
          <t>20230919</t>
        </is>
      </c>
      <c r="P94" t="inlineStr">
        <is>
          <t>Jawa Timur</t>
        </is>
      </c>
      <c r="Q94" t="inlineStr"/>
    </row>
    <row r="95">
      <c r="A95" t="inlineStr">
        <is>
          <t>PRIMASAWIT TEKNIK BERJAYA</t>
        </is>
      </c>
      <c r="B95" t="inlineStr">
        <is>
          <t>Kota Medan</t>
        </is>
      </c>
      <c r="C95" t="inlineStr">
        <is>
          <t>0616859911</t>
        </is>
      </c>
      <c r="D95" t="inlineStr">
        <is>
          <t>primasawit@gmail.com</t>
        </is>
      </c>
      <c r="E95" t="inlineStr">
        <is>
          <t>https://lpjk.pu.go.id/search-badan-usaha-detail/UXIvS3hLbFpIaWF6ZEMvTDc4dkpMZz09</t>
        </is>
      </c>
      <c r="F95" t="n">
        <v>2</v>
      </c>
      <c r="G95" t="inlineStr">
        <is>
          <t>BG002</t>
        </is>
      </c>
      <c r="H95" t="inlineStr">
        <is>
          <t>21 Maret 2002</t>
        </is>
      </c>
      <c r="I95" s="2" t="n">
        <v>46289</v>
      </c>
      <c r="J95" t="inlineStr">
        <is>
          <t>Disetujui</t>
        </is>
      </c>
      <c r="K95" t="n">
        <v>90</v>
      </c>
      <c r="L95" t="inlineStr">
        <is>
          <t>24 September 2026</t>
        </is>
      </c>
      <c r="M95" t="inlineStr">
        <is>
          <t>Konstruksi Gedung Perkantoran</t>
        </is>
      </c>
      <c r="N95" t="inlineStr">
        <is>
          <t>K</t>
        </is>
      </c>
      <c r="O95" t="inlineStr">
        <is>
          <t>20230922</t>
        </is>
      </c>
      <c r="P95" t="inlineStr">
        <is>
          <t>Sumatera Utara</t>
        </is>
      </c>
      <c r="Q95" t="inlineStr"/>
    </row>
    <row r="96">
      <c r="A96" t="inlineStr">
        <is>
          <t>PUTRA BANGSA</t>
        </is>
      </c>
      <c r="B96" t="inlineStr">
        <is>
          <t>Kab. Bangka Barat</t>
        </is>
      </c>
      <c r="C96" t="inlineStr">
        <is>
          <t>08117815110</t>
        </is>
      </c>
      <c r="D96" t="inlineStr">
        <is>
          <t>cvputrabangsapangkalpinang8@gmail.com</t>
        </is>
      </c>
      <c r="E96" t="inlineStr">
        <is>
          <t>https://lpjk.pu.go.id/search-badan-usaha-detail/Nllrai9Rb3FnQ3lZajhOcTBuYW1iUT09</t>
        </is>
      </c>
      <c r="F96" t="n">
        <v>1</v>
      </c>
      <c r="G96" t="inlineStr">
        <is>
          <t>BG003</t>
        </is>
      </c>
      <c r="H96" t="inlineStr">
        <is>
          <t>11 April 1983</t>
        </is>
      </c>
      <c r="I96" s="2" t="n">
        <v>46289</v>
      </c>
      <c r="J96" t="inlineStr">
        <is>
          <t>Disetujui</t>
        </is>
      </c>
      <c r="K96" t="n">
        <v>90</v>
      </c>
      <c r="L96" t="inlineStr">
        <is>
          <t>24 September 2026</t>
        </is>
      </c>
      <c r="M96" t="inlineStr">
        <is>
          <t>Konstruksi Gedung Industri</t>
        </is>
      </c>
      <c r="N96" t="inlineStr">
        <is>
          <t>K</t>
        </is>
      </c>
      <c r="O96" t="inlineStr">
        <is>
          <t>20230727</t>
        </is>
      </c>
      <c r="P96" t="inlineStr">
        <is>
          <t>Kepulauan Bangka Belitung</t>
        </is>
      </c>
      <c r="Q96" t="inlineStr"/>
    </row>
    <row r="97">
      <c r="A97" t="inlineStr">
        <is>
          <t>PUTRA BUNGSU MERDEKA</t>
        </is>
      </c>
      <c r="B97" t="inlineStr">
        <is>
          <t>Kab. Subang</t>
        </is>
      </c>
      <c r="C97" t="inlineStr">
        <is>
          <t>081220752009</t>
        </is>
      </c>
      <c r="D97" t="inlineStr">
        <is>
          <t>putrabungsumerdeka@gmail.com</t>
        </is>
      </c>
      <c r="E97" t="inlineStr">
        <is>
          <t>https://lpjk.pu.go.id/search-badan-usaha-detail/VkdpcXEzcENpRFNKYmJweHNNdWJtZz09</t>
        </is>
      </c>
      <c r="F97" t="n">
        <v>2</v>
      </c>
      <c r="G97" t="inlineStr">
        <is>
          <t>BG006, BG009</t>
        </is>
      </c>
      <c r="H97" t="inlineStr">
        <is>
          <t>24 Mei 2023</t>
        </is>
      </c>
      <c r="I97" s="2" t="n">
        <v>46289</v>
      </c>
      <c r="J97" t="inlineStr">
        <is>
          <t>Disetujui</t>
        </is>
      </c>
      <c r="K97" t="n">
        <v>90</v>
      </c>
      <c r="L97" t="inlineStr">
        <is>
          <t>24 September 2026</t>
        </is>
      </c>
      <c r="M97" t="inlineStr">
        <is>
          <t>Konstruksi Gedung Lainnya, Konstruksi Gedung Pendidikan</t>
        </is>
      </c>
      <c r="N97" t="inlineStr">
        <is>
          <t>K</t>
        </is>
      </c>
      <c r="O97" t="inlineStr">
        <is>
          <t>20230921</t>
        </is>
      </c>
      <c r="P97" t="inlineStr">
        <is>
          <t>Jawa Barat</t>
        </is>
      </c>
      <c r="Q97" t="inlineStr"/>
    </row>
    <row r="98">
      <c r="A98" t="inlineStr">
        <is>
          <t>PUTRA PAPUA MEMBANGUN</t>
        </is>
      </c>
      <c r="B98" t="inlineStr">
        <is>
          <t>Kab. Sorong</t>
        </is>
      </c>
      <c r="C98" t="inlineStr">
        <is>
          <t>081247262224</t>
        </is>
      </c>
      <c r="D98" t="inlineStr">
        <is>
          <t>putrapapuamembanguncv@gmail.com</t>
        </is>
      </c>
      <c r="E98" t="inlineStr">
        <is>
          <t>https://lpjk.pu.go.id/search-badan-usaha-detail/a3EwdDlpbzMxQTg4ZUVERUpqVlNidz09</t>
        </is>
      </c>
      <c r="F98" t="n">
        <v>1</v>
      </c>
      <c r="G98" t="inlineStr">
        <is>
          <t>BG002</t>
        </is>
      </c>
      <c r="H98" t="inlineStr">
        <is>
          <t>28 Juni 2013</t>
        </is>
      </c>
      <c r="I98" s="2" t="n">
        <v>46289</v>
      </c>
      <c r="J98" t="inlineStr">
        <is>
          <t>Disetujui</t>
        </is>
      </c>
      <c r="K98" t="n">
        <v>90</v>
      </c>
      <c r="L98" t="inlineStr">
        <is>
          <t>24 September 2026</t>
        </is>
      </c>
      <c r="M98" t="inlineStr">
        <is>
          <t>Konstruksi Gedung Perkantoran</t>
        </is>
      </c>
      <c r="N98" t="inlineStr">
        <is>
          <t>K</t>
        </is>
      </c>
      <c r="O98" t="inlineStr">
        <is>
          <t>20230924</t>
        </is>
      </c>
      <c r="P98" t="inlineStr">
        <is>
          <t>Papua Barat</t>
        </is>
      </c>
      <c r="Q98" t="inlineStr"/>
    </row>
    <row r="99">
      <c r="A99" t="inlineStr">
        <is>
          <t>PUTRA POWER ENERGI</t>
        </is>
      </c>
      <c r="B99" t="inlineStr">
        <is>
          <t>Kota Medan</t>
        </is>
      </c>
      <c r="C99" t="inlineStr">
        <is>
          <t>081370100036</t>
        </is>
      </c>
      <c r="D99" t="inlineStr">
        <is>
          <t>putrapowerenergi1@gmail.com</t>
        </is>
      </c>
      <c r="E99" t="inlineStr">
        <is>
          <t>https://lpjk.pu.go.id/search-badan-usaha-detail/NGpOUktaWkk0SUdoeDFZNlJVZ09Odz09</t>
        </is>
      </c>
      <c r="F99" t="n">
        <v>1</v>
      </c>
      <c r="G99" t="inlineStr">
        <is>
          <t>BG009</t>
        </is>
      </c>
      <c r="H99" t="inlineStr">
        <is>
          <t>5 April 2016</t>
        </is>
      </c>
      <c r="I99" s="2" t="n">
        <v>46289</v>
      </c>
      <c r="J99" t="inlineStr">
        <is>
          <t>Disetujui</t>
        </is>
      </c>
      <c r="K99" t="n">
        <v>90</v>
      </c>
      <c r="L99" t="inlineStr">
        <is>
          <t>24 September 2026</t>
        </is>
      </c>
      <c r="M99" t="inlineStr">
        <is>
          <t>Konstruksi Gedung Lainnya</t>
        </is>
      </c>
      <c r="N99" t="inlineStr">
        <is>
          <t>K</t>
        </is>
      </c>
      <c r="O99" t="inlineStr">
        <is>
          <t>20230920</t>
        </is>
      </c>
      <c r="P99" t="inlineStr">
        <is>
          <t>Sumatera Utara</t>
        </is>
      </c>
      <c r="Q99" t="inlineStr"/>
    </row>
    <row r="100">
      <c r="A100" t="inlineStr">
        <is>
          <t>RAFAEL GLOBAL</t>
        </is>
      </c>
      <c r="B100" t="inlineStr">
        <is>
          <t>Kota Bitung</t>
        </is>
      </c>
      <c r="C100" t="inlineStr">
        <is>
          <t>081340181980</t>
        </is>
      </c>
      <c r="D100" t="inlineStr">
        <is>
          <t>rafaelglobal@yahoo.com</t>
        </is>
      </c>
      <c r="E100" t="inlineStr">
        <is>
          <t>https://lpjk.pu.go.id/search-badan-usaha-detail/dm50cXNwZjh1dE1nVzR1WFIySlVIdz09</t>
        </is>
      </c>
      <c r="F100" t="n">
        <v>4</v>
      </c>
      <c r="G100" t="inlineStr">
        <is>
          <t>BG005, BG006</t>
        </is>
      </c>
      <c r="H100" t="inlineStr">
        <is>
          <t>9 Maret 2023</t>
        </is>
      </c>
      <c r="I100" s="2" t="n">
        <v>46289</v>
      </c>
      <c r="J100" t="inlineStr">
        <is>
          <t>Disetujui</t>
        </is>
      </c>
      <c r="K100" t="n">
        <v>90</v>
      </c>
      <c r="L100" t="inlineStr">
        <is>
          <t>24 September 2026</t>
        </is>
      </c>
      <c r="M100" t="inlineStr">
        <is>
          <t>Konstruksi Gedung Kesehatan, Konstruksi Gedung Pendidikan</t>
        </is>
      </c>
      <c r="N100" t="inlineStr">
        <is>
          <t>K</t>
        </is>
      </c>
      <c r="O100" t="inlineStr">
        <is>
          <t>20230921, 20230922</t>
        </is>
      </c>
      <c r="P100" t="inlineStr">
        <is>
          <t>Sulawesi Utara</t>
        </is>
      </c>
      <c r="Q100" t="inlineStr"/>
    </row>
    <row r="101">
      <c r="A101" t="inlineStr">
        <is>
          <t>RAFFASYA</t>
        </is>
      </c>
      <c r="B101" t="inlineStr">
        <is>
          <t>Kab. Tanjung Jabung Barat</t>
        </is>
      </c>
      <c r="C101" t="inlineStr">
        <is>
          <t>082281042835</t>
        </is>
      </c>
      <c r="D101" t="inlineStr">
        <is>
          <t>raffasyacv@gmail.com</t>
        </is>
      </c>
      <c r="E101" t="inlineStr">
        <is>
          <t>https://lpjk.pu.go.id/search-badan-usaha-detail/Y0ZCdHNtOXFWRmRUWXQ0UHZya21HUT09</t>
        </is>
      </c>
      <c r="F101" t="n">
        <v>2</v>
      </c>
      <c r="G101" t="inlineStr">
        <is>
          <t>BS010</t>
        </is>
      </c>
      <c r="H101" t="inlineStr">
        <is>
          <t>26 Januari 2022</t>
        </is>
      </c>
      <c r="I101" s="2" t="n">
        <v>46289</v>
      </c>
      <c r="J101" t="inlineStr">
        <is>
          <t>Disetujui</t>
        </is>
      </c>
      <c r="K101" t="n">
        <v>90</v>
      </c>
      <c r="L101" t="inlineStr">
        <is>
          <t>24 September 2026</t>
        </is>
      </c>
      <c r="M101" t="inlineStr">
        <is>
          <t>Konstruksi Bangunan Prasarana Sumber Daya Air</t>
        </is>
      </c>
      <c r="N101" t="inlineStr">
        <is>
          <t>K</t>
        </is>
      </c>
      <c r="O101" t="inlineStr">
        <is>
          <t>20230922</t>
        </is>
      </c>
      <c r="P101" t="inlineStr">
        <is>
          <t>Jambi</t>
        </is>
      </c>
      <c r="Q101" t="inlineStr"/>
    </row>
    <row r="102">
      <c r="A102" t="inlineStr">
        <is>
          <t>RAJA ARZANKA</t>
        </is>
      </c>
      <c r="B102" t="inlineStr">
        <is>
          <t>Kab. Banggai</t>
        </is>
      </c>
      <c r="C102" t="inlineStr">
        <is>
          <t>085394138466</t>
        </is>
      </c>
      <c r="D102" t="inlineStr">
        <is>
          <t>cvrajaarzanka@gmail.com</t>
        </is>
      </c>
      <c r="E102" t="inlineStr">
        <is>
          <t>https://lpjk.pu.go.id/search-badan-usaha-detail/a0pVaXhMRDR0MDc3eXIzVEFYOVJkUT09</t>
        </is>
      </c>
      <c r="F102" t="n">
        <v>1</v>
      </c>
      <c r="G102" t="inlineStr">
        <is>
          <t>BS010</t>
        </is>
      </c>
      <c r="H102" t="inlineStr">
        <is>
          <t>5 Januari 2023</t>
        </is>
      </c>
      <c r="I102" s="2" t="n">
        <v>46289</v>
      </c>
      <c r="J102" t="inlineStr">
        <is>
          <t>Disetujui</t>
        </is>
      </c>
      <c r="K102" t="n">
        <v>90</v>
      </c>
      <c r="L102" t="inlineStr">
        <is>
          <t>24 September 2026</t>
        </is>
      </c>
      <c r="M102" t="inlineStr">
        <is>
          <t>Konstruksi Bangunan Prasarana Sumber Daya Air</t>
        </is>
      </c>
      <c r="N102" t="inlineStr">
        <is>
          <t>K</t>
        </is>
      </c>
      <c r="O102" t="inlineStr">
        <is>
          <t>20230924</t>
        </is>
      </c>
      <c r="P102" t="inlineStr">
        <is>
          <t>Sulawesi Tengah</t>
        </is>
      </c>
      <c r="Q102" t="inlineStr"/>
    </row>
    <row r="103">
      <c r="A103" t="inlineStr">
        <is>
          <t>RAJAWALI SAKTI</t>
        </is>
      </c>
      <c r="B103" t="inlineStr">
        <is>
          <t>Kab. Minahasa Selatan</t>
        </is>
      </c>
      <c r="C103" t="inlineStr">
        <is>
          <t>081340105356</t>
        </is>
      </c>
      <c r="D103" t="inlineStr">
        <is>
          <t>rajawalisakticv63@gmail.com</t>
        </is>
      </c>
      <c r="E103" t="inlineStr">
        <is>
          <t>https://lpjk.pu.go.id/search-badan-usaha-detail/VzNIdTREOE9VUzlyVFF5bkUzbVBaUT09</t>
        </is>
      </c>
      <c r="F103" t="n">
        <v>2</v>
      </c>
      <c r="G103" t="inlineStr">
        <is>
          <t>BG009</t>
        </is>
      </c>
      <c r="H103" t="inlineStr">
        <is>
          <t>6 Mei 2008</t>
        </is>
      </c>
      <c r="I103" s="2" t="n">
        <v>46289</v>
      </c>
      <c r="J103" t="inlineStr">
        <is>
          <t>Disetujui</t>
        </is>
      </c>
      <c r="K103" t="n">
        <v>90</v>
      </c>
      <c r="L103" t="inlineStr">
        <is>
          <t>24 September 2026</t>
        </is>
      </c>
      <c r="M103" t="inlineStr">
        <is>
          <t>Konstruksi Gedung Lainnya</t>
        </is>
      </c>
      <c r="N103" t="inlineStr">
        <is>
          <t>K</t>
        </is>
      </c>
      <c r="O103" t="inlineStr">
        <is>
          <t>20230920</t>
        </is>
      </c>
      <c r="P103" t="inlineStr">
        <is>
          <t>Sulawesi Utara</t>
        </is>
      </c>
      <c r="Q103" t="inlineStr"/>
    </row>
    <row r="104">
      <c r="A104" t="inlineStr">
        <is>
          <t>RAYA MANDIRI KONSULTAN</t>
        </is>
      </c>
      <c r="B104" t="inlineStr">
        <is>
          <t>Kota Pontianak</t>
        </is>
      </c>
      <c r="C104" t="inlineStr">
        <is>
          <t>085245005665</t>
        </is>
      </c>
      <c r="D104" t="inlineStr">
        <is>
          <t>raya_mk@yahoo.com</t>
        </is>
      </c>
      <c r="E104" t="inlineStr">
        <is>
          <t>https://lpjk.pu.go.id/search-badan-usaha-detail/ZFZyUkdUaWRwQkxPNzVOUHhibytPdz09</t>
        </is>
      </c>
      <c r="F104" t="n">
        <v>1</v>
      </c>
      <c r="G104" t="inlineStr">
        <is>
          <t>RK001</t>
        </is>
      </c>
      <c r="H104" t="inlineStr">
        <is>
          <t>22 November 2018</t>
        </is>
      </c>
      <c r="I104" s="2" t="n">
        <v>46289</v>
      </c>
      <c r="J104" t="inlineStr">
        <is>
          <t>Disetujui</t>
        </is>
      </c>
      <c r="K104" t="n">
        <v>90</v>
      </c>
      <c r="L104" t="inlineStr">
        <is>
          <t>24 September 2026</t>
        </is>
      </c>
      <c r="M104" t="inlineStr">
        <is>
          <t>Jasa Rekayasa Konstruksi Bangunan Gedung Hunian dan Non Hunian</t>
        </is>
      </c>
      <c r="N104" t="inlineStr">
        <is>
          <t>K</t>
        </is>
      </c>
      <c r="O104" t="inlineStr">
        <is>
          <t>20230912</t>
        </is>
      </c>
      <c r="P104" t="inlineStr">
        <is>
          <t>Kalimantan Barat</t>
        </is>
      </c>
      <c r="Q104" t="inlineStr"/>
    </row>
    <row r="105">
      <c r="A105" t="inlineStr">
        <is>
          <t>REKSA REKATAMA</t>
        </is>
      </c>
      <c r="B105" t="inlineStr">
        <is>
          <t>Kota Adm. Jakarta Pusat</t>
        </is>
      </c>
      <c r="C105" t="inlineStr">
        <is>
          <t>02157903302</t>
        </is>
      </c>
      <c r="D105" t="inlineStr">
        <is>
          <t>reksa@equalindo.com</t>
        </is>
      </c>
      <c r="E105" t="inlineStr">
        <is>
          <t>https://lpjk.pu.go.id/search-badan-usaha-detail/cW16Tk85MnAxOVBoeDM5L2gya25WZz09</t>
        </is>
      </c>
      <c r="F105" t="n">
        <v>1</v>
      </c>
      <c r="G105" t="inlineStr">
        <is>
          <t>PL003</t>
        </is>
      </c>
      <c r="H105" t="inlineStr">
        <is>
          <t>27 Januari 2011</t>
        </is>
      </c>
      <c r="I105" s="2" t="n">
        <v>46289</v>
      </c>
      <c r="J105" t="inlineStr">
        <is>
          <t>Disetujui</t>
        </is>
      </c>
      <c r="K105" t="n">
        <v>90</v>
      </c>
      <c r="L105" t="inlineStr">
        <is>
          <t>24 September 2026</t>
        </is>
      </c>
      <c r="M105" t="inlineStr">
        <is>
          <t>Penyiapan Lahan Konstruksi</t>
        </is>
      </c>
      <c r="N105" t="inlineStr">
        <is>
          <t>Spesialis</t>
        </is>
      </c>
      <c r="O105" t="inlineStr">
        <is>
          <t>20230921</t>
        </is>
      </c>
      <c r="P105" t="inlineStr">
        <is>
          <t>DKI Jakarta</t>
        </is>
      </c>
      <c r="Q105" t="inlineStr"/>
    </row>
    <row r="106">
      <c r="A106" t="inlineStr">
        <is>
          <t>RIFATUL</t>
        </is>
      </c>
      <c r="B106" t="inlineStr">
        <is>
          <t>Kab. Agam</t>
        </is>
      </c>
      <c r="C106" t="inlineStr">
        <is>
          <t>081266262627</t>
        </is>
      </c>
      <c r="D106" t="inlineStr">
        <is>
          <t>cvrifatul@gmail.com</t>
        </is>
      </c>
      <c r="E106" t="inlineStr">
        <is>
          <t>https://lpjk.pu.go.id/search-badan-usaha-detail/V21vTGE2SjRtQzJpUEFBNVlsbzZjQT09</t>
        </is>
      </c>
      <c r="F106" t="n">
        <v>1</v>
      </c>
      <c r="G106" t="inlineStr">
        <is>
          <t>BS004</t>
        </is>
      </c>
      <c r="H106" t="inlineStr">
        <is>
          <t>21 Februari 2017</t>
        </is>
      </c>
      <c r="I106" s="2" t="n">
        <v>46289</v>
      </c>
      <c r="J106" t="inlineStr">
        <is>
          <t>Disetujui</t>
        </is>
      </c>
      <c r="K106" t="n">
        <v>90</v>
      </c>
      <c r="L106" t="inlineStr">
        <is>
          <t>24 September 2026</t>
        </is>
      </c>
      <c r="M106" t="inlineStr">
        <is>
          <t>Konstruksi Jaringan Irigasi dan Drainase</t>
        </is>
      </c>
      <c r="N106" t="inlineStr">
        <is>
          <t>K</t>
        </is>
      </c>
      <c r="O106" t="inlineStr">
        <is>
          <t>20230914</t>
        </is>
      </c>
      <c r="P106" t="inlineStr">
        <is>
          <t>Sumatera Barat</t>
        </is>
      </c>
      <c r="Q106" t="inlineStr"/>
    </row>
    <row r="107">
      <c r="A107" t="inlineStr">
        <is>
          <t>RIZKI PUTRA ABADI</t>
        </is>
      </c>
      <c r="B107" t="inlineStr">
        <is>
          <t>Kab. Tuban</t>
        </is>
      </c>
      <c r="C107" t="inlineStr">
        <is>
          <t>081359726912</t>
        </is>
      </c>
      <c r="D107" t="inlineStr">
        <is>
          <t>rizkiputra_abadi@yahoo.com</t>
        </is>
      </c>
      <c r="E107" t="inlineStr">
        <is>
          <t>https://lpjk.pu.go.id/search-badan-usaha-detail/MDlRcllMSVpIRkl2L2NvSEZwaXNWUT09</t>
        </is>
      </c>
      <c r="F107" t="n">
        <v>5</v>
      </c>
      <c r="G107" t="inlineStr">
        <is>
          <t>BG001, BG002, BG005, BG006, BG009</t>
        </is>
      </c>
      <c r="H107" t="inlineStr">
        <is>
          <t>31 Januari 2011</t>
        </is>
      </c>
      <c r="I107" s="2" t="n">
        <v>46289</v>
      </c>
      <c r="J107" t="inlineStr">
        <is>
          <t>Disetujui</t>
        </is>
      </c>
      <c r="K107" t="n">
        <v>90</v>
      </c>
      <c r="L107" t="inlineStr">
        <is>
          <t>24 September 2026</t>
        </is>
      </c>
      <c r="M107" t="inlineStr">
        <is>
          <t>Konstruksi Gedung Hunian, Konstruksi Gedung Kesehatan, Konstruksi Gedung Lainnya, Konstruksi Gedung Pendidikan, Konstruksi Gedung Perkantoran</t>
        </is>
      </c>
      <c r="N107" t="inlineStr">
        <is>
          <t>K</t>
        </is>
      </c>
      <c r="O107" t="inlineStr">
        <is>
          <t>20230920, 20230921</t>
        </is>
      </c>
      <c r="P107" t="inlineStr">
        <is>
          <t>Jawa Timur</t>
        </is>
      </c>
      <c r="Q107" t="inlineStr"/>
    </row>
    <row r="108">
      <c r="A108" t="inlineStr">
        <is>
          <t>SADEWA</t>
        </is>
      </c>
      <c r="B108" t="inlineStr">
        <is>
          <t>Kab. Merangin</t>
        </is>
      </c>
      <c r="C108" t="inlineStr">
        <is>
          <t>082173064677</t>
        </is>
      </c>
      <c r="D108" t="inlineStr">
        <is>
          <t>inuri.amd@yahoo.com</t>
        </is>
      </c>
      <c r="E108" t="inlineStr">
        <is>
          <t>https://lpjk.pu.go.id/search-badan-usaha-detail/M1FiUkdQSVQ5UjRjSExKLzJWMExqZz09</t>
        </is>
      </c>
      <c r="F108" t="n">
        <v>2</v>
      </c>
      <c r="G108" t="inlineStr">
        <is>
          <t>BG001, BG006</t>
        </is>
      </c>
      <c r="H108" t="inlineStr">
        <is>
          <t>5 Agustus 1999</t>
        </is>
      </c>
      <c r="I108" s="2" t="n">
        <v>46289</v>
      </c>
      <c r="J108" t="inlineStr">
        <is>
          <t>Disetujui</t>
        </is>
      </c>
      <c r="K108" t="n">
        <v>90</v>
      </c>
      <c r="L108" t="inlineStr">
        <is>
          <t>24 September 2026</t>
        </is>
      </c>
      <c r="M108" t="inlineStr">
        <is>
          <t>Konstruksi Gedung Hunian, Konstruksi Gedung Pendidikan</t>
        </is>
      </c>
      <c r="N108" t="inlineStr">
        <is>
          <t>K</t>
        </is>
      </c>
      <c r="O108" t="inlineStr">
        <is>
          <t>20230922</t>
        </is>
      </c>
      <c r="P108" t="inlineStr">
        <is>
          <t>Jambi</t>
        </is>
      </c>
      <c r="Q108" t="inlineStr"/>
    </row>
    <row r="109">
      <c r="A109" t="inlineStr">
        <is>
          <t>SAHAT MIDUK ARTHA</t>
        </is>
      </c>
      <c r="B109" t="inlineStr">
        <is>
          <t>Kab. Deli Serdang</t>
        </is>
      </c>
      <c r="C109" t="inlineStr">
        <is>
          <t>081360222154</t>
        </is>
      </c>
      <c r="D109" t="inlineStr">
        <is>
          <t>miduksahat4@gmal.com</t>
        </is>
      </c>
      <c r="E109" t="inlineStr">
        <is>
          <t>https://lpjk.pu.go.id/search-badan-usaha-detail/djE4aktvRFRpUUpXc0pHSUlhL1VCUT09</t>
        </is>
      </c>
      <c r="F109" t="n">
        <v>1</v>
      </c>
      <c r="G109" t="inlineStr">
        <is>
          <t>BG006</t>
        </is>
      </c>
      <c r="H109" t="inlineStr">
        <is>
          <t>1 September 2023</t>
        </is>
      </c>
      <c r="I109" s="2" t="n">
        <v>46289</v>
      </c>
      <c r="J109" t="inlineStr">
        <is>
          <t>Disetujui</t>
        </is>
      </c>
      <c r="K109" t="n">
        <v>90</v>
      </c>
      <c r="L109" t="inlineStr">
        <is>
          <t>24 September 2026</t>
        </is>
      </c>
      <c r="M109" t="inlineStr">
        <is>
          <t>Konstruksi Gedung Pendidikan</t>
        </is>
      </c>
      <c r="N109" t="inlineStr">
        <is>
          <t>K</t>
        </is>
      </c>
      <c r="O109" t="inlineStr">
        <is>
          <t>20230925</t>
        </is>
      </c>
      <c r="P109" t="inlineStr">
        <is>
          <t>Sumatera Utara</t>
        </is>
      </c>
      <c r="Q109" t="inlineStr"/>
    </row>
    <row r="110">
      <c r="A110" t="inlineStr">
        <is>
          <t>SAMUDERA ENERGI ASTANA</t>
        </is>
      </c>
      <c r="B110" t="inlineStr">
        <is>
          <t>Kota Surabaya</t>
        </is>
      </c>
      <c r="C110" t="inlineStr">
        <is>
          <t>08179154444</t>
        </is>
      </c>
      <c r="D110" t="inlineStr">
        <is>
          <t>samuderaenergiastana@gmail.com</t>
        </is>
      </c>
      <c r="E110" t="inlineStr">
        <is>
          <t>https://lpjk.pu.go.id/search-badan-usaha-detail/Y2w2TEJ3NEJTd2l3UmlLWHlKb1ZvQT09</t>
        </is>
      </c>
      <c r="F110" t="n">
        <v>4</v>
      </c>
      <c r="G110" t="inlineStr">
        <is>
          <t>BG002, BG005, BG006, BG009</t>
        </is>
      </c>
      <c r="H110" t="inlineStr">
        <is>
          <t>17 April 2023</t>
        </is>
      </c>
      <c r="I110" s="2" t="n">
        <v>46289</v>
      </c>
      <c r="J110" t="inlineStr">
        <is>
          <t>Disetujui</t>
        </is>
      </c>
      <c r="K110" t="n">
        <v>90</v>
      </c>
      <c r="L110" t="inlineStr">
        <is>
          <t>24 September 2026</t>
        </is>
      </c>
      <c r="M110" t="inlineStr">
        <is>
          <t>Konstruksi Gedung Kesehatan, Konstruksi Gedung Lainnya, Konstruksi Gedung Pendidikan, Konstruksi Gedung Perkantoran</t>
        </is>
      </c>
      <c r="N110" t="inlineStr">
        <is>
          <t>K</t>
        </is>
      </c>
      <c r="O110" t="inlineStr">
        <is>
          <t>20230922</t>
        </is>
      </c>
      <c r="P110" t="inlineStr">
        <is>
          <t>Jawa Timur</t>
        </is>
      </c>
      <c r="Q110" t="inlineStr"/>
    </row>
    <row r="111">
      <c r="A111" t="inlineStr">
        <is>
          <t>SARI WAHYU</t>
        </is>
      </c>
      <c r="B111" t="inlineStr">
        <is>
          <t>Kab. Madiun</t>
        </is>
      </c>
      <c r="C111" t="inlineStr">
        <is>
          <t>08123725216</t>
        </is>
      </c>
      <c r="D111" t="inlineStr">
        <is>
          <t>sariwahyu080266@gmail.com</t>
        </is>
      </c>
      <c r="E111" t="inlineStr">
        <is>
          <t>https://lpjk.pu.go.id/search-badan-usaha-detail/NEFpR3p4ZDBGSHJkWnB6enFwNUgwUT09</t>
        </is>
      </c>
      <c r="F111" t="n">
        <v>1</v>
      </c>
      <c r="G111" t="inlineStr">
        <is>
          <t>BG006</t>
        </is>
      </c>
      <c r="H111" t="inlineStr">
        <is>
          <t>28 Februari 2014</t>
        </is>
      </c>
      <c r="I111" s="2" t="n">
        <v>46289</v>
      </c>
      <c r="J111" t="inlineStr">
        <is>
          <t>Pencabutan</t>
        </is>
      </c>
      <c r="K111" t="n">
        <v>90</v>
      </c>
      <c r="L111" t="inlineStr">
        <is>
          <t>24 September 2026</t>
        </is>
      </c>
      <c r="M111" t="inlineStr">
        <is>
          <t>Konstruksi Gedung Pendidikan</t>
        </is>
      </c>
      <c r="N111" t="inlineStr">
        <is>
          <t>K</t>
        </is>
      </c>
      <c r="O111" t="inlineStr">
        <is>
          <t>20230905</t>
        </is>
      </c>
      <c r="P111" t="inlineStr">
        <is>
          <t>Jawa Timur</t>
        </is>
      </c>
      <c r="Q111" t="inlineStr"/>
    </row>
    <row r="112">
      <c r="A112" t="inlineStr">
        <is>
          <t>SERUNI JAYA ABADI</t>
        </is>
      </c>
      <c r="B112" t="inlineStr">
        <is>
          <t>Kab. Cirebon</t>
        </is>
      </c>
      <c r="C112" t="inlineStr">
        <is>
          <t>089629170180</t>
        </is>
      </c>
      <c r="D112" t="inlineStr">
        <is>
          <t>serunijayaabadi00@gmail.com</t>
        </is>
      </c>
      <c r="E112" t="inlineStr">
        <is>
          <t>https://lpjk.pu.go.id/search-badan-usaha-detail/eVhCUFo1WkRBWURoNGFLWHkrN0VHQT09</t>
        </is>
      </c>
      <c r="F112" t="n">
        <v>4</v>
      </c>
      <c r="G112" t="inlineStr">
        <is>
          <t>BG006, BG009, BS001, BS004</t>
        </is>
      </c>
      <c r="H112" t="inlineStr">
        <is>
          <t>24 Maret 2020</t>
        </is>
      </c>
      <c r="I112" s="2" t="n">
        <v>46289</v>
      </c>
      <c r="J112" t="inlineStr">
        <is>
          <t>Disetujui</t>
        </is>
      </c>
      <c r="K112" t="n">
        <v>90</v>
      </c>
      <c r="L112" t="inlineStr">
        <is>
          <t>24 September 2026</t>
        </is>
      </c>
      <c r="M112" t="inlineStr">
        <is>
          <t>Konstruksi Bangunan Sipil Jalan, Konstruksi Gedung Lainnya, Konstruksi Gedung Pendidikan, Konstruksi Jaringan Irigasi dan Drainase</t>
        </is>
      </c>
      <c r="N112" t="inlineStr">
        <is>
          <t>K</t>
        </is>
      </c>
      <c r="O112" t="inlineStr">
        <is>
          <t>20230921, 20230922</t>
        </is>
      </c>
      <c r="P112" t="inlineStr">
        <is>
          <t>Jawa Barat</t>
        </is>
      </c>
      <c r="Q112" t="inlineStr"/>
    </row>
    <row r="113">
      <c r="A113" t="inlineStr">
        <is>
          <t>SIMALUNGUN MILENIAL BERKARYA</t>
        </is>
      </c>
      <c r="B113" t="inlineStr">
        <is>
          <t>Kab. Simalungun</t>
        </is>
      </c>
      <c r="C113" t="inlineStr">
        <is>
          <t>081370310890</t>
        </is>
      </c>
      <c r="D113" t="inlineStr">
        <is>
          <t>simalungun.milenial@gmail.com</t>
        </is>
      </c>
      <c r="E113" t="inlineStr">
        <is>
          <t>https://lpjk.pu.go.id/search-badan-usaha-detail/cEt3ZENQWVlmbHU5REZlM0oySitOZz09</t>
        </is>
      </c>
      <c r="F113" t="n">
        <v>1</v>
      </c>
      <c r="G113" t="inlineStr">
        <is>
          <t>BG009</t>
        </is>
      </c>
      <c r="H113" t="inlineStr">
        <is>
          <t>1 Januari 2018</t>
        </is>
      </c>
      <c r="I113" s="2" t="n">
        <v>46289</v>
      </c>
      <c r="J113" t="inlineStr">
        <is>
          <t>Disetujui</t>
        </is>
      </c>
      <c r="K113" t="n">
        <v>90</v>
      </c>
      <c r="L113" t="inlineStr">
        <is>
          <t>24 September 2026</t>
        </is>
      </c>
      <c r="M113" t="inlineStr">
        <is>
          <t>Konstruksi Gedung Lainnya</t>
        </is>
      </c>
      <c r="N113" t="inlineStr">
        <is>
          <t>K</t>
        </is>
      </c>
      <c r="O113" t="inlineStr">
        <is>
          <t>20230921</t>
        </is>
      </c>
      <c r="P113" t="inlineStr">
        <is>
          <t>Sumatera Utara</t>
        </is>
      </c>
      <c r="Q113" t="inlineStr"/>
    </row>
    <row r="114">
      <c r="A114" t="inlineStr">
        <is>
          <t>SKY JAYA SUKSES</t>
        </is>
      </c>
      <c r="B114" t="inlineStr">
        <is>
          <t>Kota Bitung</t>
        </is>
      </c>
      <c r="C114" t="inlineStr">
        <is>
          <t>085230010661</t>
        </is>
      </c>
      <c r="D114" t="inlineStr">
        <is>
          <t>skyjayasukses@gmail.com</t>
        </is>
      </c>
      <c r="E114" t="inlineStr">
        <is>
          <t>https://lpjk.pu.go.id/search-badan-usaha-detail/ajNBa1lpYXNnRmR1bXhCN1FKdUxYdz09</t>
        </is>
      </c>
      <c r="F114" t="n">
        <v>5</v>
      </c>
      <c r="G114" t="inlineStr">
        <is>
          <t>BG001, BG002, BG005, BG006, BG009</t>
        </is>
      </c>
      <c r="H114" t="inlineStr">
        <is>
          <t>19 April 2022</t>
        </is>
      </c>
      <c r="I114" s="2" t="n">
        <v>46289</v>
      </c>
      <c r="J114" t="inlineStr">
        <is>
          <t>Disetujui</t>
        </is>
      </c>
      <c r="K114" t="n">
        <v>90</v>
      </c>
      <c r="L114" t="inlineStr">
        <is>
          <t>24 September 2026</t>
        </is>
      </c>
      <c r="M114" t="inlineStr">
        <is>
          <t>Konstruksi Gedung Hunian, Konstruksi Gedung Kesehatan, Konstruksi Gedung Lainnya, Konstruksi Gedung Pendidikan, Konstruksi Gedung Perkantoran</t>
        </is>
      </c>
      <c r="N114" t="inlineStr">
        <is>
          <t>K</t>
        </is>
      </c>
      <c r="O114" t="inlineStr">
        <is>
          <t>20230921</t>
        </is>
      </c>
      <c r="P114" t="inlineStr">
        <is>
          <t>Sulawesi Utara</t>
        </is>
      </c>
      <c r="Q114" t="inlineStr"/>
    </row>
    <row r="115">
      <c r="A115" t="inlineStr">
        <is>
          <t>SONIA NOTO MAKMUR JAYA</t>
        </is>
      </c>
      <c r="B115" t="inlineStr">
        <is>
          <t>Kota Banjarmasin</t>
        </is>
      </c>
      <c r="C115" t="inlineStr">
        <is>
          <t>082350874422</t>
        </is>
      </c>
      <c r="D115" t="inlineStr">
        <is>
          <t>sonianotomakmurjaya@gmail.com</t>
        </is>
      </c>
      <c r="E115" t="inlineStr">
        <is>
          <t>https://lpjk.pu.go.id/search-badan-usaha-detail/VmVvZXYzR2ZTYWlhclBQQVZwdTRFQT09</t>
        </is>
      </c>
      <c r="F115" t="n">
        <v>2</v>
      </c>
      <c r="G115" t="inlineStr">
        <is>
          <t>BG005, BG006</t>
        </is>
      </c>
      <c r="H115" t="inlineStr">
        <is>
          <t>10 Februari 2023</t>
        </is>
      </c>
      <c r="I115" s="2" t="n">
        <v>46289</v>
      </c>
      <c r="J115" t="inlineStr">
        <is>
          <t>Disetujui</t>
        </is>
      </c>
      <c r="K115" t="n">
        <v>90</v>
      </c>
      <c r="L115" t="inlineStr">
        <is>
          <t>24 September 2026</t>
        </is>
      </c>
      <c r="M115" t="inlineStr">
        <is>
          <t>Konstruksi Gedung Kesehatan, Konstruksi Gedung Pendidikan</t>
        </is>
      </c>
      <c r="N115" t="inlineStr">
        <is>
          <t>K</t>
        </is>
      </c>
      <c r="O115" t="inlineStr">
        <is>
          <t>20230922</t>
        </is>
      </c>
      <c r="P115" t="inlineStr">
        <is>
          <t>Kalimantan Selatan</t>
        </is>
      </c>
      <c r="Q115" t="inlineStr"/>
    </row>
    <row r="116">
      <c r="A116" t="inlineStr">
        <is>
          <t>SPARTA DUTA PERKASA</t>
        </is>
      </c>
      <c r="B116" t="inlineStr">
        <is>
          <t>Kota Pariaman</t>
        </is>
      </c>
      <c r="C116" t="inlineStr">
        <is>
          <t>082384123272</t>
        </is>
      </c>
      <c r="D116" t="inlineStr">
        <is>
          <t>ptspartadutaperkasa@gmail.com</t>
        </is>
      </c>
      <c r="E116" t="inlineStr">
        <is>
          <t>https://lpjk.pu.go.id/search-badan-usaha-detail/eENmQ3l1UzI5cExod01haGo3aSthQT09</t>
        </is>
      </c>
      <c r="F116" t="n">
        <v>1</v>
      </c>
      <c r="G116" t="inlineStr">
        <is>
          <t>BS010</t>
        </is>
      </c>
      <c r="H116" t="inlineStr">
        <is>
          <t>21 Januari 2004</t>
        </is>
      </c>
      <c r="I116" s="2" t="n">
        <v>46289</v>
      </c>
      <c r="J116" t="inlineStr">
        <is>
          <t>Pencabutan</t>
        </is>
      </c>
      <c r="K116" t="n">
        <v>90</v>
      </c>
      <c r="L116" t="inlineStr">
        <is>
          <t>24 September 2026</t>
        </is>
      </c>
      <c r="M116" t="inlineStr">
        <is>
          <t>Konstruksi Bangunan Prasarana Sumber Daya Air</t>
        </is>
      </c>
      <c r="N116" t="inlineStr">
        <is>
          <t>K</t>
        </is>
      </c>
      <c r="O116" t="inlineStr">
        <is>
          <t>20230911</t>
        </is>
      </c>
      <c r="P116" t="inlineStr">
        <is>
          <t>Sumatera Barat</t>
        </is>
      </c>
      <c r="Q116" t="inlineStr"/>
    </row>
    <row r="117">
      <c r="A117" t="inlineStr">
        <is>
          <t>SUMBER BAROKAH KONTRUKSI</t>
        </is>
      </c>
      <c r="B117" t="inlineStr">
        <is>
          <t>Kab. Jember</t>
        </is>
      </c>
      <c r="C117" t="inlineStr">
        <is>
          <t>085102736999</t>
        </is>
      </c>
      <c r="D117" t="inlineStr">
        <is>
          <t>sumberbarokahkontruksi@gmail.com</t>
        </is>
      </c>
      <c r="E117" t="inlineStr">
        <is>
          <t>https://lpjk.pu.go.id/search-badan-usaha-detail/RHA3RGszcVJqR1IxVW96S0pLemU1UT09</t>
        </is>
      </c>
      <c r="F117" t="n">
        <v>1</v>
      </c>
      <c r="G117" t="inlineStr">
        <is>
          <t>BG006</t>
        </is>
      </c>
      <c r="H117" t="inlineStr">
        <is>
          <t>13 Januari 2023</t>
        </is>
      </c>
      <c r="I117" s="2" t="n">
        <v>46289</v>
      </c>
      <c r="J117" t="inlineStr">
        <is>
          <t>Disetujui</t>
        </is>
      </c>
      <c r="K117" t="n">
        <v>90</v>
      </c>
      <c r="L117" t="inlineStr">
        <is>
          <t>24 September 2026</t>
        </is>
      </c>
      <c r="M117" t="inlineStr">
        <is>
          <t>Konstruksi Gedung Pendidikan</t>
        </is>
      </c>
      <c r="N117" t="inlineStr">
        <is>
          <t>K</t>
        </is>
      </c>
      <c r="O117" t="inlineStr">
        <is>
          <t>20230913</t>
        </is>
      </c>
      <c r="P117" t="inlineStr">
        <is>
          <t>Jawa Timur</t>
        </is>
      </c>
      <c r="Q117" t="inlineStr"/>
    </row>
    <row r="118">
      <c r="A118" t="inlineStr">
        <is>
          <t>SUMBER SEJATI</t>
        </is>
      </c>
      <c r="B118" t="inlineStr">
        <is>
          <t>Kota Balikpapan</t>
        </is>
      </c>
      <c r="C118" t="inlineStr">
        <is>
          <t>08125311676</t>
        </is>
      </c>
      <c r="D118" t="inlineStr">
        <is>
          <t>pt_sumbersejati@yahoo.com</t>
        </is>
      </c>
      <c r="E118" t="inlineStr">
        <is>
          <t>https://lpjk.pu.go.id/search-badan-usaha-detail/MHJFM09QbUFveTF4aDdvRk0ybGRmUT09</t>
        </is>
      </c>
      <c r="F118" t="n">
        <v>2</v>
      </c>
      <c r="G118" t="inlineStr">
        <is>
          <t>BG001, BG003</t>
        </is>
      </c>
      <c r="H118" t="inlineStr">
        <is>
          <t>27 Mei 2004</t>
        </is>
      </c>
      <c r="I118" s="2" t="n">
        <v>46289</v>
      </c>
      <c r="J118" t="inlineStr">
        <is>
          <t>Disetujui</t>
        </is>
      </c>
      <c r="K118" t="n">
        <v>90</v>
      </c>
      <c r="L118" t="inlineStr">
        <is>
          <t>24 September 2026</t>
        </is>
      </c>
      <c r="M118" t="inlineStr">
        <is>
          <t>Konstruksi Gedung Hunian, Konstruksi Gedung Industri</t>
        </is>
      </c>
      <c r="N118" t="inlineStr">
        <is>
          <t>K</t>
        </is>
      </c>
      <c r="O118" t="inlineStr">
        <is>
          <t>20230925</t>
        </is>
      </c>
      <c r="P118" t="inlineStr">
        <is>
          <t>Kalimantan Timur</t>
        </is>
      </c>
      <c r="Q118" t="inlineStr"/>
    </row>
    <row r="119">
      <c r="A119" t="inlineStr">
        <is>
          <t>SURYA ANUGRAH KARYA</t>
        </is>
      </c>
      <c r="B119" t="inlineStr">
        <is>
          <t>Kota Denpasar</t>
        </is>
      </c>
      <c r="C119" t="inlineStr">
        <is>
          <t>0361243763</t>
        </is>
      </c>
      <c r="D119" t="inlineStr">
        <is>
          <t>suryaanugrahkarya@gmail.com</t>
        </is>
      </c>
      <c r="E119" t="inlineStr">
        <is>
          <t>https://lpjk.pu.go.id/search-badan-usaha-detail/ekZqZTI5WlFKcjZ6ZWhtQ1ROa1RnZz09</t>
        </is>
      </c>
      <c r="F119" t="n">
        <v>1</v>
      </c>
      <c r="G119" t="inlineStr">
        <is>
          <t>BS010</t>
        </is>
      </c>
      <c r="H119" t="inlineStr">
        <is>
          <t>1 Oktober 2019</t>
        </is>
      </c>
      <c r="I119" s="2" t="n">
        <v>46289</v>
      </c>
      <c r="J119" t="inlineStr">
        <is>
          <t>Disetujui</t>
        </is>
      </c>
      <c r="K119" t="n">
        <v>90</v>
      </c>
      <c r="L119" t="inlineStr">
        <is>
          <t>24 September 2026</t>
        </is>
      </c>
      <c r="M119" t="inlineStr">
        <is>
          <t>Konstruksi Bangunan Prasarana Sumber Daya Air</t>
        </is>
      </c>
      <c r="N119" t="inlineStr">
        <is>
          <t>K</t>
        </is>
      </c>
      <c r="O119" t="inlineStr">
        <is>
          <t>20230920</t>
        </is>
      </c>
      <c r="P119" t="inlineStr">
        <is>
          <t>Bali</t>
        </is>
      </c>
      <c r="Q119" t="inlineStr"/>
    </row>
    <row r="120">
      <c r="A120" t="inlineStr">
        <is>
          <t>SWADAYA GRAHA</t>
        </is>
      </c>
      <c r="B120" t="inlineStr">
        <is>
          <t>Kab. Gresik</t>
        </is>
      </c>
      <c r="C120" t="inlineStr">
        <is>
          <t>031394477</t>
        </is>
      </c>
      <c r="D120" t="inlineStr">
        <is>
          <t>contact@swadayagraha.com</t>
        </is>
      </c>
      <c r="E120" t="inlineStr">
        <is>
          <t>https://lpjk.pu.go.id/search-badan-usaha-detail/bjkvUU5VeXZQMFlZSUZZK0lnOUt3Zz09</t>
        </is>
      </c>
      <c r="F120" t="n">
        <v>1</v>
      </c>
      <c r="G120" t="inlineStr">
        <is>
          <t>IN003</t>
        </is>
      </c>
      <c r="H120" t="inlineStr">
        <is>
          <t>11 November 1985</t>
        </is>
      </c>
      <c r="I120" s="2" t="n">
        <v>46289</v>
      </c>
      <c r="J120" t="inlineStr">
        <is>
          <t>Pencabutan</t>
        </is>
      </c>
      <c r="K120" t="n">
        <v>90</v>
      </c>
      <c r="L120" t="inlineStr">
        <is>
          <t>24 September 2026</t>
        </is>
      </c>
      <c r="M120" t="inlineStr">
        <is>
          <t>Instalasi Peralatan Infrastruktur Pertambangan dan Manufaktur</t>
        </is>
      </c>
      <c r="N120" t="inlineStr">
        <is>
          <t>Spesialis</t>
        </is>
      </c>
      <c r="O120" t="inlineStr">
        <is>
          <t>20230915</t>
        </is>
      </c>
      <c r="P120" t="inlineStr">
        <is>
          <t>Jawa Timur</t>
        </is>
      </c>
      <c r="Q120" t="inlineStr"/>
    </row>
    <row r="121">
      <c r="A121" t="inlineStr">
        <is>
          <t>TEKAD JUANG</t>
        </is>
      </c>
      <c r="B121" t="inlineStr">
        <is>
          <t>Kab. Lombok Tengah</t>
        </is>
      </c>
      <c r="C121" t="inlineStr">
        <is>
          <t>081805210625</t>
        </is>
      </c>
      <c r="D121" t="inlineStr">
        <is>
          <t>tekadjuang100@yahoo.com</t>
        </is>
      </c>
      <c r="E121" t="inlineStr">
        <is>
          <t>https://lpjk.pu.go.id/search-badan-usaha-detail/Q0R6TlFKN1lxS3dZVkp1QTErR0pYUT09</t>
        </is>
      </c>
      <c r="F121" t="n">
        <v>1</v>
      </c>
      <c r="G121" t="inlineStr">
        <is>
          <t>BS004</t>
        </is>
      </c>
      <c r="H121" t="inlineStr">
        <is>
          <t>17 Juni 1995</t>
        </is>
      </c>
      <c r="I121" s="2" t="n">
        <v>46289</v>
      </c>
      <c r="J121" t="inlineStr">
        <is>
          <t>Disetujui</t>
        </is>
      </c>
      <c r="K121" t="n">
        <v>90</v>
      </c>
      <c r="L121" t="inlineStr">
        <is>
          <t>24 September 2026</t>
        </is>
      </c>
      <c r="M121" t="inlineStr">
        <is>
          <t>Konstruksi Jaringan Irigasi dan Drainase</t>
        </is>
      </c>
      <c r="N121" t="inlineStr">
        <is>
          <t>K</t>
        </is>
      </c>
      <c r="O121" t="inlineStr">
        <is>
          <t>20230920</t>
        </is>
      </c>
      <c r="P121" t="inlineStr">
        <is>
          <t>Nusa Tenggara Barat</t>
        </is>
      </c>
      <c r="Q121" t="inlineStr"/>
    </row>
    <row r="122">
      <c r="A122" t="inlineStr">
        <is>
          <t>TINA YUDHA</t>
        </is>
      </c>
      <c r="B122" t="inlineStr">
        <is>
          <t>Kota Bandung</t>
        </is>
      </c>
      <c r="C122" t="inlineStr">
        <is>
          <t>08122359055</t>
        </is>
      </c>
      <c r="D122" t="inlineStr">
        <is>
          <t>yudhatina0@gmail.com</t>
        </is>
      </c>
      <c r="E122" t="inlineStr">
        <is>
          <t>https://lpjk.pu.go.id/search-badan-usaha-detail/QXM0MGtvOC95UGJ4dWFzNWkrUWljZz09</t>
        </is>
      </c>
      <c r="F122" t="n">
        <v>3</v>
      </c>
      <c r="G122" t="inlineStr">
        <is>
          <t>BG009, BS001, BS004</t>
        </is>
      </c>
      <c r="H122" t="inlineStr">
        <is>
          <t>15 Januari 1994</t>
        </is>
      </c>
      <c r="I122" s="2" t="n">
        <v>46289</v>
      </c>
      <c r="J122" t="inlineStr">
        <is>
          <t>Disetujui</t>
        </is>
      </c>
      <c r="K122" t="n">
        <v>90</v>
      </c>
      <c r="L122" t="inlineStr">
        <is>
          <t>24 September 2026</t>
        </is>
      </c>
      <c r="M122" t="inlineStr">
        <is>
          <t>Konstruksi Bangunan Sipil Jalan, Konstruksi Gedung Lainnya, Konstruksi Jaringan Irigasi dan Drainase</t>
        </is>
      </c>
      <c r="N122" t="inlineStr">
        <is>
          <t>K</t>
        </is>
      </c>
      <c r="O122" t="inlineStr">
        <is>
          <t>20230919</t>
        </is>
      </c>
      <c r="P122" t="inlineStr">
        <is>
          <t>Jawa Barat</t>
        </is>
      </c>
      <c r="Q122" t="inlineStr"/>
    </row>
    <row r="123">
      <c r="A123" t="inlineStr">
        <is>
          <t>TIRTALAYA PUSAKA KARYA</t>
        </is>
      </c>
      <c r="B123" t="inlineStr">
        <is>
          <t>Kota Serang</t>
        </is>
      </c>
      <c r="C123" t="inlineStr">
        <is>
          <t>081316904883</t>
        </is>
      </c>
      <c r="D123" t="inlineStr">
        <is>
          <t>tirtalayapttirtalaya@gmail.com</t>
        </is>
      </c>
      <c r="E123" t="inlineStr">
        <is>
          <t>https://lpjk.pu.go.id/search-badan-usaha-detail/bm50Y0tidExnQTR0WTgrL3FXc2RQZz09</t>
        </is>
      </c>
      <c r="F123" t="n">
        <v>1</v>
      </c>
      <c r="G123" t="inlineStr">
        <is>
          <t>BG006</t>
        </is>
      </c>
      <c r="H123" t="inlineStr">
        <is>
          <t>9 November 2020</t>
        </is>
      </c>
      <c r="I123" s="2" t="n">
        <v>46289</v>
      </c>
      <c r="J123" t="inlineStr">
        <is>
          <t>Disetujui</t>
        </is>
      </c>
      <c r="K123" t="n">
        <v>90</v>
      </c>
      <c r="L123" t="inlineStr">
        <is>
          <t>24 September 2026</t>
        </is>
      </c>
      <c r="M123" t="inlineStr">
        <is>
          <t>Konstruksi Gedung Pendidikan</t>
        </is>
      </c>
      <c r="N123" t="inlineStr">
        <is>
          <t>K</t>
        </is>
      </c>
      <c r="O123" t="inlineStr">
        <is>
          <t>20230922</t>
        </is>
      </c>
      <c r="P123" t="inlineStr">
        <is>
          <t>Banten</t>
        </is>
      </c>
      <c r="Q123" t="inlineStr"/>
    </row>
    <row r="124">
      <c r="A124" t="inlineStr">
        <is>
          <t>TUBAGUS RANGIN</t>
        </is>
      </c>
      <c r="B124" t="inlineStr">
        <is>
          <t>Kab. Majalengka</t>
        </is>
      </c>
      <c r="C124" t="inlineStr">
        <is>
          <t>0233282380</t>
        </is>
      </c>
      <c r="D124" t="inlineStr">
        <is>
          <t>tr_mjlk@yahoo.co.id</t>
        </is>
      </c>
      <c r="E124" t="inlineStr">
        <is>
          <t>https://lpjk.pu.go.id/search-badan-usaha-detail/RnA4V0VhSGtHcjl4QmY2dEt6RzlnUT09</t>
        </is>
      </c>
      <c r="F124" t="n">
        <v>1</v>
      </c>
      <c r="G124" t="inlineStr">
        <is>
          <t>BS004</t>
        </is>
      </c>
      <c r="H124" t="inlineStr">
        <is>
          <t>12 Agustus 2005</t>
        </is>
      </c>
      <c r="I124" s="2" t="n">
        <v>46289</v>
      </c>
      <c r="J124" t="inlineStr">
        <is>
          <t>Pembekuan</t>
        </is>
      </c>
      <c r="K124" t="n">
        <v>90</v>
      </c>
      <c r="L124" t="inlineStr">
        <is>
          <t>24 September 2026</t>
        </is>
      </c>
      <c r="M124" t="inlineStr">
        <is>
          <t>Konstruksi Jaringan Irigasi dan Drainase</t>
        </is>
      </c>
      <c r="N124" t="inlineStr">
        <is>
          <t>M</t>
        </is>
      </c>
      <c r="O124" t="inlineStr">
        <is>
          <t>20230921</t>
        </is>
      </c>
      <c r="P124" t="inlineStr">
        <is>
          <t>Jawa Barat</t>
        </is>
      </c>
      <c r="Q124" t="inlineStr"/>
    </row>
    <row r="125">
      <c r="A125" t="inlineStr">
        <is>
          <t>TUNAS KARYA DEWATA</t>
        </is>
      </c>
      <c r="B125" t="inlineStr">
        <is>
          <t>Kota Denpasar</t>
        </is>
      </c>
      <c r="C125" t="inlineStr">
        <is>
          <t>082146598666</t>
        </is>
      </c>
      <c r="D125" t="inlineStr">
        <is>
          <t>tunaskaryadewata23@gmail.com</t>
        </is>
      </c>
      <c r="E125" t="inlineStr">
        <is>
          <t>https://lpjk.pu.go.id/search-badan-usaha-detail/Qy9PQ3FvaDVoK2tLdFJMUkh0d1ZuUT09</t>
        </is>
      </c>
      <c r="F125" t="n">
        <v>5</v>
      </c>
      <c r="G125" t="inlineStr">
        <is>
          <t>BG002, BG004, BG005, BG007, BG009</t>
        </is>
      </c>
      <c r="H125" t="inlineStr">
        <is>
          <t>28 Agustus 2013</t>
        </is>
      </c>
      <c r="I125" s="2" t="n">
        <v>46289</v>
      </c>
      <c r="J125" t="inlineStr">
        <is>
          <t>Disetujui</t>
        </is>
      </c>
      <c r="K125" t="n">
        <v>90</v>
      </c>
      <c r="L125" t="inlineStr">
        <is>
          <t>24 September 2026</t>
        </is>
      </c>
      <c r="M125" t="inlineStr">
        <is>
          <t>Konstruksi Gedung Kesehatan, Konstruksi Gedung Lainnya, Konstruksi Gedung Penginapan, Konstruksi Gedung Perbelanjaan, Konstruksi Gedung Perkantoran</t>
        </is>
      </c>
      <c r="N125" t="inlineStr">
        <is>
          <t>K</t>
        </is>
      </c>
      <c r="O125" t="inlineStr">
        <is>
          <t>20230921</t>
        </is>
      </c>
      <c r="P125" t="inlineStr">
        <is>
          <t>Bali</t>
        </is>
      </c>
      <c r="Q125" t="inlineStr"/>
    </row>
    <row r="126">
      <c r="A126" t="inlineStr">
        <is>
          <t>VENTURINDO ENGINEERING</t>
        </is>
      </c>
      <c r="B126" t="inlineStr">
        <is>
          <t>Kab. Karawang</t>
        </is>
      </c>
      <c r="C126" t="inlineStr">
        <is>
          <t>02648385523</t>
        </is>
      </c>
      <c r="D126" t="inlineStr">
        <is>
          <t>engineering@venturindo.id</t>
        </is>
      </c>
      <c r="E126" t="inlineStr">
        <is>
          <t>https://lpjk.pu.go.id/search-badan-usaha-detail/NGd1MlNtSkNOYjMxQXAvVkdlRWxJUT09</t>
        </is>
      </c>
      <c r="F126" t="n">
        <v>2</v>
      </c>
      <c r="G126" t="inlineStr">
        <is>
          <t>BG003, IN001</t>
        </is>
      </c>
      <c r="H126" t="inlineStr">
        <is>
          <t>4 April 2008</t>
        </is>
      </c>
      <c r="I126" s="2" t="n">
        <v>46289</v>
      </c>
      <c r="J126" t="inlineStr">
        <is>
          <t>Disetujui</t>
        </is>
      </c>
      <c r="K126" t="n">
        <v>90</v>
      </c>
      <c r="L126" t="inlineStr">
        <is>
          <t>24 September 2026</t>
        </is>
      </c>
      <c r="M126" t="inlineStr">
        <is>
          <t>Instalasi Mekanikal, Konstruksi Gedung Industri</t>
        </is>
      </c>
      <c r="N126" t="inlineStr">
        <is>
          <t>M, Spesialis</t>
        </is>
      </c>
      <c r="O126" t="inlineStr">
        <is>
          <t>20230907</t>
        </is>
      </c>
      <c r="P126" t="inlineStr">
        <is>
          <t>Jawa Barat</t>
        </is>
      </c>
      <c r="Q126" t="inlineStr"/>
    </row>
    <row r="127">
      <c r="A127" t="inlineStr">
        <is>
          <t>WAHYU DELTA PARAMA</t>
        </is>
      </c>
      <c r="B127" t="inlineStr">
        <is>
          <t>Kota Adm. Jakarta Utara</t>
        </is>
      </c>
      <c r="C127" t="inlineStr">
        <is>
          <t>0214524128</t>
        </is>
      </c>
      <c r="D127" t="inlineStr">
        <is>
          <t>wahyudeltaparamalegal@gmail.com</t>
        </is>
      </c>
      <c r="E127" t="inlineStr">
        <is>
          <t>https://lpjk.pu.go.id/search-badan-usaha-detail/ZHROUVd2dC9KL3ZCVldMQmdHL0tGQT09</t>
        </is>
      </c>
      <c r="F127" t="n">
        <v>1</v>
      </c>
      <c r="G127" t="inlineStr">
        <is>
          <t>IN008</t>
        </is>
      </c>
      <c r="H127" t="inlineStr">
        <is>
          <t>14 Maret 1987</t>
        </is>
      </c>
      <c r="I127" s="2" t="n">
        <v>46289</v>
      </c>
      <c r="J127" t="inlineStr">
        <is>
          <t>Pembekuan</t>
        </is>
      </c>
      <c r="K127" t="n">
        <v>90</v>
      </c>
      <c r="L127" t="inlineStr">
        <is>
          <t>24 September 2026</t>
        </is>
      </c>
      <c r="M127" t="inlineStr">
        <is>
          <t>Instalasi Pendingin Dan Ventilasi Udara</t>
        </is>
      </c>
      <c r="N127" t="inlineStr">
        <is>
          <t>Spesialis</t>
        </is>
      </c>
      <c r="O127" t="inlineStr">
        <is>
          <t>20230915</t>
        </is>
      </c>
      <c r="P127" t="inlineStr">
        <is>
          <t>DKI Jakarta</t>
        </is>
      </c>
      <c r="Q127" t="inlineStr"/>
    </row>
    <row r="128">
      <c r="A128" t="inlineStr">
        <is>
          <t>WIRATMAN CIPTA MANGGALA</t>
        </is>
      </c>
      <c r="B128" t="inlineStr">
        <is>
          <t>Kota Adm. Jakarta Selatan</t>
        </is>
      </c>
      <c r="C128" t="inlineStr">
        <is>
          <t>0217817777</t>
        </is>
      </c>
      <c r="D128" t="inlineStr">
        <is>
          <t>wcm.corporate@wiratman.co.id</t>
        </is>
      </c>
      <c r="E128" t="inlineStr">
        <is>
          <t>https://lpjk.pu.go.id/search-badan-usaha-detail/enhRVW1Bbng4T2x0UzY3WllZNEhsUT09</t>
        </is>
      </c>
      <c r="F128" t="n">
        <v>4</v>
      </c>
      <c r="G128" t="inlineStr">
        <is>
          <t>RK001, RK003</t>
        </is>
      </c>
      <c r="H128" t="inlineStr">
        <is>
          <t>7 Mei 2013</t>
        </is>
      </c>
      <c r="I128" s="2" t="n">
        <v>46289</v>
      </c>
      <c r="J128" t="inlineStr">
        <is>
          <t>Disetujui</t>
        </is>
      </c>
      <c r="K128" t="n">
        <v>90</v>
      </c>
      <c r="L128" t="inlineStr">
        <is>
          <t>24 September 2026</t>
        </is>
      </c>
      <c r="M128" t="inlineStr">
        <is>
          <t>Jasa Rekayasa Konstruksi Bangunan Gedung Hunian dan Non Hunian, Jasa Rekayasa Pekerjaan Teknik Sipil Transportasi</t>
        </is>
      </c>
      <c r="N128" t="inlineStr">
        <is>
          <t>B</t>
        </is>
      </c>
      <c r="O128" t="inlineStr">
        <is>
          <t>20230911</t>
        </is>
      </c>
      <c r="P128" t="inlineStr">
        <is>
          <t>DKI Jakarta</t>
        </is>
      </c>
      <c r="Q128" t="inlineStr"/>
    </row>
    <row r="129">
      <c r="A129" t="inlineStr">
        <is>
          <t>YUDA PERMATA</t>
        </is>
      </c>
      <c r="B129" t="inlineStr">
        <is>
          <t>Kab. Madiun</t>
        </is>
      </c>
      <c r="C129" t="inlineStr">
        <is>
          <t>085259067302</t>
        </is>
      </c>
      <c r="D129" t="inlineStr">
        <is>
          <t>permatayuda_cv@yahoo.co.id</t>
        </is>
      </c>
      <c r="E129" t="inlineStr">
        <is>
          <t>https://lpjk.pu.go.id/search-badan-usaha-detail/N1ExRUxYdUZ3ZGlRQVdyVTNLODNuQT09</t>
        </is>
      </c>
      <c r="F129" t="n">
        <v>3</v>
      </c>
      <c r="G129" t="inlineStr">
        <is>
          <t>BG005, BG006, BG009</t>
        </is>
      </c>
      <c r="H129" t="inlineStr">
        <is>
          <t>11 April 2002</t>
        </is>
      </c>
      <c r="I129" s="2" t="n">
        <v>46289</v>
      </c>
      <c r="J129" t="inlineStr">
        <is>
          <t>Disetujui</t>
        </is>
      </c>
      <c r="K129" t="n">
        <v>90</v>
      </c>
      <c r="L129" t="inlineStr">
        <is>
          <t>24 September 2026</t>
        </is>
      </c>
      <c r="M129" t="inlineStr">
        <is>
          <t>Konstruksi Gedung Kesehatan, Konstruksi Gedung Lainnya, Konstruksi Gedung Pendidikan</t>
        </is>
      </c>
      <c r="N129" t="inlineStr">
        <is>
          <t>K</t>
        </is>
      </c>
      <c r="O129" t="inlineStr">
        <is>
          <t>20230922</t>
        </is>
      </c>
      <c r="P129" t="inlineStr">
        <is>
          <t>Jawa Timur</t>
        </is>
      </c>
      <c r="Q129" t="inlineStr"/>
    </row>
    <row r="130">
      <c r="A130" t="inlineStr">
        <is>
          <t>ZAIN KONSTRUKSI</t>
        </is>
      </c>
      <c r="B130" t="inlineStr">
        <is>
          <t>Kab. Rokan Hulu</t>
        </is>
      </c>
      <c r="C130" t="inlineStr">
        <is>
          <t>085356221011</t>
        </is>
      </c>
      <c r="D130" t="inlineStr">
        <is>
          <t>alf.zfa@gmail.com</t>
        </is>
      </c>
      <c r="E130" t="inlineStr">
        <is>
          <t>https://lpjk.pu.go.id/search-badan-usaha-detail/OEwvVHFxZ0xjYm04TE1tbjVHZW4yQT09</t>
        </is>
      </c>
      <c r="F130" t="n">
        <v>1</v>
      </c>
      <c r="G130" t="inlineStr">
        <is>
          <t>BG009</t>
        </is>
      </c>
      <c r="H130" t="inlineStr">
        <is>
          <t>14 Januari 2021</t>
        </is>
      </c>
      <c r="I130" s="2" t="n">
        <v>46289</v>
      </c>
      <c r="J130" t="inlineStr">
        <is>
          <t>Disetujui</t>
        </is>
      </c>
      <c r="K130" t="n">
        <v>90</v>
      </c>
      <c r="L130" t="inlineStr">
        <is>
          <t>24 September 2026</t>
        </is>
      </c>
      <c r="M130" t="inlineStr">
        <is>
          <t>Konstruksi Gedung Lainnya</t>
        </is>
      </c>
      <c r="N130" t="inlineStr">
        <is>
          <t>K</t>
        </is>
      </c>
      <c r="O130" t="inlineStr">
        <is>
          <t>20230411</t>
        </is>
      </c>
      <c r="P130" t="inlineStr">
        <is>
          <t>Riau</t>
        </is>
      </c>
      <c r="Q1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7"/>
  <sheetViews>
    <sheetView workbookViewId="0">
      <selection activeCell="A1" sqref="A1"/>
    </sheetView>
  </sheetViews>
  <sheetFormatPr baseColWidth="8" defaultRowHeight="15"/>
  <cols>
    <col width="31" customWidth="1" min="1" max="1"/>
    <col width="32" customWidth="1" min="2" max="2"/>
    <col width="16" customWidth="1" min="3" max="3"/>
    <col width="38" customWidth="1" min="4" max="4"/>
    <col width="50" customWidth="1" min="5" max="5"/>
    <col width="18" customWidth="1" min="6" max="6"/>
    <col width="35"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ABDI PRATAMA</t>
        </is>
      </c>
      <c r="B2" t="inlineStr">
        <is>
          <t>Kota Adm. Jakarta Timur</t>
        </is>
      </c>
      <c r="C2" t="inlineStr">
        <is>
          <t>02184311087</t>
        </is>
      </c>
      <c r="D2" t="inlineStr">
        <is>
          <t>abdiprtm750@gmail.com</t>
        </is>
      </c>
      <c r="E2" t="inlineStr">
        <is>
          <t>https://lpjk.pu.go.id/search-badan-usaha-detail/UVdMZE95WmRSWkxaNi85NWd1ajN0Zz09</t>
        </is>
      </c>
      <c r="F2" t="n">
        <v>3</v>
      </c>
      <c r="G2" t="inlineStr">
        <is>
          <t>BG003, BG005, BG006</t>
        </is>
      </c>
      <c r="H2" t="inlineStr">
        <is>
          <t>10 Februari 2006</t>
        </is>
      </c>
      <c r="I2" s="2" t="n">
        <v>46259</v>
      </c>
      <c r="J2" t="inlineStr">
        <is>
          <t>Disetujui</t>
        </is>
      </c>
      <c r="K2" t="n">
        <v>60</v>
      </c>
      <c r="L2" t="inlineStr">
        <is>
          <t>25 Agustus 2026</t>
        </is>
      </c>
      <c r="M2" t="inlineStr">
        <is>
          <t>Konstruksi Gedung Industri, Konstruksi Gedung Kesehatan, Konstruksi Gedung Pendidikan</t>
        </is>
      </c>
      <c r="N2" t="inlineStr">
        <is>
          <t>K</t>
        </is>
      </c>
      <c r="O2" t="inlineStr">
        <is>
          <t>20230811</t>
        </is>
      </c>
      <c r="P2" t="inlineStr">
        <is>
          <t>DKI Jakarta</t>
        </is>
      </c>
      <c r="Q2" t="inlineStr"/>
    </row>
    <row r="3">
      <c r="A3" t="inlineStr">
        <is>
          <t>BANGUN BUMI WIJAYA</t>
        </is>
      </c>
      <c r="B3" t="inlineStr">
        <is>
          <t>Kota Adm. Jakarta Timur</t>
        </is>
      </c>
      <c r="C3" t="inlineStr">
        <is>
          <t>02186612104</t>
        </is>
      </c>
      <c r="D3" t="inlineStr">
        <is>
          <t>bangun_bumi_wijaya29@yahoo.co.id</t>
        </is>
      </c>
      <c r="E3" t="inlineStr">
        <is>
          <t>https://lpjk.pu.go.id/search-badan-usaha-detail/MmJyajl1SFVENlQrY1JIOXV3ZGRidz09</t>
        </is>
      </c>
      <c r="F3" t="n">
        <v>1</v>
      </c>
      <c r="G3" t="inlineStr">
        <is>
          <t>BG009</t>
        </is>
      </c>
      <c r="H3" t="inlineStr">
        <is>
          <t>11 Februari 2004</t>
        </is>
      </c>
      <c r="I3" s="2" t="n">
        <v>46259</v>
      </c>
      <c r="J3" t="inlineStr">
        <is>
          <t>Pembekuan</t>
        </is>
      </c>
      <c r="K3" t="n">
        <v>60</v>
      </c>
      <c r="L3" t="inlineStr">
        <is>
          <t>25 Agustus 2026</t>
        </is>
      </c>
      <c r="M3" t="inlineStr">
        <is>
          <t>Konstruksi Gedung Lainnya</t>
        </is>
      </c>
      <c r="N3" t="inlineStr">
        <is>
          <t>M</t>
        </is>
      </c>
      <c r="O3" t="inlineStr">
        <is>
          <t>20230825</t>
        </is>
      </c>
      <c r="P3" t="inlineStr">
        <is>
          <t>DKI Jakarta</t>
        </is>
      </c>
      <c r="Q3" t="inlineStr"/>
    </row>
    <row r="4">
      <c r="A4" t="inlineStr">
        <is>
          <t>GABE ARTHA SEJAHTERA</t>
        </is>
      </c>
      <c r="B4" t="inlineStr">
        <is>
          <t>Kota Adm. Jakarta Timur</t>
        </is>
      </c>
      <c r="C4" t="inlineStr">
        <is>
          <t>02122865084</t>
        </is>
      </c>
      <c r="D4" t="inlineStr">
        <is>
          <t>gabearthasejahtera@gmail.com</t>
        </is>
      </c>
      <c r="E4" t="inlineStr">
        <is>
          <t>https://lpjk.pu.go.id/search-badan-usaha-detail/TWFReFJ4T3M0ampMcFViMi9uWXh1QT09</t>
        </is>
      </c>
      <c r="F4" t="n">
        <v>5</v>
      </c>
      <c r="G4" t="inlineStr">
        <is>
          <t>BG001, BG002, BG005, BG006, BG009</t>
        </is>
      </c>
      <c r="H4" t="inlineStr">
        <is>
          <t>10 Februari 2020</t>
        </is>
      </c>
      <c r="I4" s="2" t="n">
        <v>46259</v>
      </c>
      <c r="J4" t="inlineStr">
        <is>
          <t>Disetujui</t>
        </is>
      </c>
      <c r="K4" t="n">
        <v>60</v>
      </c>
      <c r="L4" t="inlineStr">
        <is>
          <t>25 Agustus 2026</t>
        </is>
      </c>
      <c r="M4" t="inlineStr">
        <is>
          <t>Konstruksi Gedung Hunian, Konstruksi Gedung Kesehatan, Konstruksi Gedung Lainnya, Konstruksi Gedung Pendidikan, Konstruksi Gedung Perkantoran</t>
        </is>
      </c>
      <c r="N4" t="inlineStr">
        <is>
          <t>K</t>
        </is>
      </c>
      <c r="O4" t="inlineStr">
        <is>
          <t>20230721, 20230726</t>
        </is>
      </c>
      <c r="P4" t="inlineStr">
        <is>
          <t>DKI Jakarta</t>
        </is>
      </c>
      <c r="Q4" t="inlineStr"/>
    </row>
    <row r="5">
      <c r="A5" t="inlineStr">
        <is>
          <t>HEMING SETIA MANDIRI</t>
        </is>
      </c>
      <c r="B5" t="inlineStr">
        <is>
          <t>Kab. Bekasi</t>
        </is>
      </c>
      <c r="C5" t="inlineStr">
        <is>
          <t>085292109043</t>
        </is>
      </c>
      <c r="D5" t="inlineStr">
        <is>
          <t>hemingsetia@gmail.com</t>
        </is>
      </c>
      <c r="E5" t="inlineStr">
        <is>
          <t>https://lpjk.pu.go.id/search-badan-usaha-detail/RmZIQlBMQTMrNjVCMFR5VjAwRmc5Zz09</t>
        </is>
      </c>
      <c r="F5" t="n">
        <v>1</v>
      </c>
      <c r="G5" t="inlineStr">
        <is>
          <t>BG003</t>
        </is>
      </c>
      <c r="H5" t="inlineStr">
        <is>
          <t>11 Juli 2023</t>
        </is>
      </c>
      <c r="I5" s="2" t="n">
        <v>46259</v>
      </c>
      <c r="J5" t="inlineStr">
        <is>
          <t>Disetujui</t>
        </is>
      </c>
      <c r="K5" t="n">
        <v>60</v>
      </c>
      <c r="L5" t="inlineStr">
        <is>
          <t>25 Agustus 2026</t>
        </is>
      </c>
      <c r="M5" t="inlineStr">
        <is>
          <t>Konstruksi Gedung Industri</t>
        </is>
      </c>
      <c r="N5" t="inlineStr">
        <is>
          <t>K</t>
        </is>
      </c>
      <c r="O5" t="inlineStr">
        <is>
          <t>20230825</t>
        </is>
      </c>
      <c r="P5" t="inlineStr">
        <is>
          <t>Jawa Barat</t>
        </is>
      </c>
      <c r="Q5" s="3">
        <f>HYPERLINK("https://wa.me/6285292109043?text=*[PENGINGAT MASA BERLAKU SBU HEMING SETIA MANDIRI]*%0A%0AYth. Pimpinan HEMING SETIA MANDIRI,%0AMohon izin menginformasikan status SBU Anda di sistem LPJK:%0A%0A📄 SBU: BG003%0A📅 Expired: 25 Agustus 2026 (60 Hari Lagi)%0A%0AKami tim PT. ESDEA Assistance Management siap men-support proses perpanjangan segera agar administrasi proyek tidak terhambat%0A%0AApakah boleh saya bantu siapkan estimasi biaya dan waktu pengerjaannya?.", "Hubungi")</f>
        <v/>
      </c>
    </row>
    <row r="6">
      <c r="A6" t="inlineStr">
        <is>
          <t>KABEMURA TEKINDO PERKASA</t>
        </is>
      </c>
      <c r="B6" t="inlineStr">
        <is>
          <t>Kota Depok</t>
        </is>
      </c>
      <c r="C6" t="inlineStr">
        <is>
          <t>02177841265</t>
        </is>
      </c>
      <c r="D6" t="inlineStr">
        <is>
          <t>kabemura.tekindoperkasa@gmail.com</t>
        </is>
      </c>
      <c r="E6" t="inlineStr">
        <is>
          <t>https://lpjk.pu.go.id/search-badan-usaha-detail/SlU0K09mZlVVc1NoSE9OM29jRnkwdz09</t>
        </is>
      </c>
      <c r="F6" t="n">
        <v>1</v>
      </c>
      <c r="G6" t="inlineStr">
        <is>
          <t>BG009</t>
        </is>
      </c>
      <c r="H6" t="inlineStr">
        <is>
          <t>1 November 2021</t>
        </is>
      </c>
      <c r="I6" s="2" t="n">
        <v>46259</v>
      </c>
      <c r="J6" t="inlineStr">
        <is>
          <t>Disetujui</t>
        </is>
      </c>
      <c r="K6" t="n">
        <v>60</v>
      </c>
      <c r="L6" t="inlineStr">
        <is>
          <t>25 Agustus 2026</t>
        </is>
      </c>
      <c r="M6" t="inlineStr">
        <is>
          <t>Konstruksi Gedung Lainnya</t>
        </is>
      </c>
      <c r="N6" t="inlineStr">
        <is>
          <t>K</t>
        </is>
      </c>
      <c r="O6" t="inlineStr">
        <is>
          <t>20230824</t>
        </is>
      </c>
      <c r="P6" t="inlineStr">
        <is>
          <t>Jawa Barat</t>
        </is>
      </c>
      <c r="Q6" t="inlineStr"/>
    </row>
    <row r="7">
      <c r="A7" t="inlineStr">
        <is>
          <t>MEDAL JAYA PURNAMA</t>
        </is>
      </c>
      <c r="B7" t="inlineStr">
        <is>
          <t>Kab. Bogor</t>
        </is>
      </c>
      <c r="C7" t="inlineStr">
        <is>
          <t>02187928679</t>
        </is>
      </c>
      <c r="D7" t="inlineStr">
        <is>
          <t>medaljayapurnama2021@gmail.com</t>
        </is>
      </c>
      <c r="E7" t="inlineStr">
        <is>
          <t>https://lpjk.pu.go.id/search-badan-usaha-detail/ZSt2YWFqZEV5dDNwcEtQOHJLY0ZFQT09</t>
        </is>
      </c>
      <c r="F7" t="n">
        <v>1</v>
      </c>
      <c r="G7" t="inlineStr">
        <is>
          <t>BS010</t>
        </is>
      </c>
      <c r="H7" t="inlineStr">
        <is>
          <t>2 Oktober 2006</t>
        </is>
      </c>
      <c r="I7" s="2" t="n">
        <v>46259</v>
      </c>
      <c r="J7" t="inlineStr">
        <is>
          <t>Disetujui</t>
        </is>
      </c>
      <c r="K7" t="n">
        <v>60</v>
      </c>
      <c r="L7" t="inlineStr">
        <is>
          <t>25 Agustus 2026</t>
        </is>
      </c>
      <c r="M7" t="inlineStr">
        <is>
          <t>Konstruksi Bangunan Prasarana Sumber Daya Air</t>
        </is>
      </c>
      <c r="N7" t="inlineStr">
        <is>
          <t>M</t>
        </is>
      </c>
      <c r="O7" t="inlineStr">
        <is>
          <t>20230706</t>
        </is>
      </c>
      <c r="P7" t="inlineStr">
        <is>
          <t>Jawa Barat</t>
        </is>
      </c>
      <c r="Q7" t="inlineStr"/>
    </row>
    <row r="8">
      <c r="A8" t="inlineStr">
        <is>
          <t>MEGA SURYA STRUCTURE</t>
        </is>
      </c>
      <c r="B8" t="inlineStr">
        <is>
          <t>Kota Adm. Jakarta Timur</t>
        </is>
      </c>
      <c r="C8" t="inlineStr">
        <is>
          <t>0218408986</t>
        </is>
      </c>
      <c r="D8" t="inlineStr">
        <is>
          <t>megasuryajf23@gmail.com</t>
        </is>
      </c>
      <c r="E8" t="inlineStr">
        <is>
          <t>https://lpjk.pu.go.id/search-badan-usaha-detail/dmMvd05zQWs1Zk9iQWd2dDBaN05LZz09</t>
        </is>
      </c>
      <c r="F8" t="n">
        <v>1</v>
      </c>
      <c r="G8" t="inlineStr">
        <is>
          <t>BS002</t>
        </is>
      </c>
      <c r="H8" t="inlineStr">
        <is>
          <t>3 Maret 2009</t>
        </is>
      </c>
      <c r="I8" s="2" t="n">
        <v>46259</v>
      </c>
      <c r="J8" t="inlineStr">
        <is>
          <t>Disetujui</t>
        </is>
      </c>
      <c r="K8" t="n">
        <v>60</v>
      </c>
      <c r="L8" t="inlineStr">
        <is>
          <t>25 Agustus 2026</t>
        </is>
      </c>
      <c r="M8" t="inlineStr">
        <is>
          <t>Bangunan Sipil Jembatan, Jalan Layang, Fly Over, dan Underpass</t>
        </is>
      </c>
      <c r="N8" t="inlineStr">
        <is>
          <t>K</t>
        </is>
      </c>
      <c r="O8" t="inlineStr">
        <is>
          <t>20230821</t>
        </is>
      </c>
      <c r="P8" t="inlineStr">
        <is>
          <t>DKI Jakarta</t>
        </is>
      </c>
      <c r="Q8" t="inlineStr"/>
    </row>
    <row r="9">
      <c r="A9" t="inlineStr">
        <is>
          <t>RIZKY LIMA SAUDARA</t>
        </is>
      </c>
      <c r="B9" t="inlineStr">
        <is>
          <t>Kota Depok</t>
        </is>
      </c>
      <c r="C9" t="inlineStr">
        <is>
          <t>081318291229</t>
        </is>
      </c>
      <c r="D9" t="inlineStr">
        <is>
          <t>rizky5saudara@gmail.com</t>
        </is>
      </c>
      <c r="E9" t="inlineStr">
        <is>
          <t>https://lpjk.pu.go.id/search-badan-usaha-detail/Ykw4ekpHS2FiTjVVVEtLUDZFTHMxUT09</t>
        </is>
      </c>
      <c r="F9" t="n">
        <v>1</v>
      </c>
      <c r="G9" t="inlineStr">
        <is>
          <t>BS001</t>
        </is>
      </c>
      <c r="H9" t="inlineStr">
        <is>
          <t>3 Maret 2016</t>
        </is>
      </c>
      <c r="I9" s="2" t="n">
        <v>46259</v>
      </c>
      <c r="J9" t="inlineStr">
        <is>
          <t>Disetujui</t>
        </is>
      </c>
      <c r="K9" t="n">
        <v>60</v>
      </c>
      <c r="L9" t="inlineStr">
        <is>
          <t>25 Agustus 2026</t>
        </is>
      </c>
      <c r="M9" t="inlineStr">
        <is>
          <t>Konstruksi Bangunan Sipil Jalan</t>
        </is>
      </c>
      <c r="N9" t="inlineStr">
        <is>
          <t>K</t>
        </is>
      </c>
      <c r="O9" t="inlineStr">
        <is>
          <t>20230822</t>
        </is>
      </c>
      <c r="P9" t="inlineStr">
        <is>
          <t>Jawa Barat</t>
        </is>
      </c>
      <c r="Q9" s="3">
        <f>HYPERLINK("https://wa.me/6281318291229?text=*[PENGINGAT MASA BERLAKU SBU RIZKY LIMA SAUDARA]*%0A%0AYth. Pimpinan RIZKY LIMA SAUDARA,%0AMohon izin menginformasikan status SBU Anda di sistem LPJK:%0A%0A📄 SBU: BS001%0A📅 Expired: 25 Agustus 2026 (60 Hari Lagi)%0A%0AKami tim PT. ESDEA Assistance Management siap men-support proses perpanjangan segera agar administrasi proyek tidak terhambat%0A%0AApakah boleh saya bantu siapkan estimasi biaya dan waktu pengerjaannya?.", "Hubungi")</f>
        <v/>
      </c>
    </row>
    <row r="10">
      <c r="A10" t="inlineStr">
        <is>
          <t>SINERGI ANDALAN SATUHATI</t>
        </is>
      </c>
      <c r="B10" t="inlineStr">
        <is>
          <t>Kota Bekasi</t>
        </is>
      </c>
      <c r="C10" t="inlineStr">
        <is>
          <t>081905680392</t>
        </is>
      </c>
      <c r="D10" t="inlineStr">
        <is>
          <t>sinergiandalansatuhati@gmail.com</t>
        </is>
      </c>
      <c r="E10" t="inlineStr">
        <is>
          <t>https://lpjk.pu.go.id/search-badan-usaha-detail/cGJkYjdLbWlBckJtb2hNRHl4bW45UT09</t>
        </is>
      </c>
      <c r="F10" t="n">
        <v>1</v>
      </c>
      <c r="G10" t="inlineStr">
        <is>
          <t>BG009</t>
        </is>
      </c>
      <c r="H10" t="inlineStr">
        <is>
          <t>30 Januari 2023</t>
        </is>
      </c>
      <c r="I10" s="2" t="n">
        <v>46259</v>
      </c>
      <c r="J10" t="inlineStr">
        <is>
          <t>Disetujui</t>
        </is>
      </c>
      <c r="K10" t="n">
        <v>60</v>
      </c>
      <c r="L10" t="inlineStr">
        <is>
          <t>25 Agustus 2026</t>
        </is>
      </c>
      <c r="M10" t="inlineStr">
        <is>
          <t>Konstruksi Gedung Lainnya</t>
        </is>
      </c>
      <c r="N10" t="inlineStr">
        <is>
          <t>K</t>
        </is>
      </c>
      <c r="O10" t="inlineStr">
        <is>
          <t>20230823</t>
        </is>
      </c>
      <c r="P10" t="inlineStr">
        <is>
          <t>Jawa Barat</t>
        </is>
      </c>
      <c r="Q10" s="3">
        <f>HYPERLINK("https://wa.me/6281905680392?text=*[PENGINGAT MASA BERLAKU SBU SINERGI ANDALAN SATUHATI]*%0A%0AYth. Pimpinan SINERGI ANDALAN SATUHATI,%0AMohon izin menginformasikan status SBU Anda di sistem LPJK:%0A%0A📄 SBU: BG009%0A📅 Expired: 25 Agustus 2026 (60 Hari Lagi)%0A%0AKami tim PT. ESDEA Assistance Management siap men-support proses perpanjangan segera agar administrasi proyek tidak terhambat%0A%0AApakah boleh saya bantu siapkan estimasi biaya dan waktu pengerjaannya?.", "Hubungi")</f>
        <v/>
      </c>
    </row>
    <row r="11">
      <c r="A11" t="inlineStr">
        <is>
          <t>ABADI MANDIRI</t>
        </is>
      </c>
      <c r="B11" t="inlineStr">
        <is>
          <t>Kab. Muko Muko</t>
        </is>
      </c>
      <c r="C11" t="inlineStr">
        <is>
          <t>085268047588</t>
        </is>
      </c>
      <c r="D11" t="inlineStr">
        <is>
          <t>abadimandiri03@gmail.com</t>
        </is>
      </c>
      <c r="E11" t="inlineStr">
        <is>
          <t>https://lpjk.pu.go.id/search-badan-usaha-detail/N2lnK2c5V2lENHh3VG9maTlyazc5UT09</t>
        </is>
      </c>
      <c r="F11" t="n">
        <v>2</v>
      </c>
      <c r="G11" t="inlineStr">
        <is>
          <t>BS001</t>
        </is>
      </c>
      <c r="H11" t="inlineStr">
        <is>
          <t>6 November 2007</t>
        </is>
      </c>
      <c r="I11" s="2" t="n">
        <v>46259</v>
      </c>
      <c r="J11" t="inlineStr">
        <is>
          <t>Disetujui</t>
        </is>
      </c>
      <c r="K11" t="n">
        <v>60</v>
      </c>
      <c r="L11" t="inlineStr">
        <is>
          <t>25 Agustus 2026</t>
        </is>
      </c>
      <c r="M11" t="inlineStr">
        <is>
          <t>Konstruksi Bangunan Sipil Jalan</t>
        </is>
      </c>
      <c r="N11" t="inlineStr">
        <is>
          <t>K</t>
        </is>
      </c>
      <c r="O11" t="inlineStr">
        <is>
          <t>20230818</t>
        </is>
      </c>
      <c r="P11" t="inlineStr">
        <is>
          <t>Bengkulu</t>
        </is>
      </c>
      <c r="Q11" t="inlineStr"/>
    </row>
    <row r="12">
      <c r="A12" t="inlineStr">
        <is>
          <t>ADHI CIPTA SEJAHTERA</t>
        </is>
      </c>
      <c r="B12" t="inlineStr">
        <is>
          <t>Kab. Pandeglang</t>
        </is>
      </c>
      <c r="C12" t="inlineStr">
        <is>
          <t>087772846911</t>
        </is>
      </c>
      <c r="D12" t="inlineStr">
        <is>
          <t>cvadhiciptasejahtera@gmail.com</t>
        </is>
      </c>
      <c r="E12" t="inlineStr">
        <is>
          <t>https://lpjk.pu.go.id/search-badan-usaha-detail/NnJzZUZzUEVqdDZBdUpaREJNN24yUT09</t>
        </is>
      </c>
      <c r="F12" t="n">
        <v>2</v>
      </c>
      <c r="G12" t="inlineStr">
        <is>
          <t>BS001</t>
        </is>
      </c>
      <c r="H12" t="inlineStr">
        <is>
          <t>20 Januari 2017</t>
        </is>
      </c>
      <c r="I12" s="2" t="n">
        <v>46259</v>
      </c>
      <c r="J12" t="inlineStr">
        <is>
          <t>Disetujui</t>
        </is>
      </c>
      <c r="K12" t="n">
        <v>60</v>
      </c>
      <c r="L12" t="inlineStr">
        <is>
          <t>25 Agustus 2026</t>
        </is>
      </c>
      <c r="M12" t="inlineStr">
        <is>
          <t>Konstruksi Bangunan Sipil Jalan</t>
        </is>
      </c>
      <c r="N12" t="inlineStr">
        <is>
          <t>K</t>
        </is>
      </c>
      <c r="O12" t="inlineStr">
        <is>
          <t>20230825</t>
        </is>
      </c>
      <c r="P12" t="inlineStr">
        <is>
          <t>Banten</t>
        </is>
      </c>
      <c r="Q12" t="inlineStr"/>
    </row>
    <row r="13">
      <c r="A13" t="inlineStr">
        <is>
          <t>AFANDY INDO GRUP</t>
        </is>
      </c>
      <c r="B13" t="inlineStr">
        <is>
          <t>Kota Gorontalo</t>
        </is>
      </c>
      <c r="C13" t="inlineStr">
        <is>
          <t>082332225559</t>
        </is>
      </c>
      <c r="D13" t="inlineStr">
        <is>
          <t>afandyindogroup99@gmail.com</t>
        </is>
      </c>
      <c r="E13" t="inlineStr">
        <is>
          <t>https://lpjk.pu.go.id/search-badan-usaha-detail/T2FySHpUVW5GaFdGY2ROa3pDRlB6QT09</t>
        </is>
      </c>
      <c r="F13" t="n">
        <v>1</v>
      </c>
      <c r="G13" t="inlineStr">
        <is>
          <t>BG001</t>
        </is>
      </c>
      <c r="H13" t="inlineStr">
        <is>
          <t>8 Maret 2019</t>
        </is>
      </c>
      <c r="I13" s="2" t="n">
        <v>46259</v>
      </c>
      <c r="J13" t="inlineStr">
        <is>
          <t>Disetujui</t>
        </is>
      </c>
      <c r="K13" t="n">
        <v>60</v>
      </c>
      <c r="L13" t="inlineStr">
        <is>
          <t>25 Agustus 2026</t>
        </is>
      </c>
      <c r="M13" t="inlineStr">
        <is>
          <t>Konstruksi Gedung Hunian</t>
        </is>
      </c>
      <c r="N13" t="inlineStr">
        <is>
          <t>K</t>
        </is>
      </c>
      <c r="O13" t="inlineStr">
        <is>
          <t>20230810</t>
        </is>
      </c>
      <c r="P13" t="inlineStr">
        <is>
          <t>Gorontalo</t>
        </is>
      </c>
      <c r="Q13" t="inlineStr"/>
    </row>
    <row r="14">
      <c r="A14" t="inlineStr">
        <is>
          <t>AKBAR YES</t>
        </is>
      </c>
      <c r="B14" t="inlineStr">
        <is>
          <t>Kab. Bengkalis</t>
        </is>
      </c>
      <c r="C14" t="inlineStr">
        <is>
          <t>08126842287</t>
        </is>
      </c>
      <c r="D14" t="inlineStr">
        <is>
          <t>cvyesakbar2101@gmail.com</t>
        </is>
      </c>
      <c r="E14" t="inlineStr">
        <is>
          <t>https://lpjk.pu.go.id/search-badan-usaha-detail/Z002ckcxUU5aaCtjU2N1R1o5K0ZNdz09</t>
        </is>
      </c>
      <c r="F14" t="n">
        <v>1</v>
      </c>
      <c r="G14" t="inlineStr">
        <is>
          <t>BG005</t>
        </is>
      </c>
      <c r="H14" t="inlineStr">
        <is>
          <t>24 Februari 2014</t>
        </is>
      </c>
      <c r="I14" s="2" t="n">
        <v>46259</v>
      </c>
      <c r="J14" t="inlineStr">
        <is>
          <t>Disetujui</t>
        </is>
      </c>
      <c r="K14" t="n">
        <v>60</v>
      </c>
      <c r="L14" t="inlineStr">
        <is>
          <t>25 Agustus 2026</t>
        </is>
      </c>
      <c r="M14" t="inlineStr">
        <is>
          <t>Konstruksi Gedung Kesehatan</t>
        </is>
      </c>
      <c r="N14" t="inlineStr">
        <is>
          <t>K</t>
        </is>
      </c>
      <c r="O14" t="inlineStr">
        <is>
          <t>20230824</t>
        </is>
      </c>
      <c r="P14" t="inlineStr">
        <is>
          <t>Riau</t>
        </is>
      </c>
      <c r="Q14" t="inlineStr"/>
    </row>
    <row r="15">
      <c r="A15" t="inlineStr">
        <is>
          <t>ALAM MAKMUR PUTRA</t>
        </is>
      </c>
      <c r="B15" t="inlineStr">
        <is>
          <t>Kota Cilegon</t>
        </is>
      </c>
      <c r="C15" t="inlineStr">
        <is>
          <t>0254341219</t>
        </is>
      </c>
      <c r="D15" t="inlineStr">
        <is>
          <t>pt.amputra@gmail.com</t>
        </is>
      </c>
      <c r="E15" t="inlineStr">
        <is>
          <t>https://lpjk.pu.go.id/search-badan-usaha-detail/Z3BES0lhSG9ieUJ6OEY5akxqekIvUT09</t>
        </is>
      </c>
      <c r="F15" t="n">
        <v>1</v>
      </c>
      <c r="G15" t="inlineStr">
        <is>
          <t>BG008</t>
        </is>
      </c>
      <c r="H15" t="inlineStr">
        <is>
          <t>24 Januari 2022</t>
        </is>
      </c>
      <c r="I15" s="2" t="n">
        <v>46259</v>
      </c>
      <c r="J15" t="inlineStr">
        <is>
          <t>Disetujui</t>
        </is>
      </c>
      <c r="K15" t="n">
        <v>60</v>
      </c>
      <c r="L15" t="inlineStr">
        <is>
          <t>25 Agustus 2026</t>
        </is>
      </c>
      <c r="M15" t="inlineStr">
        <is>
          <t>Konstruksi Gedung Tempat Hiburan dan Olahraga</t>
        </is>
      </c>
      <c r="N15" t="inlineStr">
        <is>
          <t>K</t>
        </is>
      </c>
      <c r="O15" t="inlineStr">
        <is>
          <t>20230825</t>
        </is>
      </c>
      <c r="P15" t="inlineStr">
        <is>
          <t>Banten</t>
        </is>
      </c>
      <c r="Q15" t="inlineStr"/>
    </row>
    <row r="16">
      <c r="A16" t="inlineStr">
        <is>
          <t>ALGHANIY PERDANA SUKSES</t>
        </is>
      </c>
      <c r="B16" t="inlineStr">
        <is>
          <t>Kab. Batu Bara</t>
        </is>
      </c>
      <c r="C16" t="inlineStr">
        <is>
          <t>081212960402</t>
        </is>
      </c>
      <c r="D16" t="inlineStr">
        <is>
          <t>alghaniyperdanasukses@gmail.com</t>
        </is>
      </c>
      <c r="E16" t="inlineStr">
        <is>
          <t>https://lpjk.pu.go.id/search-badan-usaha-detail/K1hLTmVxYVY2WjAxZDhYOWZhbm9xZz09</t>
        </is>
      </c>
      <c r="F16" t="n">
        <v>1</v>
      </c>
      <c r="G16" t="inlineStr">
        <is>
          <t>IN001</t>
        </is>
      </c>
      <c r="H16" t="inlineStr">
        <is>
          <t>22 Juli 2022</t>
        </is>
      </c>
      <c r="I16" s="2" t="n">
        <v>46259</v>
      </c>
      <c r="J16" t="inlineStr">
        <is>
          <t>Pembekuan</t>
        </is>
      </c>
      <c r="K16" t="n">
        <v>60</v>
      </c>
      <c r="L16" t="inlineStr">
        <is>
          <t>25 Agustus 2026</t>
        </is>
      </c>
      <c r="M16" t="inlineStr">
        <is>
          <t>Instalasi Mekanikal</t>
        </is>
      </c>
      <c r="N16" t="inlineStr">
        <is>
          <t>Spesialis</t>
        </is>
      </c>
      <c r="O16" t="inlineStr">
        <is>
          <t>20230825</t>
        </is>
      </c>
      <c r="P16" t="inlineStr">
        <is>
          <t>Sumatera Utara</t>
        </is>
      </c>
      <c r="Q16" t="inlineStr"/>
    </row>
    <row r="17">
      <c r="A17" t="inlineStr">
        <is>
          <t>ALMAHYRA KARYA UTAMA</t>
        </is>
      </c>
      <c r="B17" t="inlineStr">
        <is>
          <t>Kota Padang</t>
        </is>
      </c>
      <c r="C17" t="inlineStr">
        <is>
          <t>081363142972</t>
        </is>
      </c>
      <c r="D17" t="inlineStr">
        <is>
          <t>karyautamaalmahyra@gmail.com</t>
        </is>
      </c>
      <c r="E17" t="inlineStr">
        <is>
          <t>https://lpjk.pu.go.id/search-badan-usaha-detail/MjFvVTQrYUF1cEcxZ255UE5PNlBhdz09</t>
        </is>
      </c>
      <c r="F17" t="n">
        <v>2</v>
      </c>
      <c r="G17" t="inlineStr">
        <is>
          <t>BG008</t>
        </is>
      </c>
      <c r="H17" t="inlineStr">
        <is>
          <t>29 Mei 2023</t>
        </is>
      </c>
      <c r="I17" s="2" t="n">
        <v>46259</v>
      </c>
      <c r="J17" t="inlineStr">
        <is>
          <t>Disetujui</t>
        </is>
      </c>
      <c r="K17" t="n">
        <v>60</v>
      </c>
      <c r="L17" t="inlineStr">
        <is>
          <t>25 Agustus 2026</t>
        </is>
      </c>
      <c r="M17" t="inlineStr">
        <is>
          <t>Konstruksi Gedung Tempat Hiburan dan Olahraga</t>
        </is>
      </c>
      <c r="N17" t="inlineStr">
        <is>
          <t>K</t>
        </is>
      </c>
      <c r="O17" t="inlineStr">
        <is>
          <t>20230821</t>
        </is>
      </c>
      <c r="P17" t="inlineStr">
        <is>
          <t>Sumatera Barat</t>
        </is>
      </c>
      <c r="Q17" t="inlineStr"/>
    </row>
    <row r="18">
      <c r="A18" t="inlineStr">
        <is>
          <t>ANEKA SARI ALAM</t>
        </is>
      </c>
      <c r="B18" t="inlineStr">
        <is>
          <t>Kab. Ketapang</t>
        </is>
      </c>
      <c r="C18" t="inlineStr">
        <is>
          <t>081256026767</t>
        </is>
      </c>
      <c r="D18" t="inlineStr">
        <is>
          <t>anekasarialam217@gmail.com</t>
        </is>
      </c>
      <c r="E18" t="inlineStr">
        <is>
          <t>https://lpjk.pu.go.id/search-badan-usaha-detail/MDU5Sm15MVlBcGNKYkNZQi9FaTNXQT09</t>
        </is>
      </c>
      <c r="F18" t="n">
        <v>2</v>
      </c>
      <c r="G18" t="inlineStr">
        <is>
          <t>BS001</t>
        </is>
      </c>
      <c r="H18" t="inlineStr">
        <is>
          <t>1 Februari 1990</t>
        </is>
      </c>
      <c r="I18" s="2" t="n">
        <v>46259</v>
      </c>
      <c r="J18" t="inlineStr">
        <is>
          <t>Disetujui</t>
        </is>
      </c>
      <c r="K18" t="n">
        <v>60</v>
      </c>
      <c r="L18" t="inlineStr">
        <is>
          <t>25 Agustus 2026</t>
        </is>
      </c>
      <c r="M18" t="inlineStr">
        <is>
          <t>Konstruksi Bangunan Sipil Jalan</t>
        </is>
      </c>
      <c r="N18" t="inlineStr">
        <is>
          <t>K</t>
        </is>
      </c>
      <c r="O18" t="inlineStr">
        <is>
          <t>20230717</t>
        </is>
      </c>
      <c r="P18" t="inlineStr">
        <is>
          <t>Kalimantan Barat</t>
        </is>
      </c>
      <c r="Q18" t="inlineStr"/>
    </row>
    <row r="19">
      <c r="A19" t="inlineStr">
        <is>
          <t>ANNA DOHAWU PAPUA</t>
        </is>
      </c>
      <c r="B19" t="inlineStr">
        <is>
          <t>Kota Jayapura</t>
        </is>
      </c>
      <c r="C19" t="inlineStr">
        <is>
          <t>082238956999</t>
        </is>
      </c>
      <c r="D19" t="inlineStr">
        <is>
          <t>anadop.jyp@gmail.com</t>
        </is>
      </c>
      <c r="E19" t="inlineStr">
        <is>
          <t>https://lpjk.pu.go.id/search-badan-usaha-detail/UVMwTU9qWFgwcWZtN2prM3crTWtGZz09</t>
        </is>
      </c>
      <c r="F19" t="n">
        <v>1</v>
      </c>
      <c r="G19" t="inlineStr">
        <is>
          <t>BG001</t>
        </is>
      </c>
      <c r="H19" t="inlineStr">
        <is>
          <t>8 Desember 2014</t>
        </is>
      </c>
      <c r="I19" s="2" t="n">
        <v>46259</v>
      </c>
      <c r="J19" t="inlineStr">
        <is>
          <t>Disetujui</t>
        </is>
      </c>
      <c r="K19" t="n">
        <v>60</v>
      </c>
      <c r="L19" t="inlineStr">
        <is>
          <t>25 Agustus 2026</t>
        </is>
      </c>
      <c r="M19" t="inlineStr">
        <is>
          <t>Konstruksi Gedung Hunian</t>
        </is>
      </c>
      <c r="N19" t="inlineStr">
        <is>
          <t>K</t>
        </is>
      </c>
      <c r="O19" t="inlineStr">
        <is>
          <t>20230824</t>
        </is>
      </c>
      <c r="P19" t="inlineStr">
        <is>
          <t>Papua</t>
        </is>
      </c>
      <c r="Q19" t="inlineStr"/>
    </row>
    <row r="20">
      <c r="A20" t="inlineStr">
        <is>
          <t>ANTASENA MEGAH PERSADA</t>
        </is>
      </c>
      <c r="B20" t="inlineStr">
        <is>
          <t>Kota Adm. Jakarta Selatan</t>
        </is>
      </c>
      <c r="C20" t="inlineStr">
        <is>
          <t>02183709030</t>
        </is>
      </c>
      <c r="D20" t="inlineStr">
        <is>
          <t>fachrul@adhimatratama.co.id</t>
        </is>
      </c>
      <c r="E20" t="inlineStr">
        <is>
          <t>https://lpjk.pu.go.id/search-badan-usaha-detail/U2R4cjZsOE9NbjU0RFM1OGVqZ2ZwQT09</t>
        </is>
      </c>
      <c r="F20" t="n">
        <v>5</v>
      </c>
      <c r="G20" t="inlineStr">
        <is>
          <t>BG001, BG002, BG005, BG006</t>
        </is>
      </c>
      <c r="H20" t="inlineStr">
        <is>
          <t>10 April 2023</t>
        </is>
      </c>
      <c r="I20" s="2" t="n">
        <v>46259</v>
      </c>
      <c r="J20" t="inlineStr">
        <is>
          <t>Pencabutan</t>
        </is>
      </c>
      <c r="K20" t="n">
        <v>60</v>
      </c>
      <c r="L20" t="inlineStr">
        <is>
          <t>25 Agustus 2026</t>
        </is>
      </c>
      <c r="M20" t="inlineStr">
        <is>
          <t>Konstruksi Gedung Hunian, Konstruksi Gedung Kesehatan, Konstruksi Gedung Pendidikan, Konstruksi Gedung Perkantoran</t>
        </is>
      </c>
      <c r="N20" t="inlineStr">
        <is>
          <t>K</t>
        </is>
      </c>
      <c r="O20" t="inlineStr">
        <is>
          <t>20230824</t>
        </is>
      </c>
      <c r="P20" t="inlineStr">
        <is>
          <t>DKI Jakarta</t>
        </is>
      </c>
      <c r="Q20" t="inlineStr"/>
    </row>
    <row r="21">
      <c r="A21" t="inlineStr">
        <is>
          <t>ANUGERAH BINA USAHA</t>
        </is>
      </c>
      <c r="B21" t="inlineStr">
        <is>
          <t>Kab. Semarang</t>
        </is>
      </c>
      <c r="C21" t="inlineStr">
        <is>
          <t>0246922128</t>
        </is>
      </c>
      <c r="D21" t="inlineStr">
        <is>
          <t>anugerah.ungaran@yahoo.com</t>
        </is>
      </c>
      <c r="E21" t="inlineStr">
        <is>
          <t>https://lpjk.pu.go.id/search-badan-usaha-detail/ZnpNTXhtcjZEeWlrelVybmY0T1ltdz09</t>
        </is>
      </c>
      <c r="F21" t="n">
        <v>1</v>
      </c>
      <c r="G21" t="inlineStr">
        <is>
          <t>BS001</t>
        </is>
      </c>
      <c r="H21" t="inlineStr">
        <is>
          <t>13 Desember 1993</t>
        </is>
      </c>
      <c r="I21" s="2" t="n">
        <v>46259</v>
      </c>
      <c r="J21" t="inlineStr">
        <is>
          <t>Disetujui</t>
        </is>
      </c>
      <c r="K21" t="n">
        <v>60</v>
      </c>
      <c r="L21" t="inlineStr">
        <is>
          <t>25 Agustus 2026</t>
        </is>
      </c>
      <c r="M21" t="inlineStr">
        <is>
          <t>Konstruksi Bangunan Sipil Jalan</t>
        </is>
      </c>
      <c r="N21" t="inlineStr">
        <is>
          <t>K</t>
        </is>
      </c>
      <c r="O21" t="inlineStr">
        <is>
          <t>20230818</t>
        </is>
      </c>
      <c r="P21" t="inlineStr">
        <is>
          <t>Jawa Tengah</t>
        </is>
      </c>
      <c r="Q21" t="inlineStr"/>
    </row>
    <row r="22">
      <c r="A22" t="inlineStr">
        <is>
          <t>ARKATAMA JAYA</t>
        </is>
      </c>
      <c r="B22" t="inlineStr">
        <is>
          <t>Kab. Jember</t>
        </is>
      </c>
      <c r="C22" t="inlineStr">
        <is>
          <t>082337040985</t>
        </is>
      </c>
      <c r="D22" t="inlineStr">
        <is>
          <t>arkatamajaya@gmail.com</t>
        </is>
      </c>
      <c r="E22" t="inlineStr">
        <is>
          <t>https://lpjk.pu.go.id/search-badan-usaha-detail/VHlQRjVJc2ZoWXgzdzk2R05aVlk0UT09</t>
        </is>
      </c>
      <c r="F22" t="n">
        <v>2</v>
      </c>
      <c r="G22" t="inlineStr">
        <is>
          <t>BS001</t>
        </is>
      </c>
      <c r="H22" t="inlineStr">
        <is>
          <t>15 September 2019</t>
        </is>
      </c>
      <c r="I22" s="2" t="n">
        <v>46259</v>
      </c>
      <c r="J22" t="inlineStr">
        <is>
          <t>Disetujui</t>
        </is>
      </c>
      <c r="K22" t="n">
        <v>60</v>
      </c>
      <c r="L22" t="inlineStr">
        <is>
          <t>25 Agustus 2026</t>
        </is>
      </c>
      <c r="M22" t="inlineStr">
        <is>
          <t>Konstruksi Bangunan Sipil Jalan</t>
        </is>
      </c>
      <c r="N22" t="inlineStr">
        <is>
          <t>K</t>
        </is>
      </c>
      <c r="O22" t="inlineStr">
        <is>
          <t>20230824</t>
        </is>
      </c>
      <c r="P22" t="inlineStr">
        <is>
          <t>Jawa Timur</t>
        </is>
      </c>
      <c r="Q22" t="inlineStr"/>
    </row>
    <row r="23">
      <c r="A23" t="inlineStr">
        <is>
          <t>BABAKAN BERKAH ABADI</t>
        </is>
      </c>
      <c r="B23" t="inlineStr">
        <is>
          <t>Kab. Garut</t>
        </is>
      </c>
      <c r="C23" t="inlineStr">
        <is>
          <t>085215151781</t>
        </is>
      </c>
      <c r="D23" t="inlineStr">
        <is>
          <t>babakanberkahabadi@gmail.com</t>
        </is>
      </c>
      <c r="E23" t="inlineStr">
        <is>
          <t>https://lpjk.pu.go.id/search-badan-usaha-detail/L2VsQmthUmg3OXY5M2hUQkx4b3FTUT09</t>
        </is>
      </c>
      <c r="F23" t="n">
        <v>3</v>
      </c>
      <c r="G23" t="inlineStr">
        <is>
          <t>BG002, BG006, BG009</t>
        </is>
      </c>
      <c r="H23" t="inlineStr">
        <is>
          <t>14 Juli 2023</t>
        </is>
      </c>
      <c r="I23" s="2" t="n">
        <v>46259</v>
      </c>
      <c r="J23" t="inlineStr">
        <is>
          <t>Disetujui</t>
        </is>
      </c>
      <c r="K23" t="n">
        <v>60</v>
      </c>
      <c r="L23" t="inlineStr">
        <is>
          <t>25 Agustus 2026</t>
        </is>
      </c>
      <c r="M23" t="inlineStr">
        <is>
          <t>Konstruksi Gedung Lainnya, Konstruksi Gedung Pendidikan, Konstruksi Gedung Perkantoran</t>
        </is>
      </c>
      <c r="N23" t="inlineStr">
        <is>
          <t>K</t>
        </is>
      </c>
      <c r="O23" t="inlineStr">
        <is>
          <t>20230822, 20230823</t>
        </is>
      </c>
      <c r="P23" t="inlineStr">
        <is>
          <t>Jawa Barat</t>
        </is>
      </c>
      <c r="Q23" t="inlineStr"/>
    </row>
    <row r="24">
      <c r="A24" t="inlineStr">
        <is>
          <t>BAGJA PUTRA KONSTRUKSI</t>
        </is>
      </c>
      <c r="B24" t="inlineStr">
        <is>
          <t>Kab. Sukabumi</t>
        </is>
      </c>
      <c r="C24" t="inlineStr">
        <is>
          <t>085860433938</t>
        </is>
      </c>
      <c r="D24" t="inlineStr">
        <is>
          <t>xmoellah@gmail.com</t>
        </is>
      </c>
      <c r="E24" t="inlineStr">
        <is>
          <t>https://lpjk.pu.go.id/search-badan-usaha-detail/c2lhMlpzWTVUWS9KTkxKTXZ1WDhPdz09</t>
        </is>
      </c>
      <c r="F24" t="n">
        <v>1</v>
      </c>
      <c r="G24" t="inlineStr">
        <is>
          <t>BG005</t>
        </is>
      </c>
      <c r="H24" t="inlineStr">
        <is>
          <t>14 Maret 2012</t>
        </is>
      </c>
      <c r="I24" s="2" t="n">
        <v>46259</v>
      </c>
      <c r="J24" t="inlineStr">
        <is>
          <t>Disetujui</t>
        </is>
      </c>
      <c r="K24" t="n">
        <v>60</v>
      </c>
      <c r="L24" t="inlineStr">
        <is>
          <t>25 Agustus 2026</t>
        </is>
      </c>
      <c r="M24" t="inlineStr">
        <is>
          <t>Konstruksi Gedung Kesehatan</t>
        </is>
      </c>
      <c r="N24" t="inlineStr">
        <is>
          <t>K</t>
        </is>
      </c>
      <c r="O24" t="inlineStr">
        <is>
          <t>20230818</t>
        </is>
      </c>
      <c r="P24" t="inlineStr">
        <is>
          <t>Jawa Barat</t>
        </is>
      </c>
      <c r="Q24" t="inlineStr"/>
    </row>
    <row r="25">
      <c r="A25" t="inlineStr">
        <is>
          <t>BAHAGIA</t>
        </is>
      </c>
      <c r="B25" t="inlineStr">
        <is>
          <t>Kab. Pemalang</t>
        </is>
      </c>
      <c r="C25" t="inlineStr">
        <is>
          <t>0823 2515 2220</t>
        </is>
      </c>
      <c r="D25" t="inlineStr">
        <is>
          <t>cvbahagia123@gmail.com</t>
        </is>
      </c>
      <c r="E25" t="inlineStr">
        <is>
          <t>https://lpjk.pu.go.id/search-badan-usaha-detail/SnBGMGxWaGVHRjBsb2p1QlpCWEU5dz09</t>
        </is>
      </c>
      <c r="F25" t="n">
        <v>4</v>
      </c>
      <c r="G25" t="inlineStr">
        <is>
          <t>BG006, BG009, BS001, BS004</t>
        </is>
      </c>
      <c r="H25" t="inlineStr">
        <is>
          <t>10 Juni 1997</t>
        </is>
      </c>
      <c r="I25" s="2" t="n">
        <v>46259</v>
      </c>
      <c r="J25" t="inlineStr">
        <is>
          <t>Disetujui</t>
        </is>
      </c>
      <c r="K25" t="n">
        <v>60</v>
      </c>
      <c r="L25" t="inlineStr">
        <is>
          <t>25 Agustus 2026</t>
        </is>
      </c>
      <c r="M25" t="inlineStr">
        <is>
          <t>Konstruksi Bangunan Sipil Jalan, Konstruksi Gedung Lainnya, Konstruksi Gedung Pendidikan, Konstruksi Jaringan Irigasi dan Drainase</t>
        </is>
      </c>
      <c r="N25" t="inlineStr">
        <is>
          <t>K</t>
        </is>
      </c>
      <c r="O25" t="inlineStr">
        <is>
          <t>20230825</t>
        </is>
      </c>
      <c r="P25" t="inlineStr">
        <is>
          <t>Jawa Tengah</t>
        </is>
      </c>
      <c r="Q25" t="inlineStr"/>
    </row>
    <row r="26">
      <c r="A26" t="inlineStr">
        <is>
          <t>BANGUN JAYA</t>
        </is>
      </c>
      <c r="B26" t="inlineStr">
        <is>
          <t>Kota Pangkal Pinang</t>
        </is>
      </c>
      <c r="C26" t="inlineStr">
        <is>
          <t>085267890888</t>
        </is>
      </c>
      <c r="D26" t="inlineStr">
        <is>
          <t>cvbangunjaya@yahoo.com</t>
        </is>
      </c>
      <c r="E26" t="inlineStr">
        <is>
          <t>https://lpjk.pu.go.id/search-badan-usaha-detail/N0xmYzJpLzhCb3NSU1pqUHpVMENvdz09</t>
        </is>
      </c>
      <c r="F26" t="n">
        <v>10</v>
      </c>
      <c r="G26" t="inlineStr">
        <is>
          <t>BG001, BG002, BG005, BG006, BG009</t>
        </is>
      </c>
      <c r="H26" t="inlineStr">
        <is>
          <t>19 Januari 2017</t>
        </is>
      </c>
      <c r="I26" s="2" t="n">
        <v>46259</v>
      </c>
      <c r="J26" t="inlineStr">
        <is>
          <t>Disetujui</t>
        </is>
      </c>
      <c r="K26" t="n">
        <v>60</v>
      </c>
      <c r="L26" t="inlineStr">
        <is>
          <t>25 Agustus 2026</t>
        </is>
      </c>
      <c r="M26" t="inlineStr">
        <is>
          <t>Konstruksi Gedung Hunian, Konstruksi Gedung Kesehatan, Konstruksi Gedung Lainnya, Konstruksi Gedung Pendidikan, Konstruksi Gedung Perkantoran</t>
        </is>
      </c>
      <c r="N26" t="inlineStr">
        <is>
          <t>K</t>
        </is>
      </c>
      <c r="O26" t="inlineStr">
        <is>
          <t>20230825</t>
        </is>
      </c>
      <c r="P26" t="inlineStr">
        <is>
          <t>Kepulauan Bangka Belitung</t>
        </is>
      </c>
      <c r="Q26" t="inlineStr"/>
    </row>
    <row r="27">
      <c r="A27" t="inlineStr">
        <is>
          <t>BANGUN SAPTA MAKMUR</t>
        </is>
      </c>
      <c r="B27" t="inlineStr">
        <is>
          <t>Kota Adm. Jakarta Selatan</t>
        </is>
      </c>
      <c r="C27" t="inlineStr">
        <is>
          <t>081284174218</t>
        </is>
      </c>
      <c r="D27" t="inlineStr">
        <is>
          <t>cs.bangunsaptamakmur@gmail.com</t>
        </is>
      </c>
      <c r="E27" t="inlineStr">
        <is>
          <t>https://lpjk.pu.go.id/search-badan-usaha-detail/eHFvTC9QK1E4NE9SaEFhZ25mdit3QT09</t>
        </is>
      </c>
      <c r="F27" t="n">
        <v>4</v>
      </c>
      <c r="G27" t="inlineStr">
        <is>
          <t>BG004, BG009</t>
        </is>
      </c>
      <c r="H27" t="inlineStr">
        <is>
          <t>7 Februari 2023</t>
        </is>
      </c>
      <c r="I27" s="2" t="n">
        <v>46259</v>
      </c>
      <c r="J27" t="inlineStr">
        <is>
          <t>Disetujui</t>
        </is>
      </c>
      <c r="K27" t="n">
        <v>60</v>
      </c>
      <c r="L27" t="inlineStr">
        <is>
          <t>25 Agustus 2026</t>
        </is>
      </c>
      <c r="M27" t="inlineStr">
        <is>
          <t>Konstruksi Gedung Lainnya, Konstruksi Gedung Perbelanjaan</t>
        </is>
      </c>
      <c r="N27" t="inlineStr">
        <is>
          <t>K</t>
        </is>
      </c>
      <c r="O27" t="inlineStr">
        <is>
          <t>20230826</t>
        </is>
      </c>
      <c r="P27" t="inlineStr">
        <is>
          <t>DKI Jakarta</t>
        </is>
      </c>
      <c r="Q27" t="inlineStr"/>
    </row>
    <row r="28">
      <c r="A28" t="inlineStr">
        <is>
          <t>BANU SURYA KONSTRUKSI</t>
        </is>
      </c>
      <c r="B28" t="inlineStr">
        <is>
          <t>Kab. Jember</t>
        </is>
      </c>
      <c r="C28" t="inlineStr">
        <is>
          <t>081217390656</t>
        </is>
      </c>
      <c r="D28" t="inlineStr">
        <is>
          <t>banusuryakontruksi@gmail.com</t>
        </is>
      </c>
      <c r="E28" t="inlineStr">
        <is>
          <t>https://lpjk.pu.go.id/search-badan-usaha-detail/bW5uN0ExT1dRdFdXSUdObkUwY2JVUT09</t>
        </is>
      </c>
      <c r="F28" t="n">
        <v>1</v>
      </c>
      <c r="G28" t="inlineStr">
        <is>
          <t>BG001</t>
        </is>
      </c>
      <c r="H28" t="inlineStr">
        <is>
          <t>16 Juni 2023</t>
        </is>
      </c>
      <c r="I28" s="2" t="n">
        <v>46259</v>
      </c>
      <c r="J28" t="inlineStr">
        <is>
          <t>Disetujui</t>
        </is>
      </c>
      <c r="K28" t="n">
        <v>60</v>
      </c>
      <c r="L28" t="inlineStr">
        <is>
          <t>25 Agustus 2026</t>
        </is>
      </c>
      <c r="M28" t="inlineStr">
        <is>
          <t>Konstruksi Gedung Hunian</t>
        </is>
      </c>
      <c r="N28" t="inlineStr">
        <is>
          <t>K</t>
        </is>
      </c>
      <c r="O28" t="inlineStr">
        <is>
          <t>20230821</t>
        </is>
      </c>
      <c r="P28" t="inlineStr">
        <is>
          <t>Jawa Timur</t>
        </is>
      </c>
      <c r="Q28" t="inlineStr"/>
    </row>
    <row r="29">
      <c r="A29" t="inlineStr">
        <is>
          <t>BANUA GEMILANG</t>
        </is>
      </c>
      <c r="B29" t="inlineStr">
        <is>
          <t>Kota Tarakan</t>
        </is>
      </c>
      <c r="C29" t="inlineStr">
        <is>
          <t>081253448666</t>
        </is>
      </c>
      <c r="D29" t="inlineStr">
        <is>
          <t>banua.gemilang.pt@gmail.com</t>
        </is>
      </c>
      <c r="E29" t="inlineStr">
        <is>
          <t>https://lpjk.pu.go.id/search-badan-usaha-detail/Ukl1a1ArOU5LQXBmSmNFK1A5aDU1UT09</t>
        </is>
      </c>
      <c r="F29" t="n">
        <v>1</v>
      </c>
      <c r="G29" t="inlineStr">
        <is>
          <t>BG007</t>
        </is>
      </c>
      <c r="H29" t="inlineStr">
        <is>
          <t>17 Oktober 2008</t>
        </is>
      </c>
      <c r="I29" s="2" t="n">
        <v>46259</v>
      </c>
      <c r="J29" t="inlineStr">
        <is>
          <t>Disetujui</t>
        </is>
      </c>
      <c r="K29" t="n">
        <v>60</v>
      </c>
      <c r="L29" t="inlineStr">
        <is>
          <t>25 Agustus 2026</t>
        </is>
      </c>
      <c r="M29" t="inlineStr">
        <is>
          <t>Konstruksi Gedung Penginapan</t>
        </is>
      </c>
      <c r="N29" t="inlineStr">
        <is>
          <t>K</t>
        </is>
      </c>
      <c r="O29" t="inlineStr">
        <is>
          <t>20230811</t>
        </is>
      </c>
      <c r="P29" t="inlineStr">
        <is>
          <t>Kalimantan Utara</t>
        </is>
      </c>
      <c r="Q29" t="inlineStr"/>
    </row>
    <row r="30">
      <c r="A30" t="inlineStr">
        <is>
          <t>BAROKAH</t>
        </is>
      </c>
      <c r="B30" t="inlineStr">
        <is>
          <t>Kab. Nagan Raya</t>
        </is>
      </c>
      <c r="C30" t="inlineStr">
        <is>
          <t>081360491691</t>
        </is>
      </c>
      <c r="D30" t="inlineStr">
        <is>
          <t>barokah.musliadi@gmail.com</t>
        </is>
      </c>
      <c r="E30" t="inlineStr">
        <is>
          <t>https://lpjk.pu.go.id/search-badan-usaha-detail/bk9ST2hlZTJOWGIwQk9hRVFtSkhYUT09</t>
        </is>
      </c>
      <c r="F30" t="n">
        <v>2</v>
      </c>
      <c r="G30" t="inlineStr">
        <is>
          <t>BG009</t>
        </is>
      </c>
      <c r="H30" t="inlineStr">
        <is>
          <t>10 Juli 2014</t>
        </is>
      </c>
      <c r="I30" s="2" t="n">
        <v>46259</v>
      </c>
      <c r="J30" t="inlineStr">
        <is>
          <t>Disetujui</t>
        </is>
      </c>
      <c r="K30" t="n">
        <v>60</v>
      </c>
      <c r="L30" t="inlineStr">
        <is>
          <t>25 Agustus 2026</t>
        </is>
      </c>
      <c r="M30" t="inlineStr">
        <is>
          <t>Konstruksi Gedung Lainnya</t>
        </is>
      </c>
      <c r="N30" t="inlineStr">
        <is>
          <t>K</t>
        </is>
      </c>
      <c r="O30" t="inlineStr">
        <is>
          <t>20230818</t>
        </is>
      </c>
      <c r="P30" t="inlineStr">
        <is>
          <t>Aceh</t>
        </is>
      </c>
      <c r="Q30" t="inlineStr"/>
    </row>
    <row r="31">
      <c r="A31" t="inlineStr">
        <is>
          <t>BAYUNTORO</t>
        </is>
      </c>
      <c r="B31" t="inlineStr">
        <is>
          <t>Kab. Gunungkidul</t>
        </is>
      </c>
      <c r="C31" t="inlineStr">
        <is>
          <t>081393025958</t>
        </is>
      </c>
      <c r="D31" t="inlineStr">
        <is>
          <t>cvbayuntoro23@gmail.com</t>
        </is>
      </c>
      <c r="E31" t="inlineStr">
        <is>
          <t>https://lpjk.pu.go.id/search-badan-usaha-detail/VSs1eUxmZVgwTFp1MXdEaDcvQU1xdz09</t>
        </is>
      </c>
      <c r="F31" t="n">
        <v>1</v>
      </c>
      <c r="G31" t="inlineStr">
        <is>
          <t>BG005</t>
        </is>
      </c>
      <c r="H31" t="inlineStr">
        <is>
          <t>2 Oktober 2006</t>
        </is>
      </c>
      <c r="I31" s="2" t="n">
        <v>46259</v>
      </c>
      <c r="J31" t="inlineStr">
        <is>
          <t>Disetujui</t>
        </is>
      </c>
      <c r="K31" t="n">
        <v>60</v>
      </c>
      <c r="L31" t="inlineStr">
        <is>
          <t>25 Agustus 2026</t>
        </is>
      </c>
      <c r="M31" t="inlineStr">
        <is>
          <t>Konstruksi Gedung Kesehatan</t>
        </is>
      </c>
      <c r="N31" t="inlineStr">
        <is>
          <t>K</t>
        </is>
      </c>
      <c r="O31" t="inlineStr">
        <is>
          <t>20230823</t>
        </is>
      </c>
      <c r="P31" t="inlineStr">
        <is>
          <t>DI Yogyakarta</t>
        </is>
      </c>
      <c r="Q31" t="inlineStr"/>
    </row>
    <row r="32">
      <c r="A32" t="inlineStr">
        <is>
          <t>BELLA DINAMIKA PRIMA</t>
        </is>
      </c>
      <c r="B32" t="inlineStr">
        <is>
          <t>Kota Tarakan</t>
        </is>
      </c>
      <c r="C32" t="inlineStr">
        <is>
          <t>081255564212</t>
        </is>
      </c>
      <c r="D32" t="inlineStr">
        <is>
          <t>estherpaberang@gmail.com</t>
        </is>
      </c>
      <c r="E32" t="inlineStr">
        <is>
          <t>https://lpjk.pu.go.id/search-badan-usaha-detail/NGExaDgxcDdwOUlUeGJVOTQrMWVWZz09</t>
        </is>
      </c>
      <c r="F32" t="n">
        <v>1</v>
      </c>
      <c r="G32" t="inlineStr">
        <is>
          <t>BS001</t>
        </is>
      </c>
      <c r="H32" t="inlineStr">
        <is>
          <t>14 Maret 2023</t>
        </is>
      </c>
      <c r="I32" s="2" t="n">
        <v>46259</v>
      </c>
      <c r="J32" t="inlineStr">
        <is>
          <t>Disetujui</t>
        </is>
      </c>
      <c r="K32" t="n">
        <v>60</v>
      </c>
      <c r="L32" t="inlineStr">
        <is>
          <t>25 Agustus 2026</t>
        </is>
      </c>
      <c r="M32" t="inlineStr">
        <is>
          <t>Konstruksi Bangunan Sipil Jalan</t>
        </is>
      </c>
      <c r="N32" t="inlineStr">
        <is>
          <t>K</t>
        </is>
      </c>
      <c r="O32" t="inlineStr">
        <is>
          <t>20230819</t>
        </is>
      </c>
      <c r="P32" t="inlineStr">
        <is>
          <t>Kalimantan Utara</t>
        </is>
      </c>
      <c r="Q32" t="inlineStr"/>
    </row>
    <row r="33">
      <c r="A33" t="inlineStr">
        <is>
          <t>BIG BENG</t>
        </is>
      </c>
      <c r="B33" t="inlineStr">
        <is>
          <t>Kab. Lombok Tengah</t>
        </is>
      </c>
      <c r="C33" t="inlineStr">
        <is>
          <t>-</t>
        </is>
      </c>
      <c r="D33" t="inlineStr">
        <is>
          <t>20bigbeng17@gmail.com</t>
        </is>
      </c>
      <c r="E33" t="inlineStr">
        <is>
          <t>https://lpjk.pu.go.id/search-badan-usaha-detail/aGF2dDF5R0pMczdmZ2tuQWkzbEk0QT09</t>
        </is>
      </c>
      <c r="F33" t="n">
        <v>1</v>
      </c>
      <c r="G33" t="inlineStr">
        <is>
          <t>BS004</t>
        </is>
      </c>
      <c r="H33" t="inlineStr">
        <is>
          <t>25 Januari 2017</t>
        </is>
      </c>
      <c r="I33" s="2" t="n">
        <v>46259</v>
      </c>
      <c r="J33" t="inlineStr">
        <is>
          <t>Disetujui</t>
        </is>
      </c>
      <c r="K33" t="n">
        <v>60</v>
      </c>
      <c r="L33" t="inlineStr">
        <is>
          <t>25 Agustus 2026</t>
        </is>
      </c>
      <c r="M33" t="inlineStr">
        <is>
          <t>Konstruksi Jaringan Irigasi dan Drainase</t>
        </is>
      </c>
      <c r="N33" t="inlineStr">
        <is>
          <t>K</t>
        </is>
      </c>
      <c r="O33" t="inlineStr">
        <is>
          <t>20230818</t>
        </is>
      </c>
      <c r="P33" t="inlineStr">
        <is>
          <t>Nusa Tenggara Barat</t>
        </is>
      </c>
      <c r="Q33" t="inlineStr"/>
    </row>
    <row r="34">
      <c r="A34" t="inlineStr">
        <is>
          <t>BUMI KONSTRINDO</t>
        </is>
      </c>
      <c r="B34" t="inlineStr">
        <is>
          <t>Kota Makassar</t>
        </is>
      </c>
      <c r="C34" t="inlineStr">
        <is>
          <t>0411860944</t>
        </is>
      </c>
      <c r="D34" t="inlineStr">
        <is>
          <t>bumi.konstrindo12@gmail.com</t>
        </is>
      </c>
      <c r="E34" t="inlineStr">
        <is>
          <t>https://lpjk.pu.go.id/search-badan-usaha-detail/ZFZNUncxY0dkMm5ITlpTRHpzNEQ5dz09</t>
        </is>
      </c>
      <c r="F34" t="n">
        <v>1</v>
      </c>
      <c r="G34" t="inlineStr">
        <is>
          <t>BG009</t>
        </is>
      </c>
      <c r="H34" t="inlineStr">
        <is>
          <t>12 Desember 2012</t>
        </is>
      </c>
      <c r="I34" s="2" t="n">
        <v>46259</v>
      </c>
      <c r="J34" t="inlineStr">
        <is>
          <t>Disetujui</t>
        </is>
      </c>
      <c r="K34" t="n">
        <v>60</v>
      </c>
      <c r="L34" t="inlineStr">
        <is>
          <t>25 Agustus 2026</t>
        </is>
      </c>
      <c r="M34" t="inlineStr">
        <is>
          <t>Konstruksi Gedung Lainnya</t>
        </is>
      </c>
      <c r="N34" t="inlineStr">
        <is>
          <t>K</t>
        </is>
      </c>
      <c r="O34" t="inlineStr">
        <is>
          <t>20230622</t>
        </is>
      </c>
      <c r="P34" t="inlineStr">
        <is>
          <t>Sulawesi Selatan</t>
        </is>
      </c>
      <c r="Q34" t="inlineStr"/>
    </row>
    <row r="35">
      <c r="A35" t="inlineStr">
        <is>
          <t>CAHAYA CLASIK</t>
        </is>
      </c>
      <c r="B35" t="inlineStr">
        <is>
          <t>Kota Surabaya</t>
        </is>
      </c>
      <c r="C35" t="inlineStr">
        <is>
          <t>08123173714</t>
        </is>
      </c>
      <c r="D35" t="inlineStr">
        <is>
          <t>cahayaclasik01@gmail.com</t>
        </is>
      </c>
      <c r="E35" t="inlineStr">
        <is>
          <t>https://lpjk.pu.go.id/search-badan-usaha-detail/Z3Uvb3c1ZDJnSXgwRTA4ZTM2dmZqZz09</t>
        </is>
      </c>
      <c r="F35" t="n">
        <v>1</v>
      </c>
      <c r="G35" t="inlineStr">
        <is>
          <t>BG009</t>
        </is>
      </c>
      <c r="H35" t="inlineStr">
        <is>
          <t>27 April 2017</t>
        </is>
      </c>
      <c r="I35" s="2" t="n">
        <v>46259</v>
      </c>
      <c r="J35" t="inlineStr">
        <is>
          <t>Disetujui</t>
        </is>
      </c>
      <c r="K35" t="n">
        <v>60</v>
      </c>
      <c r="L35" t="inlineStr">
        <is>
          <t>25 Agustus 2026</t>
        </is>
      </c>
      <c r="M35" t="inlineStr">
        <is>
          <t>Konstruksi Gedung Lainnya</t>
        </is>
      </c>
      <c r="N35" t="inlineStr">
        <is>
          <t>K</t>
        </is>
      </c>
      <c r="O35" t="inlineStr">
        <is>
          <t>20230809</t>
        </is>
      </c>
      <c r="P35" t="inlineStr">
        <is>
          <t>Jawa Timur</t>
        </is>
      </c>
      <c r="Q35" t="inlineStr"/>
    </row>
    <row r="36">
      <c r="A36" t="inlineStr">
        <is>
          <t>CAHAYA KALTARA BORNEO</t>
        </is>
      </c>
      <c r="B36" t="inlineStr">
        <is>
          <t>Kab. Malinau</t>
        </is>
      </c>
      <c r="C36" t="inlineStr">
        <is>
          <t>081392999972</t>
        </is>
      </c>
      <c r="D36" t="inlineStr">
        <is>
          <t>pelangikaltara22@gmail.com</t>
        </is>
      </c>
      <c r="E36" t="inlineStr">
        <is>
          <t>https://lpjk.pu.go.id/search-badan-usaha-detail/LzBQTlNjRE1LUzlROUJmS0VVTzJnQT09</t>
        </is>
      </c>
      <c r="F36" t="n">
        <v>2</v>
      </c>
      <c r="G36" t="inlineStr">
        <is>
          <t>BS001, PB010</t>
        </is>
      </c>
      <c r="H36" t="inlineStr">
        <is>
          <t>9 Juni 2022</t>
        </is>
      </c>
      <c r="I36" s="2" t="n">
        <v>46259</v>
      </c>
      <c r="J36" t="inlineStr">
        <is>
          <t>Pencabutan</t>
        </is>
      </c>
      <c r="K36" t="n">
        <v>60</v>
      </c>
      <c r="L36" t="inlineStr">
        <is>
          <t>25 Agustus 2026</t>
        </is>
      </c>
      <c r="M36" t="inlineStr">
        <is>
          <t>Konstruksi Bangunan Sipil Jalan, Pekerjaan Lanskap, Pertamanan, dan Penanaman Vegetasi</t>
        </is>
      </c>
      <c r="N36" t="inlineStr">
        <is>
          <t>K, Spesialis</t>
        </is>
      </c>
      <c r="O36" t="inlineStr">
        <is>
          <t>20230814, 20230826</t>
        </is>
      </c>
      <c r="P36" t="inlineStr">
        <is>
          <t>Kalimantan Utara</t>
        </is>
      </c>
      <c r="Q36" t="inlineStr"/>
    </row>
    <row r="37">
      <c r="A37" t="inlineStr">
        <is>
          <t>CAHAYA TURANGGA SAKTI</t>
        </is>
      </c>
      <c r="B37" t="inlineStr">
        <is>
          <t>Kab. Cilacap</t>
        </is>
      </c>
      <c r="C37" t="inlineStr">
        <is>
          <t>0282509695</t>
        </is>
      </c>
      <c r="D37" t="inlineStr">
        <is>
          <t>cahayaturanggasakti@yahoo.com</t>
        </is>
      </c>
      <c r="E37" t="inlineStr">
        <is>
          <t>https://lpjk.pu.go.id/search-badan-usaha-detail/YUV5WUNpT01EQytoeFFQTElIYUpCZz09</t>
        </is>
      </c>
      <c r="F37" t="n">
        <v>5</v>
      </c>
      <c r="G37" t="inlineStr">
        <is>
          <t>BG001, BG003, BG009, IN001, IN004</t>
        </is>
      </c>
      <c r="H37" t="inlineStr">
        <is>
          <t>1 Januari 2018</t>
        </is>
      </c>
      <c r="I37" s="2" t="n">
        <v>46259</v>
      </c>
      <c r="J37" t="inlineStr">
        <is>
          <t>Disetujui</t>
        </is>
      </c>
      <c r="K37" t="n">
        <v>60</v>
      </c>
      <c r="L37" t="inlineStr">
        <is>
          <t>25 Agustus 2026</t>
        </is>
      </c>
      <c r="M37" t="inlineStr">
        <is>
          <t>Instalasi Mekanikal, Instalasi Minyak dan Gas, Konstruksi Gedung Hunian, Konstruksi Gedung Industri, Konstruksi Gedung Lainnya</t>
        </is>
      </c>
      <c r="N37" t="inlineStr">
        <is>
          <t>K, Spesialis</t>
        </is>
      </c>
      <c r="O37" t="inlineStr">
        <is>
          <t>20230818, 20230824</t>
        </is>
      </c>
      <c r="P37" t="inlineStr">
        <is>
          <t>Jawa Tengah</t>
        </is>
      </c>
      <c r="Q37" t="inlineStr"/>
    </row>
    <row r="38">
      <c r="A38" t="inlineStr">
        <is>
          <t>CATUR PILAR CAKRAWALA</t>
        </is>
      </c>
      <c r="B38" t="inlineStr">
        <is>
          <t>Kota Padang</t>
        </is>
      </c>
      <c r="C38" t="inlineStr">
        <is>
          <t>081275309168</t>
        </is>
      </c>
      <c r="D38" t="inlineStr">
        <is>
          <t>pilarcakrawalacatur@gmail.com</t>
        </is>
      </c>
      <c r="E38" t="inlineStr">
        <is>
          <t>https://lpjk.pu.go.id/search-badan-usaha-detail/SHhzZDFRMFpzTTc0UjIweE52T0gwUT09</t>
        </is>
      </c>
      <c r="F38" t="n">
        <v>5</v>
      </c>
      <c r="G38" t="inlineStr">
        <is>
          <t>BG002, BG005, BG006, BG009, BS004</t>
        </is>
      </c>
      <c r="H38" t="inlineStr">
        <is>
          <t>29 Maret 2023</t>
        </is>
      </c>
      <c r="I38" s="2" t="n">
        <v>46259</v>
      </c>
      <c r="J38" t="inlineStr">
        <is>
          <t>Disetujui</t>
        </is>
      </c>
      <c r="K38" t="n">
        <v>60</v>
      </c>
      <c r="L38" t="inlineStr">
        <is>
          <t>25 Agustus 2026</t>
        </is>
      </c>
      <c r="M38" t="inlineStr">
        <is>
          <t>Konstruksi Gedung Kesehatan, Konstruksi Gedung Lainnya, Konstruksi Gedung Pendidikan, Konstruksi Gedung Perkantoran, Konstruksi Jaringan Irigasi dan Drainase</t>
        </is>
      </c>
      <c r="N38" t="inlineStr">
        <is>
          <t>K</t>
        </is>
      </c>
      <c r="O38" t="inlineStr">
        <is>
          <t>20230526, 20230825</t>
        </is>
      </c>
      <c r="P38" t="inlineStr">
        <is>
          <t>Sumatera Barat</t>
        </is>
      </c>
      <c r="Q38" t="inlineStr"/>
    </row>
    <row r="39">
      <c r="A39" t="inlineStr">
        <is>
          <t>CIPTA KRIDATAMA</t>
        </is>
      </c>
      <c r="B39" t="inlineStr">
        <is>
          <t>Kota Adm. Jakarta Selatan</t>
        </is>
      </c>
      <c r="C39" t="inlineStr">
        <is>
          <t>02129976733</t>
        </is>
      </c>
      <c r="D39" t="inlineStr">
        <is>
          <t>perizinan.ck@ciptakridatama.co.id</t>
        </is>
      </c>
      <c r="E39" t="inlineStr">
        <is>
          <t>https://lpjk.pu.go.id/search-badan-usaha-detail/N2xoR1hUV2lTSFNkalI4eVlKd3Mra3Q4WnM0cWhsZTFBcnI5ck5hV2tvdz0</t>
        </is>
      </c>
      <c r="F39" t="n">
        <v>2</v>
      </c>
      <c r="G39" t="inlineStr">
        <is>
          <t>PA001</t>
        </is>
      </c>
      <c r="H39" t="inlineStr">
        <is>
          <t>6 Agustus 2025</t>
        </is>
      </c>
      <c r="I39" s="2" t="n">
        <v>46259</v>
      </c>
      <c r="J39" t="inlineStr">
        <is>
          <t>Disetujui</t>
        </is>
      </c>
      <c r="K39" t="n">
        <v>60</v>
      </c>
      <c r="L39" t="inlineStr">
        <is>
          <t>25 Agustus 2026</t>
        </is>
      </c>
      <c r="M39" t="inlineStr">
        <is>
          <t>Penyewaan Peralatan Konstruksi</t>
        </is>
      </c>
      <c r="N39" t="inlineStr">
        <is>
          <t>Spesialis</t>
        </is>
      </c>
      <c r="O39" t="inlineStr">
        <is>
          <t>20230731</t>
        </is>
      </c>
      <c r="P39" t="inlineStr">
        <is>
          <t>DKI Jakarta</t>
        </is>
      </c>
      <c r="Q39" t="inlineStr"/>
    </row>
    <row r="40">
      <c r="A40" t="inlineStr">
        <is>
          <t>CIPTA PERSADA MANDIRI</t>
        </is>
      </c>
      <c r="B40" t="inlineStr">
        <is>
          <t>Kota Langsa</t>
        </is>
      </c>
      <c r="C40" t="inlineStr">
        <is>
          <t>082161605174</t>
        </is>
      </c>
      <c r="D40" t="inlineStr">
        <is>
          <t>cvciptapersadamandiri23@gmail.com</t>
        </is>
      </c>
      <c r="E40" t="inlineStr">
        <is>
          <t>https://lpjk.pu.go.id/search-badan-usaha-detail/c3dWNzJLTkVYU0JYQzZMc1BZKytZdz09</t>
        </is>
      </c>
      <c r="F40" t="n">
        <v>1</v>
      </c>
      <c r="G40" t="inlineStr">
        <is>
          <t>BS001</t>
        </is>
      </c>
      <c r="H40" t="inlineStr">
        <is>
          <t>15 Mei 2023</t>
        </is>
      </c>
      <c r="I40" s="2" t="n">
        <v>46259</v>
      </c>
      <c r="J40" t="inlineStr">
        <is>
          <t>Disetujui</t>
        </is>
      </c>
      <c r="K40" t="n">
        <v>60</v>
      </c>
      <c r="L40" t="inlineStr">
        <is>
          <t>25 Agustus 2026</t>
        </is>
      </c>
      <c r="M40" t="inlineStr">
        <is>
          <t>Konstruksi Bangunan Sipil Jalan</t>
        </is>
      </c>
      <c r="N40" t="inlineStr">
        <is>
          <t>K</t>
        </is>
      </c>
      <c r="O40" t="inlineStr">
        <is>
          <t>20230820</t>
        </is>
      </c>
      <c r="P40" t="inlineStr">
        <is>
          <t>Aceh</t>
        </is>
      </c>
      <c r="Q40" t="inlineStr"/>
    </row>
    <row r="41">
      <c r="A41" t="inlineStr">
        <is>
          <t>CITRA KARYA MANDIRI</t>
        </is>
      </c>
      <c r="B41" t="inlineStr">
        <is>
          <t>Kota Medan</t>
        </is>
      </c>
      <c r="C41" t="inlineStr">
        <is>
          <t>0811 6191 908_</t>
        </is>
      </c>
      <c r="D41" t="inlineStr">
        <is>
          <t>cv.citrakarya_mandiri@yahoo.com</t>
        </is>
      </c>
      <c r="E41" t="inlineStr">
        <is>
          <t>https://lpjk.pu.go.id/search-badan-usaha-detail/YjFGNTB5K2FRS1JDL3dUdWlpQ2pPdz09</t>
        </is>
      </c>
      <c r="F41" t="n">
        <v>4</v>
      </c>
      <c r="G41" t="inlineStr">
        <is>
          <t>BG002, BG005, BS002, BS004</t>
        </is>
      </c>
      <c r="H41" t="inlineStr">
        <is>
          <t>25 April 2014</t>
        </is>
      </c>
      <c r="I41" s="2" t="n">
        <v>46259</v>
      </c>
      <c r="J41" t="inlineStr">
        <is>
          <t>Disetujui</t>
        </is>
      </c>
      <c r="K41" t="n">
        <v>60</v>
      </c>
      <c r="L41" t="inlineStr">
        <is>
          <t>25 Agustus 2026</t>
        </is>
      </c>
      <c r="M41" t="inlineStr">
        <is>
          <t>Bangunan Sipil Jembatan, Jalan Layang, Fly Over, dan Underpass, Konstruksi Gedung Kesehatan, Konstruksi Gedung Perkantoran, Konstruksi Jaringan Irigasi dan Drainase</t>
        </is>
      </c>
      <c r="N41" t="inlineStr">
        <is>
          <t>K</t>
        </is>
      </c>
      <c r="O41" t="inlineStr">
        <is>
          <t>20230808, 20230811</t>
        </is>
      </c>
      <c r="P41" t="inlineStr">
        <is>
          <t>Sumatera Utara</t>
        </is>
      </c>
      <c r="Q41" t="inlineStr"/>
    </row>
    <row r="42">
      <c r="A42" t="inlineStr">
        <is>
          <t>CITRAMAS KENCANA</t>
        </is>
      </c>
      <c r="B42" t="inlineStr">
        <is>
          <t>Kota Semarang</t>
        </is>
      </c>
      <c r="C42" t="inlineStr">
        <is>
          <t>02486457152</t>
        </is>
      </c>
      <c r="D42" t="inlineStr">
        <is>
          <t>ciken77smg@gmail.com</t>
        </is>
      </c>
      <c r="E42" t="inlineStr">
        <is>
          <t>https://lpjk.pu.go.id/search-badan-usaha-detail/Q2lwOFhGVDczemtQTmlPMlVqNnNmQT09</t>
        </is>
      </c>
      <c r="F42" t="n">
        <v>10</v>
      </c>
      <c r="G42" t="inlineStr">
        <is>
          <t>BG001, BG002, BG005, BG006, BG009</t>
        </is>
      </c>
      <c r="H42" t="inlineStr">
        <is>
          <t>31 Desember 2007</t>
        </is>
      </c>
      <c r="I42" s="2" t="n">
        <v>46259</v>
      </c>
      <c r="J42" t="inlineStr">
        <is>
          <t>Disetujui</t>
        </is>
      </c>
      <c r="K42" t="n">
        <v>60</v>
      </c>
      <c r="L42" t="inlineStr">
        <is>
          <t>25 Agustus 2026</t>
        </is>
      </c>
      <c r="M42" t="inlineStr">
        <is>
          <t>Konstruksi Gedung Hunian, Konstruksi Gedung Kesehatan, Konstruksi Gedung Lainnya, Konstruksi Gedung Pendidikan, Konstruksi Gedung Perkantoran</t>
        </is>
      </c>
      <c r="N42" t="inlineStr">
        <is>
          <t>K</t>
        </is>
      </c>
      <c r="O42" t="inlineStr">
        <is>
          <t>20230824, 20230825</t>
        </is>
      </c>
      <c r="P42" t="inlineStr">
        <is>
          <t>Jawa Tengah</t>
        </is>
      </c>
      <c r="Q42" t="inlineStr"/>
    </row>
    <row r="43">
      <c r="A43" t="inlineStr">
        <is>
          <t>CV. AL_FAQHY HR CONSTUCTION</t>
        </is>
      </c>
      <c r="B43" t="inlineStr">
        <is>
          <t>Kab. Mamuju</t>
        </is>
      </c>
      <c r="C43" t="inlineStr">
        <is>
          <t>085225648333</t>
        </is>
      </c>
      <c r="D43" t="inlineStr">
        <is>
          <t>cvalfaqhy@gmail.com</t>
        </is>
      </c>
      <c r="E43" t="inlineStr">
        <is>
          <t>https://lpjk.pu.go.id/search-badan-usaha-detail/MFRTSC9kLzJBc2poREJzSkNab0Ywdz09</t>
        </is>
      </c>
      <c r="F43" t="n">
        <v>3</v>
      </c>
      <c r="G43" t="inlineStr">
        <is>
          <t>BG002, BG004, BG008</t>
        </is>
      </c>
      <c r="H43" t="inlineStr">
        <is>
          <t>10 Oktober 2016</t>
        </is>
      </c>
      <c r="I43" s="2" t="n">
        <v>46259</v>
      </c>
      <c r="J43" t="inlineStr">
        <is>
          <t>Disetujui</t>
        </is>
      </c>
      <c r="K43" t="n">
        <v>60</v>
      </c>
      <c r="L43" t="inlineStr">
        <is>
          <t>25 Agustus 2026</t>
        </is>
      </c>
      <c r="M43" t="inlineStr">
        <is>
          <t>Konstruksi Gedung Perbelanjaan, Konstruksi Gedung Perkantoran, Konstruksi Gedung Tempat Hiburan dan Olahraga</t>
        </is>
      </c>
      <c r="N43" t="inlineStr">
        <is>
          <t>K</t>
        </is>
      </c>
      <c r="O43" t="inlineStr">
        <is>
          <t>20230824</t>
        </is>
      </c>
      <c r="P43" t="inlineStr">
        <is>
          <t>Sulawesi Barat</t>
        </is>
      </c>
      <c r="Q43" t="inlineStr"/>
    </row>
    <row r="44">
      <c r="A44" t="inlineStr">
        <is>
          <t>CV. MITRA KONSTRUKSI</t>
        </is>
      </c>
      <c r="B44" t="inlineStr">
        <is>
          <t>Kab. Kepulauan Sangihe</t>
        </is>
      </c>
      <c r="C44" t="inlineStr">
        <is>
          <t>082189667777</t>
        </is>
      </c>
      <c r="D44" t="inlineStr">
        <is>
          <t>mitrakonstruksi.cv@gmail.com</t>
        </is>
      </c>
      <c r="E44" t="inlineStr">
        <is>
          <t>https://lpjk.pu.go.id/search-badan-usaha-detail/QVhYLzNxdi9LNkU2QURIekhScHVRQT09</t>
        </is>
      </c>
      <c r="F44" t="n">
        <v>2</v>
      </c>
      <c r="G44" t="inlineStr">
        <is>
          <t>BG002</t>
        </is>
      </c>
      <c r="H44" t="inlineStr">
        <is>
          <t>14 Februari 2014</t>
        </is>
      </c>
      <c r="I44" s="2" t="n">
        <v>46259</v>
      </c>
      <c r="J44" t="inlineStr">
        <is>
          <t>Disetujui</t>
        </is>
      </c>
      <c r="K44" t="n">
        <v>60</v>
      </c>
      <c r="L44" t="inlineStr">
        <is>
          <t>25 Agustus 2026</t>
        </is>
      </c>
      <c r="M44" t="inlineStr">
        <is>
          <t>Konstruksi Gedung Perkantoran</t>
        </is>
      </c>
      <c r="N44" t="inlineStr">
        <is>
          <t>K</t>
        </is>
      </c>
      <c r="O44" t="inlineStr">
        <is>
          <t>20230822</t>
        </is>
      </c>
      <c r="P44" t="inlineStr">
        <is>
          <t>Sulawesi Utara</t>
        </is>
      </c>
      <c r="Q44" t="inlineStr"/>
    </row>
    <row r="45">
      <c r="A45" t="inlineStr">
        <is>
          <t>DADI MANDIRI</t>
        </is>
      </c>
      <c r="B45" t="inlineStr">
        <is>
          <t>Kab. Sumbawa Barat</t>
        </is>
      </c>
      <c r="C45" t="inlineStr">
        <is>
          <t>082339574429</t>
        </is>
      </c>
      <c r="D45" t="inlineStr">
        <is>
          <t>dadisurya.art@gmail.com</t>
        </is>
      </c>
      <c r="E45" t="inlineStr">
        <is>
          <t>https://lpjk.pu.go.id/search-badan-usaha-detail/bVNDRWxycldyYmtxY3o4RUk5bm5VZz09</t>
        </is>
      </c>
      <c r="F45" t="n">
        <v>1</v>
      </c>
      <c r="G45" t="inlineStr">
        <is>
          <t>PL005</t>
        </is>
      </c>
      <c r="H45" t="inlineStr">
        <is>
          <t>1 Januari 2018</t>
        </is>
      </c>
      <c r="I45" s="2" t="n">
        <v>46259</v>
      </c>
      <c r="J45" t="inlineStr">
        <is>
          <t>Pembekuan</t>
        </is>
      </c>
      <c r="K45" t="n">
        <v>60</v>
      </c>
      <c r="L45" t="inlineStr">
        <is>
          <t>25 Agustus 2026</t>
        </is>
      </c>
      <c r="M45" t="inlineStr">
        <is>
          <t>Pembuatan/Pengeboran Sumur Air Tanah</t>
        </is>
      </c>
      <c r="N45" t="inlineStr">
        <is>
          <t>Spesialis</t>
        </is>
      </c>
      <c r="O45" t="inlineStr">
        <is>
          <t>20230824</t>
        </is>
      </c>
      <c r="P45" t="inlineStr">
        <is>
          <t>Nusa Tenggara Barat</t>
        </is>
      </c>
      <c r="Q45" t="inlineStr"/>
    </row>
    <row r="46">
      <c r="A46" t="inlineStr">
        <is>
          <t>DAMAR SEJATI MATARAM</t>
        </is>
      </c>
      <c r="B46" t="inlineStr">
        <is>
          <t>Kota Mataram</t>
        </is>
      </c>
      <c r="C46" t="inlineStr">
        <is>
          <t>N/A</t>
        </is>
      </c>
      <c r="D46" t="inlineStr">
        <is>
          <t>N/A</t>
        </is>
      </c>
      <c r="E46" t="inlineStr">
        <is>
          <t>https://lpjk.pu.go.id/search-badan-usaha-detail/L3ZaMjY5MjBScmdTWWllV0xNRGljZz09</t>
        </is>
      </c>
      <c r="F46" t="n">
        <v>1</v>
      </c>
      <c r="G46" t="inlineStr">
        <is>
          <t>BG004</t>
        </is>
      </c>
      <c r="H46" t="inlineStr"/>
      <c r="I46" s="2" t="n">
        <v>46259</v>
      </c>
      <c r="J46" t="inlineStr">
        <is>
          <t>Disetujui</t>
        </is>
      </c>
      <c r="K46" t="n">
        <v>60</v>
      </c>
      <c r="L46" t="inlineStr">
        <is>
          <t>25 Agustus 2026</t>
        </is>
      </c>
      <c r="M46" t="inlineStr">
        <is>
          <t>Konstruksi Gedung Perbelanjaan</t>
        </is>
      </c>
      <c r="N46" t="inlineStr">
        <is>
          <t>K</t>
        </is>
      </c>
      <c r="O46" t="inlineStr">
        <is>
          <t>20230816</t>
        </is>
      </c>
      <c r="P46" t="inlineStr">
        <is>
          <t>Nusa Tenggara Barat</t>
        </is>
      </c>
      <c r="Q46" t="inlineStr"/>
    </row>
    <row r="47">
      <c r="A47" t="inlineStr">
        <is>
          <t>DAYA CIPTA GROUP</t>
        </is>
      </c>
      <c r="B47" t="inlineStr">
        <is>
          <t>Kab. Bengkulu Utara</t>
        </is>
      </c>
      <c r="C47" t="inlineStr">
        <is>
          <t>082281880774</t>
        </is>
      </c>
      <c r="D47" t="inlineStr">
        <is>
          <t>cvdayacuptragroup@gmail.com</t>
        </is>
      </c>
      <c r="E47" t="inlineStr">
        <is>
          <t>https://lpjk.pu.go.id/search-badan-usaha-detail/R0RBVkdJTGsrY3N6TmVtSXlCZ09idz09</t>
        </is>
      </c>
      <c r="F47" t="n">
        <v>3</v>
      </c>
      <c r="G47" t="inlineStr">
        <is>
          <t>BG004, BG005, BG006</t>
        </is>
      </c>
      <c r="H47" t="inlineStr">
        <is>
          <t>4 Juli 2023</t>
        </is>
      </c>
      <c r="I47" s="2" t="n">
        <v>46259</v>
      </c>
      <c r="J47" t="inlineStr">
        <is>
          <t>Disetujui</t>
        </is>
      </c>
      <c r="K47" t="n">
        <v>60</v>
      </c>
      <c r="L47" t="inlineStr">
        <is>
          <t>25 Agustus 2026</t>
        </is>
      </c>
      <c r="M47" t="inlineStr">
        <is>
          <t>Konstruksi Gedung Kesehatan, Konstruksi Gedung Pendidikan, Konstruksi Gedung Perbelanjaan</t>
        </is>
      </c>
      <c r="N47" t="inlineStr">
        <is>
          <t>K</t>
        </is>
      </c>
      <c r="O47" t="inlineStr">
        <is>
          <t>20230816</t>
        </is>
      </c>
      <c r="P47" t="inlineStr">
        <is>
          <t>Bengkulu</t>
        </is>
      </c>
      <c r="Q47" t="inlineStr"/>
    </row>
    <row r="48">
      <c r="A48" t="inlineStr">
        <is>
          <t>DEWANA KONSTRUKSI</t>
        </is>
      </c>
      <c r="B48" t="inlineStr">
        <is>
          <t>Kab. Sukabumi</t>
        </is>
      </c>
      <c r="C48" t="inlineStr">
        <is>
          <t>085719968541</t>
        </is>
      </c>
      <c r="D48" t="inlineStr">
        <is>
          <t>dewanakonstruksi@gmail.com</t>
        </is>
      </c>
      <c r="E48" t="inlineStr">
        <is>
          <t>https://lpjk.pu.go.id/search-badan-usaha-detail/TjVWNCtzYUs0b0FEaG5CcmgvNndPZz09</t>
        </is>
      </c>
      <c r="F48" t="n">
        <v>4</v>
      </c>
      <c r="G48" t="inlineStr">
        <is>
          <t>BS001, BS002</t>
        </is>
      </c>
      <c r="H48" t="inlineStr">
        <is>
          <t>7 Januari 2016</t>
        </is>
      </c>
      <c r="I48" s="2" t="n">
        <v>46259</v>
      </c>
      <c r="J48" t="inlineStr">
        <is>
          <t>Pencabutan</t>
        </is>
      </c>
      <c r="K48" t="n">
        <v>60</v>
      </c>
      <c r="L48" t="inlineStr">
        <is>
          <t>25 Agustus 2026</t>
        </is>
      </c>
      <c r="M48" t="inlineStr">
        <is>
          <t>Bangunan Sipil Jembatan, Jalan Layang, Fly Over, dan Underpass, Konstruksi Bangunan Sipil Jalan</t>
        </is>
      </c>
      <c r="N48" t="inlineStr">
        <is>
          <t>K</t>
        </is>
      </c>
      <c r="O48" t="inlineStr">
        <is>
          <t>20230815</t>
        </is>
      </c>
      <c r="P48" t="inlineStr">
        <is>
          <t>Jawa Barat</t>
        </is>
      </c>
      <c r="Q48" t="inlineStr"/>
    </row>
    <row r="49">
      <c r="A49" t="inlineStr">
        <is>
          <t>DHARMA KARYA BERSAMA</t>
        </is>
      </c>
      <c r="B49" t="inlineStr">
        <is>
          <t>Kota Adm. Jakarta Selatan</t>
        </is>
      </c>
      <c r="C49" t="inlineStr">
        <is>
          <t>0218308495</t>
        </is>
      </c>
      <c r="D49" t="inlineStr">
        <is>
          <t>marketing@dharmakarya.co.id</t>
        </is>
      </c>
      <c r="E49" t="inlineStr">
        <is>
          <t>https://lpjk.pu.go.id/search-badan-usaha-detail/eVY2a2ZmTmtObE16VGREcGsxdzllZz09</t>
        </is>
      </c>
      <c r="F49" t="n">
        <v>1</v>
      </c>
      <c r="G49" t="inlineStr">
        <is>
          <t>IN002</t>
        </is>
      </c>
      <c r="H49" t="inlineStr">
        <is>
          <t>14 Maret 2017</t>
        </is>
      </c>
      <c r="I49" s="2" t="n">
        <v>46259</v>
      </c>
      <c r="J49" t="inlineStr">
        <is>
          <t>Disetujui</t>
        </is>
      </c>
      <c r="K49" t="n">
        <v>60</v>
      </c>
      <c r="L49" t="inlineStr">
        <is>
          <t>25 Agustus 2026</t>
        </is>
      </c>
      <c r="M49" t="inlineStr">
        <is>
          <t>Instalasi Telekomunikasi</t>
        </is>
      </c>
      <c r="N49" t="inlineStr">
        <is>
          <t>Spesialis</t>
        </is>
      </c>
      <c r="O49" t="inlineStr">
        <is>
          <t>20230823</t>
        </is>
      </c>
      <c r="P49" t="inlineStr">
        <is>
          <t>DKI Jakarta</t>
        </is>
      </c>
      <c r="Q49" t="inlineStr"/>
    </row>
    <row r="50">
      <c r="A50" t="inlineStr">
        <is>
          <t>DIKA MANDIRI</t>
        </is>
      </c>
      <c r="B50" t="inlineStr">
        <is>
          <t>Kab. Tuban</t>
        </is>
      </c>
      <c r="C50" t="inlineStr">
        <is>
          <t>081331502300</t>
        </is>
      </c>
      <c r="D50" t="inlineStr">
        <is>
          <t>cvdikamandiri@gmail.com</t>
        </is>
      </c>
      <c r="E50" t="inlineStr">
        <is>
          <t>https://lpjk.pu.go.id/search-badan-usaha-detail/bkRYWGJFY2VyL1J3Y0V2UGEySmdGQT09</t>
        </is>
      </c>
      <c r="F50" t="n">
        <v>1</v>
      </c>
      <c r="G50" t="inlineStr">
        <is>
          <t>BG009</t>
        </is>
      </c>
      <c r="H50" t="inlineStr">
        <is>
          <t>30 Juli 2001</t>
        </is>
      </c>
      <c r="I50" s="2" t="n">
        <v>46259</v>
      </c>
      <c r="J50" t="inlineStr">
        <is>
          <t>Disetujui</t>
        </is>
      </c>
      <c r="K50" t="n">
        <v>60</v>
      </c>
      <c r="L50" t="inlineStr">
        <is>
          <t>25 Agustus 2026</t>
        </is>
      </c>
      <c r="M50" t="inlineStr">
        <is>
          <t>Konstruksi Gedung Lainnya</t>
        </is>
      </c>
      <c r="N50" t="inlineStr">
        <is>
          <t>K</t>
        </is>
      </c>
      <c r="O50" t="inlineStr">
        <is>
          <t>20230821</t>
        </is>
      </c>
      <c r="P50" t="inlineStr">
        <is>
          <t>Jawa Timur</t>
        </is>
      </c>
      <c r="Q50" t="inlineStr"/>
    </row>
    <row r="51">
      <c r="A51" t="inlineStr">
        <is>
          <t>DINAMIKA</t>
        </is>
      </c>
      <c r="B51" t="inlineStr">
        <is>
          <t>Kab. Cirebon</t>
        </is>
      </c>
      <c r="C51" t="inlineStr">
        <is>
          <t>085317176002</t>
        </is>
      </c>
      <c r="D51" t="inlineStr">
        <is>
          <t>dinamikacrb@gmail.com</t>
        </is>
      </c>
      <c r="E51" t="inlineStr">
        <is>
          <t>https://lpjk.pu.go.id/search-badan-usaha-detail/Vm1vcDEzRFEzd0RETStCSUozNlludz09</t>
        </is>
      </c>
      <c r="F51" t="n">
        <v>12</v>
      </c>
      <c r="G51" t="inlineStr">
        <is>
          <t>BG002, BG005, BG006, BG009</t>
        </is>
      </c>
      <c r="H51" t="inlineStr">
        <is>
          <t>7 Februari 2002</t>
        </is>
      </c>
      <c r="I51" s="2" t="n">
        <v>46259</v>
      </c>
      <c r="J51" t="inlineStr">
        <is>
          <t>Disetujui</t>
        </is>
      </c>
      <c r="K51" t="n">
        <v>60</v>
      </c>
      <c r="L51" t="inlineStr">
        <is>
          <t>25 Agustus 2026</t>
        </is>
      </c>
      <c r="M51" t="inlineStr">
        <is>
          <t>Konstruksi Gedung Kesehatan, Konstruksi Gedung Lainnya, Konstruksi Gedung Pendidikan, Konstruksi Gedung Perkantoran</t>
        </is>
      </c>
      <c r="N51" t="inlineStr">
        <is>
          <t>K</t>
        </is>
      </c>
      <c r="O51" t="inlineStr">
        <is>
          <t>20230824, 20230825</t>
        </is>
      </c>
      <c r="P51" t="inlineStr">
        <is>
          <t>Jawa Barat</t>
        </is>
      </c>
      <c r="Q51" t="inlineStr"/>
    </row>
    <row r="52">
      <c r="A52" t="inlineStr">
        <is>
          <t>DUTA PUTRA MAS</t>
        </is>
      </c>
      <c r="B52" t="inlineStr">
        <is>
          <t>Kab. Ogan Komering Ulu</t>
        </is>
      </c>
      <c r="C52" t="inlineStr">
        <is>
          <t>085380057585</t>
        </is>
      </c>
      <c r="D52" t="inlineStr">
        <is>
          <t>masdutaputra@gmail.com</t>
        </is>
      </c>
      <c r="E52" t="inlineStr">
        <is>
          <t>https://lpjk.pu.go.id/search-badan-usaha-detail/OHpBaFQvQTZyeUptb2d6bGIwMjhkdz09</t>
        </is>
      </c>
      <c r="F52" t="n">
        <v>1</v>
      </c>
      <c r="G52" t="inlineStr">
        <is>
          <t>BS004</t>
        </is>
      </c>
      <c r="H52" t="inlineStr">
        <is>
          <t>14 Februari 2002</t>
        </is>
      </c>
      <c r="I52" s="2" t="n">
        <v>46259</v>
      </c>
      <c r="J52" t="inlineStr">
        <is>
          <t>Disetujui</t>
        </is>
      </c>
      <c r="K52" t="n">
        <v>60</v>
      </c>
      <c r="L52" t="inlineStr">
        <is>
          <t>25 Agustus 2026</t>
        </is>
      </c>
      <c r="M52" t="inlineStr">
        <is>
          <t>Konstruksi Jaringan Irigasi dan Drainase</t>
        </is>
      </c>
      <c r="N52" t="inlineStr">
        <is>
          <t>K</t>
        </is>
      </c>
      <c r="O52" t="inlineStr">
        <is>
          <t>20230824</t>
        </is>
      </c>
      <c r="P52" t="inlineStr">
        <is>
          <t>Sumatera Selatan</t>
        </is>
      </c>
      <c r="Q52" t="inlineStr"/>
    </row>
    <row r="53">
      <c r="A53" t="inlineStr">
        <is>
          <t>EMPAT BINTANG PAPUA</t>
        </is>
      </c>
      <c r="B53" t="inlineStr">
        <is>
          <t>Kab. Merauke</t>
        </is>
      </c>
      <c r="C53" t="inlineStr">
        <is>
          <t>082199966325</t>
        </is>
      </c>
      <c r="D53" t="inlineStr">
        <is>
          <t>empatbintangp@gmail.com</t>
        </is>
      </c>
      <c r="E53" t="inlineStr">
        <is>
          <t>https://lpjk.pu.go.id/search-badan-usaha-detail/NGYwek1JYjM2M1VxREg0VUtMWlh3UT09</t>
        </is>
      </c>
      <c r="F53" t="n">
        <v>1</v>
      </c>
      <c r="G53" t="inlineStr">
        <is>
          <t>BG002</t>
        </is>
      </c>
      <c r="H53" t="inlineStr">
        <is>
          <t>25 Januari 2016</t>
        </is>
      </c>
      <c r="I53" s="2" t="n">
        <v>46259</v>
      </c>
      <c r="J53" t="inlineStr">
        <is>
          <t>Disetujui</t>
        </is>
      </c>
      <c r="K53" t="n">
        <v>60</v>
      </c>
      <c r="L53" t="inlineStr">
        <is>
          <t>25 Agustus 2026</t>
        </is>
      </c>
      <c r="M53" t="inlineStr">
        <is>
          <t>Konstruksi Gedung Perkantoran</t>
        </is>
      </c>
      <c r="N53" t="inlineStr">
        <is>
          <t>K</t>
        </is>
      </c>
      <c r="O53" t="inlineStr">
        <is>
          <t>20230816</t>
        </is>
      </c>
      <c r="P53" t="inlineStr">
        <is>
          <t>Papua Selatan</t>
        </is>
      </c>
      <c r="Q53" t="inlineStr"/>
    </row>
    <row r="54">
      <c r="A54" t="inlineStr">
        <is>
          <t>FAJAR ARTA JAYA</t>
        </is>
      </c>
      <c r="B54" t="inlineStr">
        <is>
          <t>Kota Surakarta</t>
        </is>
      </c>
      <c r="C54" t="inlineStr">
        <is>
          <t>087736212706</t>
        </is>
      </c>
      <c r="D54" t="inlineStr">
        <is>
          <t>fajarartajaya@hotmail.com</t>
        </is>
      </c>
      <c r="E54" t="inlineStr">
        <is>
          <t>https://lpjk.pu.go.id/search-badan-usaha-detail/QTBWdlVxU01lZ3JQVnpwMXViQkh0dz09</t>
        </is>
      </c>
      <c r="F54" t="n">
        <v>1</v>
      </c>
      <c r="G54" t="inlineStr">
        <is>
          <t>BG006</t>
        </is>
      </c>
      <c r="H54" t="inlineStr">
        <is>
          <t>22 Juni 2012</t>
        </is>
      </c>
      <c r="I54" s="2" t="n">
        <v>46259</v>
      </c>
      <c r="J54" t="inlineStr">
        <is>
          <t>Disetujui</t>
        </is>
      </c>
      <c r="K54" t="n">
        <v>60</v>
      </c>
      <c r="L54" t="inlineStr">
        <is>
          <t>25 Agustus 2026</t>
        </is>
      </c>
      <c r="M54" t="inlineStr">
        <is>
          <t>Konstruksi Gedung Pendidikan</t>
        </is>
      </c>
      <c r="N54" t="inlineStr">
        <is>
          <t>K</t>
        </is>
      </c>
      <c r="O54" t="inlineStr">
        <is>
          <t>20230825</t>
        </is>
      </c>
      <c r="P54" t="inlineStr">
        <is>
          <t>Jawa Tengah</t>
        </is>
      </c>
      <c r="Q54" t="inlineStr"/>
    </row>
    <row r="55">
      <c r="A55" t="inlineStr">
        <is>
          <t>FAJAR MUSTIKA BROTHER</t>
        </is>
      </c>
      <c r="B55" t="inlineStr">
        <is>
          <t>Kab. Nabire</t>
        </is>
      </c>
      <c r="C55" t="inlineStr">
        <is>
          <t>081212322264</t>
        </is>
      </c>
      <c r="D55" t="inlineStr">
        <is>
          <t>ptfajarmustikab@gmail.com</t>
        </is>
      </c>
      <c r="E55" t="inlineStr">
        <is>
          <t>https://lpjk.pu.go.id/search-badan-usaha-detail/OUxGc3BDaTN6UTV0Z1ZzUmx3a0Qvdz09</t>
        </is>
      </c>
      <c r="F55" t="n">
        <v>1</v>
      </c>
      <c r="G55" t="inlineStr">
        <is>
          <t>BS001</t>
        </is>
      </c>
      <c r="H55" t="inlineStr">
        <is>
          <t>25 Agustus 2009</t>
        </is>
      </c>
      <c r="I55" s="2" t="n">
        <v>46259</v>
      </c>
      <c r="J55" t="inlineStr">
        <is>
          <t>Pencabutan</t>
        </is>
      </c>
      <c r="K55" t="n">
        <v>60</v>
      </c>
      <c r="L55" t="inlineStr">
        <is>
          <t>25 Agustus 2026</t>
        </is>
      </c>
      <c r="M55" t="inlineStr">
        <is>
          <t>Konstruksi Bangunan Sipil Jalan</t>
        </is>
      </c>
      <c r="N55" t="inlineStr">
        <is>
          <t>M</t>
        </is>
      </c>
      <c r="O55" t="inlineStr">
        <is>
          <t>20230824</t>
        </is>
      </c>
      <c r="P55" t="inlineStr">
        <is>
          <t>Papua</t>
        </is>
      </c>
      <c r="Q55" t="inlineStr"/>
    </row>
    <row r="56">
      <c r="A56" t="inlineStr">
        <is>
          <t>FAJAR SELATAN</t>
        </is>
      </c>
      <c r="B56" t="inlineStr">
        <is>
          <t>Kab. Bima</t>
        </is>
      </c>
      <c r="C56" t="inlineStr">
        <is>
          <t>085237741305</t>
        </is>
      </c>
      <c r="D56" t="inlineStr">
        <is>
          <t>fajarselatan05@gmail.com</t>
        </is>
      </c>
      <c r="E56" t="inlineStr">
        <is>
          <t>https://lpjk.pu.go.id/search-badan-usaha-detail/dExFdll0RzdKNmVqTzJrT2xOL3VnUT09</t>
        </is>
      </c>
      <c r="F56" t="n">
        <v>1</v>
      </c>
      <c r="G56" t="inlineStr">
        <is>
          <t>BS001</t>
        </is>
      </c>
      <c r="H56" t="inlineStr">
        <is>
          <t>22 Maret 2017</t>
        </is>
      </c>
      <c r="I56" s="2" t="n">
        <v>46259</v>
      </c>
      <c r="J56" t="inlineStr">
        <is>
          <t>Disetujui</t>
        </is>
      </c>
      <c r="K56" t="n">
        <v>60</v>
      </c>
      <c r="L56" t="inlineStr">
        <is>
          <t>25 Agustus 2026</t>
        </is>
      </c>
      <c r="M56" t="inlineStr">
        <is>
          <t>Konstruksi Bangunan Sipil Jalan</t>
        </is>
      </c>
      <c r="N56" t="inlineStr">
        <is>
          <t>K</t>
        </is>
      </c>
      <c r="O56" t="inlineStr">
        <is>
          <t>20230824</t>
        </is>
      </c>
      <c r="P56" t="inlineStr">
        <is>
          <t>Nusa Tenggara Barat</t>
        </is>
      </c>
      <c r="Q56" t="inlineStr"/>
    </row>
    <row r="57">
      <c r="A57" t="inlineStr">
        <is>
          <t>FITRAH JAYA ABADI</t>
        </is>
      </c>
      <c r="B57" t="inlineStr">
        <is>
          <t>Kota Sukabumi</t>
        </is>
      </c>
      <c r="C57" t="inlineStr">
        <is>
          <t>085846931666</t>
        </is>
      </c>
      <c r="D57" t="inlineStr">
        <is>
          <t>sopyanhadi1209@gmail.com</t>
        </is>
      </c>
      <c r="E57" t="inlineStr">
        <is>
          <t>https://lpjk.pu.go.id/search-badan-usaha-detail/SkVtbW9xMk9qT1B0WFBYS3BScXZmdz09</t>
        </is>
      </c>
      <c r="F57" t="n">
        <v>3</v>
      </c>
      <c r="G57" t="inlineStr">
        <is>
          <t>BG005, BG006, BG009</t>
        </is>
      </c>
      <c r="H57" t="inlineStr">
        <is>
          <t>8 Mei 2009</t>
        </is>
      </c>
      <c r="I57" s="2" t="n">
        <v>46259</v>
      </c>
      <c r="J57" t="inlineStr">
        <is>
          <t>Disetujui</t>
        </is>
      </c>
      <c r="K57" t="n">
        <v>60</v>
      </c>
      <c r="L57" t="inlineStr">
        <is>
          <t>25 Agustus 2026</t>
        </is>
      </c>
      <c r="M57" t="inlineStr">
        <is>
          <t>Konstruksi Gedung Kesehatan, Konstruksi Gedung Lainnya, Konstruksi Gedung Pendidikan</t>
        </is>
      </c>
      <c r="N57" t="inlineStr">
        <is>
          <t>K</t>
        </is>
      </c>
      <c r="O57" t="inlineStr">
        <is>
          <t>20230824</t>
        </is>
      </c>
      <c r="P57" t="inlineStr">
        <is>
          <t>Jawa Barat</t>
        </is>
      </c>
      <c r="Q57" t="inlineStr"/>
    </row>
    <row r="58">
      <c r="A58" t="inlineStr">
        <is>
          <t>GIBRAN BIMA PRATAMA</t>
        </is>
      </c>
      <c r="B58" t="inlineStr">
        <is>
          <t>Kota Bima</t>
        </is>
      </c>
      <c r="C58" t="inlineStr">
        <is>
          <t>0</t>
        </is>
      </c>
      <c r="D58" t="inlineStr">
        <is>
          <t>gibranbimapratama@gmail.com</t>
        </is>
      </c>
      <c r="E58" t="inlineStr">
        <is>
          <t>https://lpjk.pu.go.id/search-badan-usaha-detail/dVYrWW9oNnNKL1N6dVJSSHNaSUh4Zz09</t>
        </is>
      </c>
      <c r="F58" t="n">
        <v>1</v>
      </c>
      <c r="G58" t="inlineStr">
        <is>
          <t>BS001</t>
        </is>
      </c>
      <c r="H58" t="inlineStr">
        <is>
          <t>20 November 2020</t>
        </is>
      </c>
      <c r="I58" s="2" t="n">
        <v>46259</v>
      </c>
      <c r="J58" t="inlineStr">
        <is>
          <t>Disetujui</t>
        </is>
      </c>
      <c r="K58" t="n">
        <v>60</v>
      </c>
      <c r="L58" t="inlineStr">
        <is>
          <t>25 Agustus 2026</t>
        </is>
      </c>
      <c r="M58" t="inlineStr">
        <is>
          <t>Konstruksi Bangunan Sipil Jalan</t>
        </is>
      </c>
      <c r="N58" t="inlineStr">
        <is>
          <t>K</t>
        </is>
      </c>
      <c r="O58" t="inlineStr">
        <is>
          <t>20230825</t>
        </is>
      </c>
      <c r="P58" t="inlineStr">
        <is>
          <t>Nusa Tenggara Barat</t>
        </is>
      </c>
      <c r="Q58" t="inlineStr"/>
    </row>
    <row r="59">
      <c r="A59" t="inlineStr">
        <is>
          <t>GLOBAL KARYA SEJAHTERA RAYA</t>
        </is>
      </c>
      <c r="B59" t="inlineStr">
        <is>
          <t>Kab. Bantul</t>
        </is>
      </c>
      <c r="C59" t="inlineStr">
        <is>
          <t>02742824193</t>
        </is>
      </c>
      <c r="D59" t="inlineStr">
        <is>
          <t>gks.office@yahoo.com</t>
        </is>
      </c>
      <c r="E59" t="inlineStr">
        <is>
          <t>https://lpjk.pu.go.id/search-badan-usaha-detail/eGJsRVl5MWxza1pBejh4aXFXTmdRZz09</t>
        </is>
      </c>
      <c r="F59" t="n">
        <v>1</v>
      </c>
      <c r="G59" t="inlineStr">
        <is>
          <t>BG002</t>
        </is>
      </c>
      <c r="H59" t="inlineStr">
        <is>
          <t>28 Maret 2011</t>
        </is>
      </c>
      <c r="I59" s="2" t="n">
        <v>46259</v>
      </c>
      <c r="J59" t="inlineStr">
        <is>
          <t>Pencabutan</t>
        </is>
      </c>
      <c r="K59" t="n">
        <v>60</v>
      </c>
      <c r="L59" t="inlineStr">
        <is>
          <t>25 Agustus 2026</t>
        </is>
      </c>
      <c r="M59" t="inlineStr">
        <is>
          <t>Konstruksi Gedung Perkantoran</t>
        </is>
      </c>
      <c r="N59" t="inlineStr">
        <is>
          <t>K</t>
        </is>
      </c>
      <c r="O59" t="inlineStr">
        <is>
          <t>20230819</t>
        </is>
      </c>
      <c r="P59" t="inlineStr">
        <is>
          <t>DI Yogyakarta</t>
        </is>
      </c>
      <c r="Q59" t="inlineStr"/>
    </row>
    <row r="60">
      <c r="A60" t="inlineStr">
        <is>
          <t>GUNUNG MAS</t>
        </is>
      </c>
      <c r="B60" t="inlineStr">
        <is>
          <t>Kab. Musi Banyuasin</t>
        </is>
      </c>
      <c r="C60" t="inlineStr">
        <is>
          <t>0811714366</t>
        </is>
      </c>
      <c r="D60" t="inlineStr">
        <is>
          <t>gunungmas96@gmail.com</t>
        </is>
      </c>
      <c r="E60" t="inlineStr">
        <is>
          <t>https://lpjk.pu.go.id/search-badan-usaha-detail/cTRCdDYxdnVVSDlzeURNODRDR1l4QT09</t>
        </is>
      </c>
      <c r="F60" t="n">
        <v>2</v>
      </c>
      <c r="G60" t="inlineStr">
        <is>
          <t>BG006, BG009</t>
        </is>
      </c>
      <c r="H60" t="inlineStr">
        <is>
          <t>2 September 1987</t>
        </is>
      </c>
      <c r="I60" s="2" t="n">
        <v>46259</v>
      </c>
      <c r="J60" t="inlineStr">
        <is>
          <t>Disetujui</t>
        </is>
      </c>
      <c r="K60" t="n">
        <v>60</v>
      </c>
      <c r="L60" t="inlineStr">
        <is>
          <t>25 Agustus 2026</t>
        </is>
      </c>
      <c r="M60" t="inlineStr">
        <is>
          <t>Konstruksi Gedung Lainnya, Konstruksi Gedung Pendidikan</t>
        </is>
      </c>
      <c r="N60" t="inlineStr">
        <is>
          <t>K</t>
        </is>
      </c>
      <c r="O60" t="inlineStr">
        <is>
          <t>20230824</t>
        </is>
      </c>
      <c r="P60" t="inlineStr">
        <is>
          <t>Sumatera Selatan</t>
        </is>
      </c>
      <c r="Q60" t="inlineStr"/>
    </row>
    <row r="61">
      <c r="A61" t="inlineStr">
        <is>
          <t>HAKIKI</t>
        </is>
      </c>
      <c r="B61" t="inlineStr">
        <is>
          <t>Kota Banjarmasin</t>
        </is>
      </c>
      <c r="C61" t="inlineStr">
        <is>
          <t>082159604949</t>
        </is>
      </c>
      <c r="D61" t="inlineStr">
        <is>
          <t>cvhakiki@gmail.com</t>
        </is>
      </c>
      <c r="E61" t="inlineStr">
        <is>
          <t>https://lpjk.pu.go.id/search-badan-usaha-detail/WU9ScDREQ0VSV29hSEtvMCtjRnRxUT09</t>
        </is>
      </c>
      <c r="F61" t="n">
        <v>1</v>
      </c>
      <c r="G61" t="inlineStr">
        <is>
          <t>BG001</t>
        </is>
      </c>
      <c r="H61" t="inlineStr">
        <is>
          <t>15 Desember 2006</t>
        </is>
      </c>
      <c r="I61" s="2" t="n">
        <v>46259</v>
      </c>
      <c r="J61" t="inlineStr">
        <is>
          <t>Disetujui</t>
        </is>
      </c>
      <c r="K61" t="n">
        <v>60</v>
      </c>
      <c r="L61" t="inlineStr">
        <is>
          <t>25 Agustus 2026</t>
        </is>
      </c>
      <c r="M61" t="inlineStr">
        <is>
          <t>Konstruksi Gedung Hunian</t>
        </is>
      </c>
      <c r="N61" t="inlineStr">
        <is>
          <t>K</t>
        </is>
      </c>
      <c r="O61" t="inlineStr">
        <is>
          <t>20230825</t>
        </is>
      </c>
      <c r="P61" t="inlineStr">
        <is>
          <t>Kalimantan Selatan</t>
        </is>
      </c>
      <c r="Q61" t="inlineStr"/>
    </row>
    <row r="62">
      <c r="A62" t="inlineStr">
        <is>
          <t>HANAFA</t>
        </is>
      </c>
      <c r="B62" t="inlineStr">
        <is>
          <t>Kota Padang</t>
        </is>
      </c>
      <c r="C62" t="inlineStr">
        <is>
          <t>081267134436</t>
        </is>
      </c>
      <c r="D62" t="inlineStr">
        <is>
          <t>hanafa25@yahoo.com</t>
        </is>
      </c>
      <c r="E62" t="inlineStr">
        <is>
          <t>https://lpjk.pu.go.id/search-badan-usaha-detail/MW93aUQ3UnBJV3ZVSVdoYjlMWWoxQT09</t>
        </is>
      </c>
      <c r="F62" t="n">
        <v>1</v>
      </c>
      <c r="G62" t="inlineStr">
        <is>
          <t>BS004</t>
        </is>
      </c>
      <c r="H62" t="inlineStr">
        <is>
          <t>11 November 2019</t>
        </is>
      </c>
      <c r="I62" s="2" t="n">
        <v>46259</v>
      </c>
      <c r="J62" t="inlineStr">
        <is>
          <t>Disetujui</t>
        </is>
      </c>
      <c r="K62" t="n">
        <v>60</v>
      </c>
      <c r="L62" t="inlineStr">
        <is>
          <t>25 Agustus 2026</t>
        </is>
      </c>
      <c r="M62" t="inlineStr">
        <is>
          <t>Konstruksi Jaringan Irigasi dan Drainase</t>
        </is>
      </c>
      <c r="N62" t="inlineStr">
        <is>
          <t>K</t>
        </is>
      </c>
      <c r="O62" t="inlineStr">
        <is>
          <t>20230823</t>
        </is>
      </c>
      <c r="P62" t="inlineStr">
        <is>
          <t>Sumatera Barat</t>
        </is>
      </c>
      <c r="Q62" t="inlineStr"/>
    </row>
    <row r="63">
      <c r="A63" t="inlineStr">
        <is>
          <t>HARAPAN BARU</t>
        </is>
      </c>
      <c r="B63" t="inlineStr">
        <is>
          <t>Kota Tarakan</t>
        </is>
      </c>
      <c r="C63" t="inlineStr">
        <is>
          <t>081347399696</t>
        </is>
      </c>
      <c r="D63" t="inlineStr">
        <is>
          <t>cvharapanbaru.fh@gmail.com</t>
        </is>
      </c>
      <c r="E63" t="inlineStr">
        <is>
          <t>https://lpjk.pu.go.id/search-badan-usaha-detail/eWpyRjR3eGJjTWRyaWNaTCtHeG51QT09</t>
        </is>
      </c>
      <c r="F63" t="n">
        <v>2</v>
      </c>
      <c r="G63" t="inlineStr">
        <is>
          <t>BG009, BS001</t>
        </is>
      </c>
      <c r="H63" t="inlineStr">
        <is>
          <t>21 Oktober 2009</t>
        </is>
      </c>
      <c r="I63" s="2" t="n">
        <v>46259</v>
      </c>
      <c r="J63" t="inlineStr">
        <is>
          <t>Disetujui</t>
        </is>
      </c>
      <c r="K63" t="n">
        <v>60</v>
      </c>
      <c r="L63" t="inlineStr">
        <is>
          <t>25 Agustus 2026</t>
        </is>
      </c>
      <c r="M63" t="inlineStr">
        <is>
          <t>Konstruksi Bangunan Sipil Jalan, Konstruksi Gedung Lainnya</t>
        </is>
      </c>
      <c r="N63" t="inlineStr">
        <is>
          <t>K</t>
        </is>
      </c>
      <c r="O63" t="inlineStr">
        <is>
          <t>20230824</t>
        </is>
      </c>
      <c r="P63" t="inlineStr">
        <is>
          <t>Kalimantan Utara</t>
        </is>
      </c>
      <c r="Q63" t="inlineStr"/>
    </row>
    <row r="64">
      <c r="A64" t="inlineStr">
        <is>
          <t>HARAPAN KARYA PERKASA</t>
        </is>
      </c>
      <c r="B64" t="inlineStr">
        <is>
          <t>Kab. Karanganyar</t>
        </is>
      </c>
      <c r="C64" t="inlineStr">
        <is>
          <t>02714992423</t>
        </is>
      </c>
      <c r="D64" t="inlineStr">
        <is>
          <t>harapankaryaperkasa17@gmail.com</t>
        </is>
      </c>
      <c r="E64" t="inlineStr">
        <is>
          <t>https://lpjk.pu.go.id/search-badan-usaha-detail/MzBtSWVxTFM5Q2lpcFpMeSs2eXVkdz09</t>
        </is>
      </c>
      <c r="F64" t="n">
        <v>1</v>
      </c>
      <c r="G64" t="inlineStr">
        <is>
          <t>BS006</t>
        </is>
      </c>
      <c r="H64" t="inlineStr">
        <is>
          <t>19 Mei 2023</t>
        </is>
      </c>
      <c r="I64" s="2" t="n">
        <v>46259</v>
      </c>
      <c r="J64" t="inlineStr">
        <is>
          <t>Disetujui</t>
        </is>
      </c>
      <c r="K64" t="n">
        <v>60</v>
      </c>
      <c r="L64" t="inlineStr">
        <is>
          <t>25 Agustus 2026</t>
        </is>
      </c>
      <c r="M64" t="inlineStr">
        <is>
          <t>Konstruksi Bangunan Sipil Prasarana dan Sarana Sistem Pengolahan Limbah Padat, Cair, dan Gas</t>
        </is>
      </c>
      <c r="N64" t="inlineStr">
        <is>
          <t>K</t>
        </is>
      </c>
      <c r="O64" t="inlineStr">
        <is>
          <t>20230824</t>
        </is>
      </c>
      <c r="P64" t="inlineStr">
        <is>
          <t>Jawa Tengah</t>
        </is>
      </c>
      <c r="Q64" t="inlineStr"/>
    </row>
    <row r="65">
      <c r="A65" t="inlineStr">
        <is>
          <t>INDAH CONSTRUKSI</t>
        </is>
      </c>
      <c r="B65" t="inlineStr">
        <is>
          <t>Kab. Agam</t>
        </is>
      </c>
      <c r="C65" t="inlineStr">
        <is>
          <t>0752647244</t>
        </is>
      </c>
      <c r="D65" t="inlineStr">
        <is>
          <t>cvindahconstruksi@gmail.com</t>
        </is>
      </c>
      <c r="E65" t="inlineStr">
        <is>
          <t>https://lpjk.pu.go.id/search-badan-usaha-detail/OTE0cmx5c0NZVW1rdkw4bzNoTE93UT09</t>
        </is>
      </c>
      <c r="F65" t="n">
        <v>3</v>
      </c>
      <c r="G65" t="inlineStr">
        <is>
          <t>BG005, BG006, BG009</t>
        </is>
      </c>
      <c r="H65" t="inlineStr">
        <is>
          <t>1 September 1993</t>
        </is>
      </c>
      <c r="I65" s="2" t="n">
        <v>46259</v>
      </c>
      <c r="J65" t="inlineStr">
        <is>
          <t>Disetujui</t>
        </is>
      </c>
      <c r="K65" t="n">
        <v>60</v>
      </c>
      <c r="L65" t="inlineStr">
        <is>
          <t>25 Agustus 2026</t>
        </is>
      </c>
      <c r="M65" t="inlineStr">
        <is>
          <t>Konstruksi Gedung Kesehatan, Konstruksi Gedung Lainnya, Konstruksi Gedung Pendidikan</t>
        </is>
      </c>
      <c r="N65" t="inlineStr">
        <is>
          <t>K</t>
        </is>
      </c>
      <c r="O65" t="inlineStr">
        <is>
          <t>20230803</t>
        </is>
      </c>
      <c r="P65" t="inlineStr">
        <is>
          <t>Sumatera Barat</t>
        </is>
      </c>
      <c r="Q65" t="inlineStr"/>
    </row>
    <row r="66">
      <c r="A66" t="inlineStr">
        <is>
          <t>INDOTAMA GROUP</t>
        </is>
      </c>
      <c r="B66" t="inlineStr">
        <is>
          <t>Kab. Tulungagung</t>
        </is>
      </c>
      <c r="C66" t="inlineStr">
        <is>
          <t>082338929827</t>
        </is>
      </c>
      <c r="D66" t="inlineStr">
        <is>
          <t>cvindotamagroup@gmail.com</t>
        </is>
      </c>
      <c r="E66" t="inlineStr">
        <is>
          <t>https://lpjk.pu.go.id/search-badan-usaha-detail/dVJnVUxQWEV2bVlxRWsvUkVhSTRsQT09</t>
        </is>
      </c>
      <c r="F66" t="n">
        <v>1</v>
      </c>
      <c r="G66" t="inlineStr">
        <is>
          <t>BG005</t>
        </is>
      </c>
      <c r="H66" t="inlineStr">
        <is>
          <t>13 Oktober 2020</t>
        </is>
      </c>
      <c r="I66" s="2" t="n">
        <v>46259</v>
      </c>
      <c r="J66" t="inlineStr">
        <is>
          <t>Disetujui</t>
        </is>
      </c>
      <c r="K66" t="n">
        <v>60</v>
      </c>
      <c r="L66" t="inlineStr">
        <is>
          <t>25 Agustus 2026</t>
        </is>
      </c>
      <c r="M66" t="inlineStr">
        <is>
          <t>Konstruksi Gedung Kesehatan</t>
        </is>
      </c>
      <c r="N66" t="inlineStr">
        <is>
          <t>K</t>
        </is>
      </c>
      <c r="O66" t="inlineStr">
        <is>
          <t>20230823</t>
        </is>
      </c>
      <c r="P66" t="inlineStr">
        <is>
          <t>Jawa Timur</t>
        </is>
      </c>
      <c r="Q66" t="inlineStr"/>
    </row>
    <row r="67">
      <c r="A67" t="inlineStr">
        <is>
          <t>INSAN SINAR MANDIRI SITUBONDO</t>
        </is>
      </c>
      <c r="B67" t="inlineStr">
        <is>
          <t>Kab. Situbondo</t>
        </is>
      </c>
      <c r="C67" t="inlineStr">
        <is>
          <t>083892342682</t>
        </is>
      </c>
      <c r="D67" t="inlineStr">
        <is>
          <t>insansinarmandiri@gmail.com</t>
        </is>
      </c>
      <c r="E67" t="inlineStr">
        <is>
          <t>https://lpjk.pu.go.id/search-badan-usaha-detail/dVJJUmNFRVlhMWVWZWhWU0lESUNwZz09</t>
        </is>
      </c>
      <c r="F67" t="n">
        <v>1</v>
      </c>
      <c r="G67" t="inlineStr">
        <is>
          <t>BS001</t>
        </is>
      </c>
      <c r="H67" t="inlineStr">
        <is>
          <t>13 Desember 2022</t>
        </is>
      </c>
      <c r="I67" s="2" t="n">
        <v>46259</v>
      </c>
      <c r="J67" t="inlineStr">
        <is>
          <t>Disetujui</t>
        </is>
      </c>
      <c r="K67" t="n">
        <v>60</v>
      </c>
      <c r="L67" t="inlineStr">
        <is>
          <t>25 Agustus 2026</t>
        </is>
      </c>
      <c r="M67" t="inlineStr">
        <is>
          <t>Konstruksi Bangunan Sipil Jalan</t>
        </is>
      </c>
      <c r="N67" t="inlineStr">
        <is>
          <t>K</t>
        </is>
      </c>
      <c r="O67" t="inlineStr">
        <is>
          <t>20230818</t>
        </is>
      </c>
      <c r="P67" t="inlineStr">
        <is>
          <t>Jawa Timur</t>
        </is>
      </c>
      <c r="Q67" t="inlineStr"/>
    </row>
    <row r="68">
      <c r="A68" t="inlineStr">
        <is>
          <t>JALA RIZKI</t>
        </is>
      </c>
      <c r="B68" t="inlineStr">
        <is>
          <t>Kab. Probolinggo</t>
        </is>
      </c>
      <c r="C68" t="inlineStr">
        <is>
          <t>085330615041</t>
        </is>
      </c>
      <c r="D68" t="inlineStr">
        <is>
          <t>hartakarung66@gmail.com</t>
        </is>
      </c>
      <c r="E68" t="inlineStr">
        <is>
          <t>https://lpjk.pu.go.id/search-badan-usaha-detail/ZStBWmpCRHZzNWREVWNiZVFvRGk2UT09</t>
        </is>
      </c>
      <c r="F68" t="n">
        <v>1</v>
      </c>
      <c r="G68" t="inlineStr">
        <is>
          <t>BS001</t>
        </is>
      </c>
      <c r="H68" t="inlineStr">
        <is>
          <t>13 Maret 2023</t>
        </is>
      </c>
      <c r="I68" s="2" t="n">
        <v>46259</v>
      </c>
      <c r="J68" t="inlineStr">
        <is>
          <t>Disetujui</t>
        </is>
      </c>
      <c r="K68" t="n">
        <v>60</v>
      </c>
      <c r="L68" t="inlineStr">
        <is>
          <t>25 Agustus 2026</t>
        </is>
      </c>
      <c r="M68" t="inlineStr">
        <is>
          <t>Konstruksi Bangunan Sipil Jalan</t>
        </is>
      </c>
      <c r="N68" t="inlineStr">
        <is>
          <t>K</t>
        </is>
      </c>
      <c r="O68" t="inlineStr">
        <is>
          <t>20230817</t>
        </is>
      </c>
      <c r="P68" t="inlineStr">
        <is>
          <t>Jawa Timur</t>
        </is>
      </c>
      <c r="Q68" t="inlineStr"/>
    </row>
    <row r="69">
      <c r="A69" t="inlineStr">
        <is>
          <t>JASA NIAGA</t>
        </is>
      </c>
      <c r="B69" t="inlineStr">
        <is>
          <t>Kab. Malang</t>
        </is>
      </c>
      <c r="C69" t="inlineStr">
        <is>
          <t>0341552257</t>
        </is>
      </c>
      <c r="D69" t="inlineStr">
        <is>
          <t>jasaniaga@ymail.com</t>
        </is>
      </c>
      <c r="E69" t="inlineStr">
        <is>
          <t>https://lpjk.pu.go.id/search-badan-usaha-detail/MW1wUnJuL040Uk41Q1UzMTQxNWkvZz09</t>
        </is>
      </c>
      <c r="F69" t="n">
        <v>2</v>
      </c>
      <c r="G69" t="inlineStr">
        <is>
          <t>BG005, BS004</t>
        </is>
      </c>
      <c r="H69" t="inlineStr">
        <is>
          <t>31 Maret 1986</t>
        </is>
      </c>
      <c r="I69" s="2" t="n">
        <v>46259</v>
      </c>
      <c r="J69" t="inlineStr">
        <is>
          <t>Disetujui</t>
        </is>
      </c>
      <c r="K69" t="n">
        <v>60</v>
      </c>
      <c r="L69" t="inlineStr">
        <is>
          <t>25 Agustus 2026</t>
        </is>
      </c>
      <c r="M69" t="inlineStr">
        <is>
          <t>Konstruksi Gedung Kesehatan, Konstruksi Jaringan Irigasi dan Drainase</t>
        </is>
      </c>
      <c r="N69" t="inlineStr">
        <is>
          <t>K</t>
        </is>
      </c>
      <c r="O69" t="inlineStr">
        <is>
          <t>20230818</t>
        </is>
      </c>
      <c r="P69" t="inlineStr">
        <is>
          <t>Jawa Timur</t>
        </is>
      </c>
      <c r="Q69" t="inlineStr"/>
    </row>
    <row r="70">
      <c r="A70" t="inlineStr">
        <is>
          <t>JASA RIMBA</t>
        </is>
      </c>
      <c r="B70" t="inlineStr">
        <is>
          <t>Kab. Ogan Komering Ulu</t>
        </is>
      </c>
      <c r="C70" t="inlineStr">
        <is>
          <t>08236840168</t>
        </is>
      </c>
      <c r="D70" t="inlineStr">
        <is>
          <t>rimbacvjasa@gmail.com</t>
        </is>
      </c>
      <c r="E70" t="inlineStr">
        <is>
          <t>https://lpjk.pu.go.id/search-badan-usaha-detail/SUZ4WEpFT0JZM0E0UHNodWQxTjNKQT09</t>
        </is>
      </c>
      <c r="F70" t="n">
        <v>2</v>
      </c>
      <c r="G70" t="inlineStr">
        <is>
          <t>BG006, BS004</t>
        </is>
      </c>
      <c r="H70" t="inlineStr">
        <is>
          <t>5 Januari 2011</t>
        </is>
      </c>
      <c r="I70" s="2" t="n">
        <v>46259</v>
      </c>
      <c r="J70" t="inlineStr">
        <is>
          <t>Disetujui</t>
        </is>
      </c>
      <c r="K70" t="n">
        <v>60</v>
      </c>
      <c r="L70" t="inlineStr">
        <is>
          <t>25 Agustus 2026</t>
        </is>
      </c>
      <c r="M70" t="inlineStr">
        <is>
          <t>Konstruksi Gedung Pendidikan, Konstruksi Jaringan Irigasi dan Drainase</t>
        </is>
      </c>
      <c r="N70" t="inlineStr">
        <is>
          <t>K</t>
        </is>
      </c>
      <c r="O70" t="inlineStr">
        <is>
          <t>20230808</t>
        </is>
      </c>
      <c r="P70" t="inlineStr">
        <is>
          <t>Sumatera Selatan</t>
        </is>
      </c>
      <c r="Q70" t="inlineStr"/>
    </row>
    <row r="71">
      <c r="A71" t="inlineStr">
        <is>
          <t>JAWA EKPRESS INDOGAS</t>
        </is>
      </c>
      <c r="B71" t="inlineStr">
        <is>
          <t>Kab. Bojonegoro</t>
        </is>
      </c>
      <c r="C71" t="inlineStr">
        <is>
          <t>082244881628</t>
        </is>
      </c>
      <c r="D71" t="inlineStr">
        <is>
          <t>jawa.ekpress_indogas@yahoo.com</t>
        </is>
      </c>
      <c r="E71" t="inlineStr">
        <is>
          <t>https://lpjk.pu.go.id/search-badan-usaha-detail/aEpraFBQcW15aGtlRXVkVWxmOEJnQT09</t>
        </is>
      </c>
      <c r="F71" t="n">
        <v>4</v>
      </c>
      <c r="G71" t="inlineStr">
        <is>
          <t>BG001, BG002, BG005, BG006</t>
        </is>
      </c>
      <c r="H71" t="inlineStr">
        <is>
          <t>15 Januari 2015</t>
        </is>
      </c>
      <c r="I71" s="2" t="n">
        <v>46259</v>
      </c>
      <c r="J71" t="inlineStr">
        <is>
          <t>Disetujui, Pencabutan</t>
        </is>
      </c>
      <c r="K71" t="n">
        <v>60</v>
      </c>
      <c r="L71" t="inlineStr">
        <is>
          <t>25 Agustus 2026</t>
        </is>
      </c>
      <c r="M71" t="inlineStr">
        <is>
          <t>Konstruksi Gedung Hunian, Konstruksi Gedung Kesehatan, Konstruksi Gedung Pendidikan, Konstruksi Gedung Perkantoran</t>
        </is>
      </c>
      <c r="N71" t="inlineStr">
        <is>
          <t>K, M</t>
        </is>
      </c>
      <c r="O71" t="inlineStr">
        <is>
          <t>20230821, 20230822</t>
        </is>
      </c>
      <c r="P71" t="inlineStr">
        <is>
          <t>Jawa Timur</t>
        </is>
      </c>
      <c r="Q71" t="inlineStr"/>
    </row>
    <row r="72">
      <c r="A72" t="inlineStr">
        <is>
          <t>KARYA JATI INDAH</t>
        </is>
      </c>
      <c r="B72" t="inlineStr">
        <is>
          <t>Kab. Jombang</t>
        </is>
      </c>
      <c r="C72" t="inlineStr">
        <is>
          <t>085648942641</t>
        </is>
      </c>
      <c r="D72" t="inlineStr">
        <is>
          <t>karyajatiindah25@gmail.com</t>
        </is>
      </c>
      <c r="E72" t="inlineStr">
        <is>
          <t>https://lpjk.pu.go.id/search-badan-usaha-detail/M2lFV3FTaU1QT0R5QmkzMXJxTEkvdz09</t>
        </is>
      </c>
      <c r="F72" t="n">
        <v>1</v>
      </c>
      <c r="G72" t="inlineStr">
        <is>
          <t>BG001</t>
        </is>
      </c>
      <c r="H72" t="inlineStr">
        <is>
          <t>2 November 2015</t>
        </is>
      </c>
      <c r="I72" s="2" t="n">
        <v>46259</v>
      </c>
      <c r="J72" t="inlineStr">
        <is>
          <t>Disetujui</t>
        </is>
      </c>
      <c r="K72" t="n">
        <v>60</v>
      </c>
      <c r="L72" t="inlineStr">
        <is>
          <t>25 Agustus 2026</t>
        </is>
      </c>
      <c r="M72" t="inlineStr">
        <is>
          <t>Konstruksi Gedung Hunian</t>
        </is>
      </c>
      <c r="N72" t="inlineStr">
        <is>
          <t>K</t>
        </is>
      </c>
      <c r="O72" t="inlineStr">
        <is>
          <t>20230821</t>
        </is>
      </c>
      <c r="P72" t="inlineStr">
        <is>
          <t>Jawa Timur</t>
        </is>
      </c>
      <c r="Q72" t="inlineStr"/>
    </row>
    <row r="73">
      <c r="A73" t="inlineStr">
        <is>
          <t>KARYA PRIMA USAHATAMA</t>
        </is>
      </c>
      <c r="B73" t="inlineStr">
        <is>
          <t>Kota Adm. Jakarta Barat</t>
        </is>
      </c>
      <c r="C73" t="inlineStr">
        <is>
          <t>0216343558</t>
        </is>
      </c>
      <c r="D73" t="inlineStr">
        <is>
          <t>contact@pt-kpusahatama.com</t>
        </is>
      </c>
      <c r="E73" t="inlineStr">
        <is>
          <t>https://lpjk.pu.go.id/search-badan-usaha-detail/Tnd3eU5aVWV4UXVPSmJ0SU1vQmFQZz09</t>
        </is>
      </c>
      <c r="F73" t="n">
        <v>1</v>
      </c>
      <c r="G73" t="inlineStr">
        <is>
          <t>BG001</t>
        </is>
      </c>
      <c r="H73" t="inlineStr">
        <is>
          <t>21 November 2000</t>
        </is>
      </c>
      <c r="I73" s="2" t="n">
        <v>46259</v>
      </c>
      <c r="J73" t="inlineStr">
        <is>
          <t>Pencabutan</t>
        </is>
      </c>
      <c r="K73" t="n">
        <v>60</v>
      </c>
      <c r="L73" t="inlineStr">
        <is>
          <t>25 Agustus 2026</t>
        </is>
      </c>
      <c r="M73" t="inlineStr">
        <is>
          <t>Konstruksi Gedung Hunian</t>
        </is>
      </c>
      <c r="N73" t="inlineStr">
        <is>
          <t>M</t>
        </is>
      </c>
      <c r="O73" t="inlineStr">
        <is>
          <t>20230818</t>
        </is>
      </c>
      <c r="P73" t="inlineStr">
        <is>
          <t>DKI Jakarta</t>
        </is>
      </c>
      <c r="Q73" t="inlineStr"/>
    </row>
    <row r="74">
      <c r="A74" t="inlineStr">
        <is>
          <t>KARYA UTAMA BANGKIT</t>
        </is>
      </c>
      <c r="B74" t="inlineStr">
        <is>
          <t>Kab. Boyolali</t>
        </is>
      </c>
      <c r="C74" t="inlineStr">
        <is>
          <t>085742559173</t>
        </is>
      </c>
      <c r="D74" t="inlineStr">
        <is>
          <t>karyautamaboyolali@yahoo.co.id</t>
        </is>
      </c>
      <c r="E74" t="inlineStr">
        <is>
          <t>https://lpjk.pu.go.id/search-badan-usaha-detail/ZzJ4UGxwV0JCNTlBb3hlSUpXU29zdz09</t>
        </is>
      </c>
      <c r="F74" t="n">
        <v>2</v>
      </c>
      <c r="G74" t="inlineStr">
        <is>
          <t>BG002, BS010</t>
        </is>
      </c>
      <c r="H74" t="inlineStr">
        <is>
          <t>22 Juni 2012</t>
        </is>
      </c>
      <c r="I74" s="2" t="n">
        <v>46259</v>
      </c>
      <c r="J74" t="inlineStr">
        <is>
          <t>Disetujui</t>
        </is>
      </c>
      <c r="K74" t="n">
        <v>60</v>
      </c>
      <c r="L74" t="inlineStr">
        <is>
          <t>25 Agustus 2026</t>
        </is>
      </c>
      <c r="M74" t="inlineStr">
        <is>
          <t>Konstruksi Bangunan Prasarana Sumber Daya Air, Konstruksi Gedung Perkantoran</t>
        </is>
      </c>
      <c r="N74" t="inlineStr">
        <is>
          <t>M</t>
        </is>
      </c>
      <c r="O74" t="inlineStr">
        <is>
          <t>20230815</t>
        </is>
      </c>
      <c r="P74" t="inlineStr">
        <is>
          <t>Jawa Tengah</t>
        </is>
      </c>
      <c r="Q74" t="inlineStr"/>
    </row>
    <row r="75">
      <c r="A75" t="inlineStr">
        <is>
          <t>KEMBAR JAYA</t>
        </is>
      </c>
      <c r="B75" t="inlineStr">
        <is>
          <t>Kab. Takalar</t>
        </is>
      </c>
      <c r="C75" t="inlineStr">
        <is>
          <t>0811442901</t>
        </is>
      </c>
      <c r="D75" t="inlineStr">
        <is>
          <t>mustafakarimptc01@gmail.com</t>
        </is>
      </c>
      <c r="E75" t="inlineStr">
        <is>
          <t>https://lpjk.pu.go.id/search-badan-usaha-detail/MHEwNWxsSzdyU0RyU1drbzVqcytkZz09</t>
        </is>
      </c>
      <c r="F75" t="n">
        <v>4</v>
      </c>
      <c r="G75" t="inlineStr">
        <is>
          <t>BG002, BG005, BG006, BG009</t>
        </is>
      </c>
      <c r="H75" t="inlineStr">
        <is>
          <t>9 Desember 2014</t>
        </is>
      </c>
      <c r="I75" s="2" t="n">
        <v>46259</v>
      </c>
      <c r="J75" t="inlineStr">
        <is>
          <t>Disetujui</t>
        </is>
      </c>
      <c r="K75" t="n">
        <v>60</v>
      </c>
      <c r="L75" t="inlineStr">
        <is>
          <t>25 Agustus 2026</t>
        </is>
      </c>
      <c r="M75" t="inlineStr">
        <is>
          <t>Konstruksi Gedung Kesehatan, Konstruksi Gedung Lainnya, Konstruksi Gedung Pendidikan, Konstruksi Gedung Perkantoran</t>
        </is>
      </c>
      <c r="N75" t="inlineStr">
        <is>
          <t>K</t>
        </is>
      </c>
      <c r="O75" t="inlineStr">
        <is>
          <t>20230824, 20230825</t>
        </is>
      </c>
      <c r="P75" t="inlineStr">
        <is>
          <t>Sulawesi Selatan</t>
        </is>
      </c>
      <c r="Q75" t="inlineStr"/>
    </row>
    <row r="76">
      <c r="A76" t="inlineStr">
        <is>
          <t>KEMBAR JAYA ABADI</t>
        </is>
      </c>
      <c r="B76" t="inlineStr">
        <is>
          <t>Kab. Boyolali</t>
        </is>
      </c>
      <c r="C76" t="inlineStr">
        <is>
          <t>0276324616</t>
        </is>
      </c>
      <c r="D76" t="inlineStr">
        <is>
          <t>mas3jokoo@gmail.com</t>
        </is>
      </c>
      <c r="E76" t="inlineStr">
        <is>
          <t>https://lpjk.pu.go.id/search-badan-usaha-detail/QmUvcGx5NzZGSDJJSmRWdmJrbThCZz09</t>
        </is>
      </c>
      <c r="F76" t="n">
        <v>1</v>
      </c>
      <c r="G76" t="inlineStr">
        <is>
          <t>BG004</t>
        </is>
      </c>
      <c r="H76" t="inlineStr">
        <is>
          <t>15 November 2011</t>
        </is>
      </c>
      <c r="I76" s="2" t="n">
        <v>46259</v>
      </c>
      <c r="J76" t="inlineStr">
        <is>
          <t>Disetujui</t>
        </is>
      </c>
      <c r="K76" t="n">
        <v>60</v>
      </c>
      <c r="L76" t="inlineStr">
        <is>
          <t>25 Agustus 2026</t>
        </is>
      </c>
      <c r="M76" t="inlineStr">
        <is>
          <t>Konstruksi Gedung Perbelanjaan</t>
        </is>
      </c>
      <c r="N76" t="inlineStr">
        <is>
          <t>K</t>
        </is>
      </c>
      <c r="O76" t="inlineStr">
        <is>
          <t>20230811</t>
        </is>
      </c>
      <c r="P76" t="inlineStr">
        <is>
          <t>Jawa Tengah</t>
        </is>
      </c>
      <c r="Q76" t="inlineStr"/>
    </row>
    <row r="77">
      <c r="A77" t="inlineStr">
        <is>
          <t>KHANARAZA</t>
        </is>
      </c>
      <c r="B77" t="inlineStr">
        <is>
          <t>Kota Binjai</t>
        </is>
      </c>
      <c r="C77" t="inlineStr">
        <is>
          <t>085360041133</t>
        </is>
      </c>
      <c r="D77" t="inlineStr">
        <is>
          <t>cvkhanaraza@gmail.com</t>
        </is>
      </c>
      <c r="E77" t="inlineStr">
        <is>
          <t>https://lpjk.pu.go.id/search-badan-usaha-detail/NFF1aDBjOHowQzlPelpBS0ZNSGtXZz09</t>
        </is>
      </c>
      <c r="F77" t="n">
        <v>2</v>
      </c>
      <c r="G77" t="inlineStr">
        <is>
          <t>BG006, BS004</t>
        </is>
      </c>
      <c r="H77" t="inlineStr">
        <is>
          <t>26 September 2016</t>
        </is>
      </c>
      <c r="I77" s="2" t="n">
        <v>46259</v>
      </c>
      <c r="J77" t="inlineStr">
        <is>
          <t>Disetujui</t>
        </is>
      </c>
      <c r="K77" t="n">
        <v>60</v>
      </c>
      <c r="L77" t="inlineStr">
        <is>
          <t>25 Agustus 2026</t>
        </is>
      </c>
      <c r="M77" t="inlineStr">
        <is>
          <t>Konstruksi Gedung Pendidikan, Konstruksi Jaringan Irigasi dan Drainase</t>
        </is>
      </c>
      <c r="N77" t="inlineStr">
        <is>
          <t>K</t>
        </is>
      </c>
      <c r="O77" t="inlineStr">
        <is>
          <t>20230823, 20230825</t>
        </is>
      </c>
      <c r="P77" t="inlineStr">
        <is>
          <t>Sumatera Utara</t>
        </is>
      </c>
      <c r="Q77" t="inlineStr"/>
    </row>
    <row r="78">
      <c r="A78" t="inlineStr">
        <is>
          <t>KUSUMA DEWA</t>
        </is>
      </c>
      <c r="B78" t="inlineStr">
        <is>
          <t>Kab. Jember</t>
        </is>
      </c>
      <c r="C78" t="inlineStr">
        <is>
          <t>081330267984</t>
        </is>
      </c>
      <c r="D78" t="inlineStr">
        <is>
          <t>cv.kusumadewa@gmail.com</t>
        </is>
      </c>
      <c r="E78" t="inlineStr">
        <is>
          <t>https://lpjk.pu.go.id/search-badan-usaha-detail/Rkc1QjU1NXUxbXk4MFRhTmtTSnZSZz09</t>
        </is>
      </c>
      <c r="F78" t="n">
        <v>1</v>
      </c>
      <c r="G78" t="inlineStr">
        <is>
          <t>BS004</t>
        </is>
      </c>
      <c r="H78" t="inlineStr">
        <is>
          <t>2 Maret 2017</t>
        </is>
      </c>
      <c r="I78" s="2" t="n">
        <v>46259</v>
      </c>
      <c r="J78" t="inlineStr">
        <is>
          <t>Disetujui</t>
        </is>
      </c>
      <c r="K78" t="n">
        <v>60</v>
      </c>
      <c r="L78" t="inlineStr">
        <is>
          <t>25 Agustus 2026</t>
        </is>
      </c>
      <c r="M78" t="inlineStr">
        <is>
          <t>Konstruksi Jaringan Irigasi dan Drainase</t>
        </is>
      </c>
      <c r="N78" t="inlineStr">
        <is>
          <t>K</t>
        </is>
      </c>
      <c r="O78" t="inlineStr">
        <is>
          <t>20230818</t>
        </is>
      </c>
      <c r="P78" t="inlineStr">
        <is>
          <t>Jawa Timur</t>
        </is>
      </c>
      <c r="Q78" t="inlineStr"/>
    </row>
    <row r="79">
      <c r="A79" t="inlineStr">
        <is>
          <t>LANGGENG</t>
        </is>
      </c>
      <c r="B79" t="inlineStr">
        <is>
          <t>Kab. Bondowoso</t>
        </is>
      </c>
      <c r="C79" t="inlineStr">
        <is>
          <t>08123363023</t>
        </is>
      </c>
      <c r="D79" t="inlineStr">
        <is>
          <t>dhikofredly@yahoo.com</t>
        </is>
      </c>
      <c r="E79" t="inlineStr">
        <is>
          <t>https://lpjk.pu.go.id/search-badan-usaha-detail/ektEMXcvaVpqMDg2V2VNMXVVeUR6Zz09</t>
        </is>
      </c>
      <c r="F79" t="n">
        <v>2</v>
      </c>
      <c r="G79" t="inlineStr">
        <is>
          <t>BG002</t>
        </is>
      </c>
      <c r="H79" t="inlineStr">
        <is>
          <t>9 Maret 1983</t>
        </is>
      </c>
      <c r="I79" s="2" t="n">
        <v>46259</v>
      </c>
      <c r="J79" t="inlineStr">
        <is>
          <t>Disetujui</t>
        </is>
      </c>
      <c r="K79" t="n">
        <v>60</v>
      </c>
      <c r="L79" t="inlineStr">
        <is>
          <t>25 Agustus 2026</t>
        </is>
      </c>
      <c r="M79" t="inlineStr">
        <is>
          <t>Konstruksi Gedung Perkantoran</t>
        </is>
      </c>
      <c r="N79" t="inlineStr">
        <is>
          <t>K</t>
        </is>
      </c>
      <c r="O79" t="inlineStr">
        <is>
          <t>20230823</t>
        </is>
      </c>
      <c r="P79" t="inlineStr">
        <is>
          <t>Jawa Timur</t>
        </is>
      </c>
      <c r="Q79" t="inlineStr"/>
    </row>
    <row r="80">
      <c r="A80" t="inlineStr">
        <is>
          <t>LEO FERDINAND</t>
        </is>
      </c>
      <c r="B80" t="inlineStr">
        <is>
          <t>Kota Sukabumi</t>
        </is>
      </c>
      <c r="C80" t="inlineStr">
        <is>
          <t>082113745696</t>
        </is>
      </c>
      <c r="D80" t="inlineStr">
        <is>
          <t>ferdinandwatileo@gmail.com</t>
        </is>
      </c>
      <c r="E80" t="inlineStr">
        <is>
          <t>https://lpjk.pu.go.id/search-badan-usaha-detail/ci8xZWZLVzBhQS8zUklzaTdiUlhtUT09</t>
        </is>
      </c>
      <c r="F80" t="n">
        <v>1</v>
      </c>
      <c r="G80" t="inlineStr">
        <is>
          <t>BS001</t>
        </is>
      </c>
      <c r="H80" t="inlineStr">
        <is>
          <t>26 Mei 2006</t>
        </is>
      </c>
      <c r="I80" s="2" t="n">
        <v>46259</v>
      </c>
      <c r="J80" t="inlineStr">
        <is>
          <t>Pencabutan</t>
        </is>
      </c>
      <c r="K80" t="n">
        <v>60</v>
      </c>
      <c r="L80" t="inlineStr">
        <is>
          <t>25 Agustus 2026</t>
        </is>
      </c>
      <c r="M80" t="inlineStr">
        <is>
          <t>Konstruksi Bangunan Sipil Jalan</t>
        </is>
      </c>
      <c r="N80" t="inlineStr">
        <is>
          <t>K</t>
        </is>
      </c>
      <c r="O80" t="inlineStr">
        <is>
          <t>20230809</t>
        </is>
      </c>
      <c r="P80" t="inlineStr">
        <is>
          <t>Jawa Barat</t>
        </is>
      </c>
      <c r="Q80" t="inlineStr"/>
    </row>
    <row r="81">
      <c r="A81" t="inlineStr">
        <is>
          <t>LILI PUTRA</t>
        </is>
      </c>
      <c r="B81" t="inlineStr">
        <is>
          <t>Kab. Garut</t>
        </is>
      </c>
      <c r="C81" t="inlineStr">
        <is>
          <t>0</t>
        </is>
      </c>
      <c r="D81" t="inlineStr">
        <is>
          <t>cvliliputra@gmail.com</t>
        </is>
      </c>
      <c r="E81" t="inlineStr">
        <is>
          <t>https://lpjk.pu.go.id/search-badan-usaha-detail/YUdaem5RWkdoazdKMWcvTHprY2ZZUT09</t>
        </is>
      </c>
      <c r="F81" t="n">
        <v>1</v>
      </c>
      <c r="G81" t="inlineStr">
        <is>
          <t>BG005</t>
        </is>
      </c>
      <c r="H81" t="inlineStr">
        <is>
          <t>20 September 2016</t>
        </is>
      </c>
      <c r="I81" s="2" t="n">
        <v>46259</v>
      </c>
      <c r="J81" t="inlineStr">
        <is>
          <t>Disetujui</t>
        </is>
      </c>
      <c r="K81" t="n">
        <v>60</v>
      </c>
      <c r="L81" t="inlineStr">
        <is>
          <t>25 Agustus 2026</t>
        </is>
      </c>
      <c r="M81" t="inlineStr">
        <is>
          <t>Konstruksi Gedung Kesehatan</t>
        </is>
      </c>
      <c r="N81" t="inlineStr">
        <is>
          <t>K</t>
        </is>
      </c>
      <c r="O81" t="inlineStr">
        <is>
          <t>20230824</t>
        </is>
      </c>
      <c r="P81" t="inlineStr">
        <is>
          <t>Jawa Barat</t>
        </is>
      </c>
      <c r="Q81" t="inlineStr"/>
    </row>
    <row r="82">
      <c r="A82" t="inlineStr">
        <is>
          <t>LINTANG TIARA CIPTA</t>
        </is>
      </c>
      <c r="B82" t="inlineStr">
        <is>
          <t>Kota Cilegon</t>
        </is>
      </c>
      <c r="C82" t="inlineStr">
        <is>
          <t>081388184327</t>
        </is>
      </c>
      <c r="D82" t="inlineStr">
        <is>
          <t>suyatno.tiaracipta@gmail.com</t>
        </is>
      </c>
      <c r="E82" t="inlineStr">
        <is>
          <t>https://lpjk.pu.go.id/search-badan-usaha-detail/MG9WOXpXRCtJQ3JKdXJtQkdJM3I5QT09</t>
        </is>
      </c>
      <c r="F82" t="n">
        <v>4</v>
      </c>
      <c r="G82" t="inlineStr">
        <is>
          <t>BG001, BG009</t>
        </is>
      </c>
      <c r="H82" t="inlineStr">
        <is>
          <t>29 November 2007</t>
        </is>
      </c>
      <c r="I82" s="2" t="n">
        <v>46259</v>
      </c>
      <c r="J82" t="inlineStr">
        <is>
          <t>Pencabutan</t>
        </is>
      </c>
      <c r="K82" t="n">
        <v>60</v>
      </c>
      <c r="L82" t="inlineStr">
        <is>
          <t>25 Agustus 2026</t>
        </is>
      </c>
      <c r="M82" t="inlineStr">
        <is>
          <t>Konstruksi Gedung Hunian, Konstruksi Gedung Lainnya</t>
        </is>
      </c>
      <c r="N82" t="inlineStr">
        <is>
          <t>K</t>
        </is>
      </c>
      <c r="O82" t="inlineStr">
        <is>
          <t>20230825</t>
        </is>
      </c>
      <c r="P82" t="inlineStr">
        <is>
          <t>Banten</t>
        </is>
      </c>
      <c r="Q82" t="inlineStr"/>
    </row>
    <row r="83">
      <c r="A83" t="inlineStr">
        <is>
          <t>LUMBUNG MAS RAYA</t>
        </is>
      </c>
      <c r="B83" t="inlineStr">
        <is>
          <t>Kab. Tanah Laut</t>
        </is>
      </c>
      <c r="C83" t="inlineStr">
        <is>
          <t>081258118620</t>
        </is>
      </c>
      <c r="D83" t="inlineStr">
        <is>
          <t>lumbungmas.raya2019@gmail.com</t>
        </is>
      </c>
      <c r="E83" t="inlineStr">
        <is>
          <t>https://lpjk.pu.go.id/search-badan-usaha-detail/bzcxaU9lQXBpMGV0QVd3enlQMzVzZz09</t>
        </is>
      </c>
      <c r="F83" t="n">
        <v>2</v>
      </c>
      <c r="G83" t="inlineStr">
        <is>
          <t>BG009, BS001</t>
        </is>
      </c>
      <c r="H83" t="inlineStr">
        <is>
          <t>12 Januari 2016</t>
        </is>
      </c>
      <c r="I83" s="2" t="n">
        <v>46259</v>
      </c>
      <c r="J83" t="inlineStr">
        <is>
          <t>Disetujui</t>
        </is>
      </c>
      <c r="K83" t="n">
        <v>60</v>
      </c>
      <c r="L83" t="inlineStr">
        <is>
          <t>25 Agustus 2026</t>
        </is>
      </c>
      <c r="M83" t="inlineStr">
        <is>
          <t>Konstruksi Bangunan Sipil Jalan, Konstruksi Gedung Lainnya</t>
        </is>
      </c>
      <c r="N83" t="inlineStr">
        <is>
          <t>K</t>
        </is>
      </c>
      <c r="O83" t="inlineStr">
        <is>
          <t>20230818</t>
        </is>
      </c>
      <c r="P83" t="inlineStr">
        <is>
          <t>Kalimantan Selatan</t>
        </is>
      </c>
      <c r="Q83" t="inlineStr"/>
    </row>
    <row r="84">
      <c r="A84" t="inlineStr">
        <is>
          <t>MABRUR KALIMUSYADA</t>
        </is>
      </c>
      <c r="B84" t="inlineStr">
        <is>
          <t>Kab. Garut</t>
        </is>
      </c>
      <c r="C84" t="inlineStr">
        <is>
          <t>085295914275</t>
        </is>
      </c>
      <c r="D84" t="inlineStr">
        <is>
          <t>perizinan.mabrur@gmail.com</t>
        </is>
      </c>
      <c r="E84" t="inlineStr">
        <is>
          <t>https://lpjk.pu.go.id/search-badan-usaha-detail/N0w2KzEvSHFCOXpzN0xPZXAyQ1hpQT09</t>
        </is>
      </c>
      <c r="F84" t="n">
        <v>1</v>
      </c>
      <c r="G84" t="inlineStr">
        <is>
          <t>BG009</t>
        </is>
      </c>
      <c r="H84" t="inlineStr">
        <is>
          <t>8 Juni 2023</t>
        </is>
      </c>
      <c r="I84" s="2" t="n">
        <v>46259</v>
      </c>
      <c r="J84" t="inlineStr">
        <is>
          <t>Disetujui</t>
        </is>
      </c>
      <c r="K84" t="n">
        <v>60</v>
      </c>
      <c r="L84" t="inlineStr">
        <is>
          <t>25 Agustus 2026</t>
        </is>
      </c>
      <c r="M84" t="inlineStr">
        <is>
          <t>Konstruksi Gedung Lainnya</t>
        </is>
      </c>
      <c r="N84" t="inlineStr">
        <is>
          <t>K</t>
        </is>
      </c>
      <c r="O84" t="inlineStr">
        <is>
          <t>20230824</t>
        </is>
      </c>
      <c r="P84" t="inlineStr">
        <is>
          <t>Jawa Barat</t>
        </is>
      </c>
      <c r="Q84" t="inlineStr"/>
    </row>
    <row r="85">
      <c r="A85" t="inlineStr">
        <is>
          <t>MANOLO PUTRA</t>
        </is>
      </c>
      <c r="B85" t="inlineStr">
        <is>
          <t>Kota Bandung</t>
        </is>
      </c>
      <c r="C85" t="inlineStr">
        <is>
          <t>0226016317</t>
        </is>
      </c>
      <c r="D85" t="inlineStr">
        <is>
          <t>manoloputra@yahoo.com</t>
        </is>
      </c>
      <c r="E85" t="inlineStr">
        <is>
          <t>https://lpjk.pu.go.id/search-badan-usaha-detail/bTRsRjdDangvTGdMZW1QT2t6U1ZMUT09</t>
        </is>
      </c>
      <c r="F85" t="n">
        <v>1</v>
      </c>
      <c r="G85" t="inlineStr">
        <is>
          <t>IN007</t>
        </is>
      </c>
      <c r="H85" t="inlineStr">
        <is>
          <t>1 Maret 2011</t>
        </is>
      </c>
      <c r="I85" s="2" t="n">
        <v>46259</v>
      </c>
      <c r="J85" t="inlineStr">
        <is>
          <t>Pembekuan</t>
        </is>
      </c>
      <c r="K85" t="n">
        <v>60</v>
      </c>
      <c r="L85" t="inlineStr">
        <is>
          <t>25 Agustus 2026</t>
        </is>
      </c>
      <c r="M85" t="inlineStr">
        <is>
          <t>Instalasi Saluran Air (Plambing)</t>
        </is>
      </c>
      <c r="N85" t="inlineStr">
        <is>
          <t>Spesialis</t>
        </is>
      </c>
      <c r="O85" t="inlineStr">
        <is>
          <t>20230824</t>
        </is>
      </c>
      <c r="P85" t="inlineStr">
        <is>
          <t>Jawa Barat</t>
        </is>
      </c>
      <c r="Q85" t="inlineStr"/>
    </row>
    <row r="86">
      <c r="A86" t="inlineStr">
        <is>
          <t>MARTA PUTRA PERKASA</t>
        </is>
      </c>
      <c r="B86" t="inlineStr">
        <is>
          <t>Kab. Kulon Progo</t>
        </is>
      </c>
      <c r="C86" t="inlineStr">
        <is>
          <t>081328026075</t>
        </is>
      </c>
      <c r="D86" t="inlineStr">
        <is>
          <t>cv.martaputraperkasa@yahoo.co.id</t>
        </is>
      </c>
      <c r="E86" t="inlineStr">
        <is>
          <t>https://lpjk.pu.go.id/search-badan-usaha-detail/VW1uOEp0RWhIdnlvdTZYTzZLbWRzdz09</t>
        </is>
      </c>
      <c r="F86" t="n">
        <v>2</v>
      </c>
      <c r="G86" t="inlineStr">
        <is>
          <t>BS001, BS004</t>
        </is>
      </c>
      <c r="H86" t="inlineStr">
        <is>
          <t>22 Januari 2014</t>
        </is>
      </c>
      <c r="I86" s="2" t="n">
        <v>46259</v>
      </c>
      <c r="J86" t="inlineStr">
        <is>
          <t>Disetujui</t>
        </is>
      </c>
      <c r="K86" t="n">
        <v>60</v>
      </c>
      <c r="L86" t="inlineStr">
        <is>
          <t>25 Agustus 2026</t>
        </is>
      </c>
      <c r="M86" t="inlineStr">
        <is>
          <t>Konstruksi Bangunan Sipil Jalan, Konstruksi Jaringan Irigasi dan Drainase</t>
        </is>
      </c>
      <c r="N86" t="inlineStr">
        <is>
          <t>K</t>
        </is>
      </c>
      <c r="O86" t="inlineStr">
        <is>
          <t>20230810</t>
        </is>
      </c>
      <c r="P86" t="inlineStr">
        <is>
          <t>DI Yogyakarta</t>
        </is>
      </c>
      <c r="Q86" t="inlineStr"/>
    </row>
    <row r="87">
      <c r="A87" t="inlineStr">
        <is>
          <t>MATA AIR</t>
        </is>
      </c>
      <c r="B87" t="inlineStr">
        <is>
          <t>Kota Sawahlunto</t>
        </is>
      </c>
      <c r="C87" t="inlineStr">
        <is>
          <t>081363486633</t>
        </is>
      </c>
      <c r="D87" t="inlineStr">
        <is>
          <t>mataaircv@yahoo.com</t>
        </is>
      </c>
      <c r="E87" t="inlineStr">
        <is>
          <t>https://lpjk.pu.go.id/search-badan-usaha-detail/cVRUNHpKSkpUZ0YrOGVjK3hTYjFwUT09</t>
        </is>
      </c>
      <c r="F87" t="n">
        <v>1</v>
      </c>
      <c r="G87" t="inlineStr">
        <is>
          <t>BG005</t>
        </is>
      </c>
      <c r="H87" t="inlineStr">
        <is>
          <t>3 Februari 2016</t>
        </is>
      </c>
      <c r="I87" s="2" t="n">
        <v>46259</v>
      </c>
      <c r="J87" t="inlineStr">
        <is>
          <t>Disetujui</t>
        </is>
      </c>
      <c r="K87" t="n">
        <v>60</v>
      </c>
      <c r="L87" t="inlineStr">
        <is>
          <t>25 Agustus 2026</t>
        </is>
      </c>
      <c r="M87" t="inlineStr">
        <is>
          <t>Konstruksi Gedung Kesehatan</t>
        </is>
      </c>
      <c r="N87" t="inlineStr">
        <is>
          <t>K</t>
        </is>
      </c>
      <c r="O87" t="inlineStr">
        <is>
          <t>20230815</t>
        </is>
      </c>
      <c r="P87" t="inlineStr">
        <is>
          <t>Sumatera Barat</t>
        </is>
      </c>
      <c r="Q87" t="inlineStr"/>
    </row>
    <row r="88">
      <c r="A88" t="inlineStr">
        <is>
          <t>MEDIA AMALIA PERDANA</t>
        </is>
      </c>
      <c r="B88" t="inlineStr">
        <is>
          <t>Kab. Bolaang Mongondow Selatan</t>
        </is>
      </c>
      <c r="C88" t="inlineStr">
        <is>
          <t>082195591551</t>
        </is>
      </c>
      <c r="D88" t="inlineStr">
        <is>
          <t>pontohjoe5@gmail.com</t>
        </is>
      </c>
      <c r="E88" t="inlineStr">
        <is>
          <t>https://lpjk.pu.go.id/search-badan-usaha-detail/TU5zZXNwbmZ3RmY1N04xYTk5WHhnZz09</t>
        </is>
      </c>
      <c r="F88" t="n">
        <v>2</v>
      </c>
      <c r="G88" t="inlineStr">
        <is>
          <t>BG005, BG009</t>
        </is>
      </c>
      <c r="H88" t="inlineStr">
        <is>
          <t>23 April 2009</t>
        </is>
      </c>
      <c r="I88" s="2" t="n">
        <v>46259</v>
      </c>
      <c r="J88" t="inlineStr">
        <is>
          <t>Disetujui</t>
        </is>
      </c>
      <c r="K88" t="n">
        <v>60</v>
      </c>
      <c r="L88" t="inlineStr">
        <is>
          <t>25 Agustus 2026</t>
        </is>
      </c>
      <c r="M88" t="inlineStr">
        <is>
          <t>Konstruksi Gedung Kesehatan, Konstruksi Gedung Lainnya</t>
        </is>
      </c>
      <c r="N88" t="inlineStr">
        <is>
          <t>K</t>
        </is>
      </c>
      <c r="O88" t="inlineStr">
        <is>
          <t>20230822, 20230824</t>
        </is>
      </c>
      <c r="P88" t="inlineStr">
        <is>
          <t>Sulawesi Utara</t>
        </is>
      </c>
      <c r="Q88" t="inlineStr"/>
    </row>
    <row r="89">
      <c r="A89" t="inlineStr">
        <is>
          <t>MEGA SURYANA</t>
        </is>
      </c>
      <c r="B89" t="inlineStr">
        <is>
          <t>Kab. Kubu Raya</t>
        </is>
      </c>
      <c r="C89" t="inlineStr">
        <is>
          <t>081345158338</t>
        </is>
      </c>
      <c r="D89" t="inlineStr">
        <is>
          <t>irvanfauzi882@gmail.com</t>
        </is>
      </c>
      <c r="E89" t="inlineStr">
        <is>
          <t>https://lpjk.pu.go.id/search-badan-usaha-detail/S3JJY0xIOEpreDZyKzA4czlWd0FXUT09</t>
        </is>
      </c>
      <c r="F89" t="n">
        <v>2</v>
      </c>
      <c r="G89" t="inlineStr">
        <is>
          <t>BS004</t>
        </is>
      </c>
      <c r="H89" t="inlineStr">
        <is>
          <t>24 Februari 2009</t>
        </is>
      </c>
      <c r="I89" s="2" t="n">
        <v>46259</v>
      </c>
      <c r="J89" t="inlineStr">
        <is>
          <t>Disetujui</t>
        </is>
      </c>
      <c r="K89" t="n">
        <v>60</v>
      </c>
      <c r="L89" t="inlineStr">
        <is>
          <t>25 Agustus 2026</t>
        </is>
      </c>
      <c r="M89" t="inlineStr">
        <is>
          <t>Konstruksi Jaringan Irigasi dan Drainase</t>
        </is>
      </c>
      <c r="N89" t="inlineStr">
        <is>
          <t>K</t>
        </is>
      </c>
      <c r="O89" t="inlineStr">
        <is>
          <t>20230825</t>
        </is>
      </c>
      <c r="P89" t="inlineStr">
        <is>
          <t>Kalimantan Barat</t>
        </is>
      </c>
      <c r="Q89" t="inlineStr"/>
    </row>
    <row r="90">
      <c r="A90" t="inlineStr">
        <is>
          <t>METRO INDO WAHANATAKA</t>
        </is>
      </c>
      <c r="B90" t="inlineStr">
        <is>
          <t>Kota Mataram</t>
        </is>
      </c>
      <c r="C90" t="inlineStr">
        <is>
          <t>0370633436</t>
        </is>
      </c>
      <c r="D90" t="inlineStr">
        <is>
          <t>ptmetroindo@gmail.com</t>
        </is>
      </c>
      <c r="E90" t="inlineStr">
        <is>
          <t>https://lpjk.pu.go.id/search-badan-usaha-detail/aWJKY0l1ZEQ3aER4U3FOSGdLVFlrQT09</t>
        </is>
      </c>
      <c r="F90" t="n">
        <v>1</v>
      </c>
      <c r="G90" t="inlineStr">
        <is>
          <t>BS010</t>
        </is>
      </c>
      <c r="H90" t="inlineStr">
        <is>
          <t>30 November 2005</t>
        </is>
      </c>
      <c r="I90" s="2" t="n">
        <v>46259</v>
      </c>
      <c r="J90" t="inlineStr">
        <is>
          <t>Disetujui</t>
        </is>
      </c>
      <c r="K90" t="n">
        <v>60</v>
      </c>
      <c r="L90" t="inlineStr">
        <is>
          <t>25 Agustus 2026</t>
        </is>
      </c>
      <c r="M90" t="inlineStr">
        <is>
          <t>Konstruksi Bangunan Prasarana Sumber Daya Air</t>
        </is>
      </c>
      <c r="N90" t="inlineStr">
        <is>
          <t>M</t>
        </is>
      </c>
      <c r="O90" t="inlineStr">
        <is>
          <t>20230717</t>
        </is>
      </c>
      <c r="P90" t="inlineStr">
        <is>
          <t>Nusa Tenggara Barat</t>
        </is>
      </c>
      <c r="Q90" t="inlineStr"/>
    </row>
    <row r="91">
      <c r="A91" t="inlineStr">
        <is>
          <t>MITRA INTI KONTRAKTOR</t>
        </is>
      </c>
      <c r="B91" t="inlineStr">
        <is>
          <t>Kab. Ngawi</t>
        </is>
      </c>
      <c r="C91" t="inlineStr">
        <is>
          <t>085895139001</t>
        </is>
      </c>
      <c r="D91" t="inlineStr">
        <is>
          <t>mitra.inti.kontraktor@gmail.com</t>
        </is>
      </c>
      <c r="E91" t="inlineStr">
        <is>
          <t>https://lpjk.pu.go.id/search-badan-usaha-detail/TTdmcU1XU1loeVRwS2MyYmVLSEVwdz09</t>
        </is>
      </c>
      <c r="F91" t="n">
        <v>3</v>
      </c>
      <c r="G91" t="inlineStr">
        <is>
          <t>BG005, BG006, BG009</t>
        </is>
      </c>
      <c r="H91" t="inlineStr">
        <is>
          <t>31 Januari 2023</t>
        </is>
      </c>
      <c r="I91" s="2" t="n">
        <v>46259</v>
      </c>
      <c r="J91" t="inlineStr">
        <is>
          <t>Disetujui</t>
        </is>
      </c>
      <c r="K91" t="n">
        <v>60</v>
      </c>
      <c r="L91" t="inlineStr">
        <is>
          <t>25 Agustus 2026</t>
        </is>
      </c>
      <c r="M91" t="inlineStr">
        <is>
          <t>Konstruksi Gedung Kesehatan, Konstruksi Gedung Lainnya, Konstruksi Gedung Pendidikan</t>
        </is>
      </c>
      <c r="N91" t="inlineStr">
        <is>
          <t>K</t>
        </is>
      </c>
      <c r="O91" t="inlineStr">
        <is>
          <t>20230824</t>
        </is>
      </c>
      <c r="P91" t="inlineStr">
        <is>
          <t>Jawa Timur</t>
        </is>
      </c>
      <c r="Q91" t="inlineStr"/>
    </row>
    <row r="92">
      <c r="A92" t="inlineStr">
        <is>
          <t>MITRA KONSTRUKSI KHATULISTIWA</t>
        </is>
      </c>
      <c r="B92" t="inlineStr">
        <is>
          <t>Kota Pontianak</t>
        </is>
      </c>
      <c r="C92" t="inlineStr">
        <is>
          <t>811573066</t>
        </is>
      </c>
      <c r="D92" t="inlineStr">
        <is>
          <t>mkk_2009@yahoo.com</t>
        </is>
      </c>
      <c r="E92" t="inlineStr">
        <is>
          <t>https://lpjk.pu.go.id/search-badan-usaha-detail/MksxaW9hMUsreVN2MVF0VU50R1lCZz09</t>
        </is>
      </c>
      <c r="F92" t="n">
        <v>1</v>
      </c>
      <c r="G92" t="inlineStr">
        <is>
          <t>IN001</t>
        </is>
      </c>
      <c r="H92" t="inlineStr">
        <is>
          <t>18 Juli 2007</t>
        </is>
      </c>
      <c r="I92" s="2" t="n">
        <v>46259</v>
      </c>
      <c r="J92" t="inlineStr">
        <is>
          <t>Disetujui</t>
        </is>
      </c>
      <c r="K92" t="n">
        <v>60</v>
      </c>
      <c r="L92" t="inlineStr">
        <is>
          <t>25 Agustus 2026</t>
        </is>
      </c>
      <c r="M92" t="inlineStr">
        <is>
          <t>Instalasi Mekanikal</t>
        </is>
      </c>
      <c r="N92" t="inlineStr">
        <is>
          <t>Spesialis</t>
        </is>
      </c>
      <c r="O92" t="inlineStr">
        <is>
          <t>20230726</t>
        </is>
      </c>
      <c r="P92" t="inlineStr">
        <is>
          <t>Kalimantan Barat</t>
        </is>
      </c>
      <c r="Q92" t="inlineStr"/>
    </row>
    <row r="93">
      <c r="A93" t="inlineStr">
        <is>
          <t>MITRA USAHA JAYA</t>
        </is>
      </c>
      <c r="B93" t="inlineStr">
        <is>
          <t>Kab. Kapuas Hulu</t>
        </is>
      </c>
      <c r="C93" t="inlineStr">
        <is>
          <t>081352188236</t>
        </is>
      </c>
      <c r="D93" t="inlineStr">
        <is>
          <t>mitrausahajaya.cv73@gmail.com</t>
        </is>
      </c>
      <c r="E93" t="inlineStr">
        <is>
          <t>https://lpjk.pu.go.id/search-badan-usaha-detail/N1Jib3VBRXlvdG8vSnNIWlp4NEcvUT09</t>
        </is>
      </c>
      <c r="F93" t="n">
        <v>1</v>
      </c>
      <c r="G93" t="inlineStr">
        <is>
          <t>BG005</t>
        </is>
      </c>
      <c r="H93" t="inlineStr">
        <is>
          <t>14 Mei 2004</t>
        </is>
      </c>
      <c r="I93" s="2" t="n">
        <v>46259</v>
      </c>
      <c r="J93" t="inlineStr">
        <is>
          <t>Disetujui</t>
        </is>
      </c>
      <c r="K93" t="n">
        <v>60</v>
      </c>
      <c r="L93" t="inlineStr">
        <is>
          <t>25 Agustus 2026</t>
        </is>
      </c>
      <c r="M93" t="inlineStr">
        <is>
          <t>Konstruksi Gedung Kesehatan</t>
        </is>
      </c>
      <c r="N93" t="inlineStr">
        <is>
          <t>K</t>
        </is>
      </c>
      <c r="O93" t="inlineStr">
        <is>
          <t>20230817</t>
        </is>
      </c>
      <c r="P93" t="inlineStr">
        <is>
          <t>Kalimantan Barat</t>
        </is>
      </c>
      <c r="Q93" t="inlineStr"/>
    </row>
    <row r="94">
      <c r="A94" t="inlineStr">
        <is>
          <t>NADIAWIN PAPUA SEJAHTERA</t>
        </is>
      </c>
      <c r="B94" t="inlineStr">
        <is>
          <t>Kab. Raja Ampat</t>
        </is>
      </c>
      <c r="C94" t="inlineStr">
        <is>
          <t>082397603339</t>
        </is>
      </c>
      <c r="D94" t="inlineStr">
        <is>
          <t>nadiawinpapuaperkasa@gmail.com</t>
        </is>
      </c>
      <c r="E94" t="inlineStr">
        <is>
          <t>https://lpjk.pu.go.id/search-badan-usaha-detail/ME4xaE82SThiU21RTkhLSGRHcFNYQT09</t>
        </is>
      </c>
      <c r="F94" t="n">
        <v>1</v>
      </c>
      <c r="G94" t="inlineStr">
        <is>
          <t>BG004</t>
        </is>
      </c>
      <c r="H94" t="inlineStr">
        <is>
          <t>28 Juli 2021</t>
        </is>
      </c>
      <c r="I94" s="2" t="n">
        <v>46259</v>
      </c>
      <c r="J94" t="inlineStr">
        <is>
          <t>Disetujui</t>
        </is>
      </c>
      <c r="K94" t="n">
        <v>60</v>
      </c>
      <c r="L94" t="inlineStr">
        <is>
          <t>25 Agustus 2026</t>
        </is>
      </c>
      <c r="M94" t="inlineStr">
        <is>
          <t>Konstruksi Gedung Perbelanjaan</t>
        </is>
      </c>
      <c r="N94" t="inlineStr">
        <is>
          <t>K</t>
        </is>
      </c>
      <c r="O94" t="inlineStr">
        <is>
          <t>20230815</t>
        </is>
      </c>
      <c r="P94" t="inlineStr">
        <is>
          <t>Papua Barat</t>
        </is>
      </c>
      <c r="Q94" t="inlineStr"/>
    </row>
    <row r="95">
      <c r="A95" t="inlineStr">
        <is>
          <t>NAVARO</t>
        </is>
      </c>
      <c r="B95" t="inlineStr">
        <is>
          <t>Kota Batu</t>
        </is>
      </c>
      <c r="C95" t="inlineStr">
        <is>
          <t>082331027008</t>
        </is>
      </c>
      <c r="D95" t="inlineStr">
        <is>
          <t>cvnavaro466@yahoo.com</t>
        </is>
      </c>
      <c r="E95" t="inlineStr">
        <is>
          <t>https://lpjk.pu.go.id/search-badan-usaha-detail/WCtwVytrRTZQNmZlWDk2ZFNPVkU4UT09</t>
        </is>
      </c>
      <c r="F95" t="n">
        <v>1</v>
      </c>
      <c r="G95" t="inlineStr">
        <is>
          <t>BG006</t>
        </is>
      </c>
      <c r="H95" t="inlineStr">
        <is>
          <t>6 Mei 2010</t>
        </is>
      </c>
      <c r="I95" s="2" t="n">
        <v>46259</v>
      </c>
      <c r="J95" t="inlineStr">
        <is>
          <t>Disetujui</t>
        </is>
      </c>
      <c r="K95" t="n">
        <v>60</v>
      </c>
      <c r="L95" t="inlineStr">
        <is>
          <t>25 Agustus 2026</t>
        </is>
      </c>
      <c r="M95" t="inlineStr">
        <is>
          <t>Konstruksi Gedung Pendidikan</t>
        </is>
      </c>
      <c r="N95" t="inlineStr">
        <is>
          <t>K</t>
        </is>
      </c>
      <c r="O95" t="inlineStr">
        <is>
          <t>20220802</t>
        </is>
      </c>
      <c r="P95" t="inlineStr">
        <is>
          <t>Jawa Timur</t>
        </is>
      </c>
      <c r="Q95" t="inlineStr"/>
    </row>
    <row r="96">
      <c r="A96" t="inlineStr">
        <is>
          <t>NAYLA PEMBAREP MANDIRI</t>
        </is>
      </c>
      <c r="B96" t="inlineStr">
        <is>
          <t>Kab. Cirebon</t>
        </is>
      </c>
      <c r="C96" t="inlineStr">
        <is>
          <t>081905060354</t>
        </is>
      </c>
      <c r="D96" t="inlineStr">
        <is>
          <t>CVNAYLAPEMBAREPMANDIRI@GMAIL.COM</t>
        </is>
      </c>
      <c r="E96" t="inlineStr">
        <is>
          <t>https://lpjk.pu.go.id/search-badan-usaha-detail/OGFJWjNJRGN5cnkxaXlLZVFKWTByQT09</t>
        </is>
      </c>
      <c r="F96" t="n">
        <v>1</v>
      </c>
      <c r="G96" t="inlineStr">
        <is>
          <t>BS002</t>
        </is>
      </c>
      <c r="H96" t="inlineStr">
        <is>
          <t>8 Juni 2023</t>
        </is>
      </c>
      <c r="I96" s="2" t="n">
        <v>46259</v>
      </c>
      <c r="J96" t="inlineStr">
        <is>
          <t>Disetujui</t>
        </is>
      </c>
      <c r="K96" t="n">
        <v>60</v>
      </c>
      <c r="L96" t="inlineStr">
        <is>
          <t>25 Agustus 2026</t>
        </is>
      </c>
      <c r="M96" t="inlineStr">
        <is>
          <t>Bangunan Sipil Jembatan, Jalan Layang, Fly Over, dan Underpass</t>
        </is>
      </c>
      <c r="N96" t="inlineStr">
        <is>
          <t>K</t>
        </is>
      </c>
      <c r="O96" t="inlineStr">
        <is>
          <t>20230822</t>
        </is>
      </c>
      <c r="P96" t="inlineStr">
        <is>
          <t>Jawa Barat</t>
        </is>
      </c>
      <c r="Q96" t="inlineStr"/>
    </row>
    <row r="97">
      <c r="A97" t="inlineStr">
        <is>
          <t>NUGRAHA LAJU KENCANA</t>
        </is>
      </c>
      <c r="B97" t="inlineStr">
        <is>
          <t>Kota Tangerang Selatan</t>
        </is>
      </c>
      <c r="C97" t="inlineStr">
        <is>
          <t>02122235230</t>
        </is>
      </c>
      <c r="D97" t="inlineStr">
        <is>
          <t>nugrahalajukencana@yahoo.com</t>
        </is>
      </c>
      <c r="E97" t="inlineStr">
        <is>
          <t>https://lpjk.pu.go.id/search-badan-usaha-detail/dXpCdGx4RDN3U2pEMVhUNmxmck1pUT09</t>
        </is>
      </c>
      <c r="F97" t="n">
        <v>8</v>
      </c>
      <c r="G97" t="inlineStr">
        <is>
          <t>BG001, BG002, BG003, BG004</t>
        </is>
      </c>
      <c r="H97" t="inlineStr">
        <is>
          <t>21 Desember 2009</t>
        </is>
      </c>
      <c r="I97" s="2" t="n">
        <v>46259</v>
      </c>
      <c r="J97" t="inlineStr">
        <is>
          <t>Disetujui</t>
        </is>
      </c>
      <c r="K97" t="n">
        <v>60</v>
      </c>
      <c r="L97" t="inlineStr">
        <is>
          <t>25 Agustus 2026</t>
        </is>
      </c>
      <c r="M97" t="inlineStr">
        <is>
          <t>Konstruksi Gedung Hunian, Konstruksi Gedung Industri, Konstruksi Gedung Perbelanjaan, Konstruksi Gedung Perkantoran</t>
        </is>
      </c>
      <c r="N97" t="inlineStr">
        <is>
          <t>K</t>
        </is>
      </c>
      <c r="O97" t="inlineStr">
        <is>
          <t>20230823</t>
        </is>
      </c>
      <c r="P97" t="inlineStr">
        <is>
          <t>Banten</t>
        </is>
      </c>
      <c r="Q97" t="inlineStr"/>
    </row>
    <row r="98">
      <c r="A98" t="inlineStr">
        <is>
          <t>NUSAKURA KARYA MANDIRI</t>
        </is>
      </c>
      <c r="B98" t="inlineStr">
        <is>
          <t>Kota Ambon</t>
        </is>
      </c>
      <c r="C98" t="inlineStr">
        <is>
          <t>082248165320</t>
        </is>
      </c>
      <c r="D98" t="inlineStr">
        <is>
          <t>nusakurakaryamandiri@gmail.com</t>
        </is>
      </c>
      <c r="E98" t="inlineStr">
        <is>
          <t>https://lpjk.pu.go.id/search-badan-usaha-detail/SEZxbGtyM1dtZ2pnUk04MnFrR1p1dz09</t>
        </is>
      </c>
      <c r="F98" t="n">
        <v>1</v>
      </c>
      <c r="G98" t="inlineStr">
        <is>
          <t>BG005</t>
        </is>
      </c>
      <c r="H98" t="inlineStr">
        <is>
          <t>27 Oktober 2021</t>
        </is>
      </c>
      <c r="I98" s="2" t="n">
        <v>46259</v>
      </c>
      <c r="J98" t="inlineStr">
        <is>
          <t>Disetujui</t>
        </is>
      </c>
      <c r="K98" t="n">
        <v>60</v>
      </c>
      <c r="L98" t="inlineStr">
        <is>
          <t>25 Agustus 2026</t>
        </is>
      </c>
      <c r="M98" t="inlineStr">
        <is>
          <t>Konstruksi Gedung Kesehatan</t>
        </is>
      </c>
      <c r="N98" t="inlineStr">
        <is>
          <t>K</t>
        </is>
      </c>
      <c r="O98" t="inlineStr">
        <is>
          <t>20230821</t>
        </is>
      </c>
      <c r="P98" t="inlineStr">
        <is>
          <t>Maluku</t>
        </is>
      </c>
      <c r="Q98" t="inlineStr"/>
    </row>
    <row r="99">
      <c r="A99" t="inlineStr">
        <is>
          <t>NUSANTARA RAYA KONSTRUKSI</t>
        </is>
      </c>
      <c r="B99" t="inlineStr">
        <is>
          <t>Kab. Sigi</t>
        </is>
      </c>
      <c r="C99" t="inlineStr">
        <is>
          <t>082290314727</t>
        </is>
      </c>
      <c r="D99" t="inlineStr">
        <is>
          <t>nusantararayakonstruksi.pt@gmail.com</t>
        </is>
      </c>
      <c r="E99" t="inlineStr">
        <is>
          <t>https://lpjk.pu.go.id/search-badan-usaha-detail/OVBwYkVvbXk3ejFjTU53cGI1RDludz09</t>
        </is>
      </c>
      <c r="F99" t="n">
        <v>1</v>
      </c>
      <c r="G99" t="inlineStr">
        <is>
          <t>BS001</t>
        </is>
      </c>
      <c r="H99" t="inlineStr">
        <is>
          <t>29 Juli 2016</t>
        </is>
      </c>
      <c r="I99" s="2" t="n">
        <v>46259</v>
      </c>
      <c r="J99" t="inlineStr">
        <is>
          <t>Pencabutan</t>
        </is>
      </c>
      <c r="K99" t="n">
        <v>60</v>
      </c>
      <c r="L99" t="inlineStr">
        <is>
          <t>25 Agustus 2026</t>
        </is>
      </c>
      <c r="M99" t="inlineStr">
        <is>
          <t>Konstruksi Bangunan Sipil Jalan</t>
        </is>
      </c>
      <c r="N99" t="inlineStr">
        <is>
          <t>M</t>
        </is>
      </c>
      <c r="O99" t="inlineStr">
        <is>
          <t>20230825</t>
        </is>
      </c>
      <c r="P99" t="inlineStr">
        <is>
          <t>Sulawesi Tengah</t>
        </is>
      </c>
      <c r="Q99" t="inlineStr"/>
    </row>
    <row r="100">
      <c r="A100" t="inlineStr">
        <is>
          <t>ONE GROUP</t>
        </is>
      </c>
      <c r="B100" t="inlineStr">
        <is>
          <t>Kab. Pasaman Barat</t>
        </is>
      </c>
      <c r="C100" t="inlineStr">
        <is>
          <t>082172797773</t>
        </is>
      </c>
      <c r="D100" t="inlineStr">
        <is>
          <t>groupcvone@gmail.com</t>
        </is>
      </c>
      <c r="E100" t="inlineStr">
        <is>
          <t>https://lpjk.pu.go.id/search-badan-usaha-detail/U0Q3SEkzOE9wKzBKZlJCR1lBYy9vQT09</t>
        </is>
      </c>
      <c r="F100" t="n">
        <v>1</v>
      </c>
      <c r="G100" t="inlineStr">
        <is>
          <t>BG004</t>
        </is>
      </c>
      <c r="H100" t="inlineStr">
        <is>
          <t>6 Juli 2010</t>
        </is>
      </c>
      <c r="I100" s="2" t="n">
        <v>46259</v>
      </c>
      <c r="J100" t="inlineStr">
        <is>
          <t>Pencabutan</t>
        </is>
      </c>
      <c r="K100" t="n">
        <v>60</v>
      </c>
      <c r="L100" t="inlineStr">
        <is>
          <t>25 Agustus 2026</t>
        </is>
      </c>
      <c r="M100" t="inlineStr">
        <is>
          <t>Konstruksi Gedung Perbelanjaan</t>
        </is>
      </c>
      <c r="N100" t="inlineStr">
        <is>
          <t>K</t>
        </is>
      </c>
      <c r="O100" t="inlineStr">
        <is>
          <t>20230824</t>
        </is>
      </c>
      <c r="P100" t="inlineStr">
        <is>
          <t>Sumatera Barat</t>
        </is>
      </c>
      <c r="Q100" t="inlineStr"/>
    </row>
    <row r="101">
      <c r="A101" t="inlineStr">
        <is>
          <t>PADI KARYA</t>
        </is>
      </c>
      <c r="B101" t="inlineStr">
        <is>
          <t>Kab. Kudus</t>
        </is>
      </c>
      <c r="C101" t="inlineStr">
        <is>
          <t>085229940200</t>
        </is>
      </c>
      <c r="D101" t="inlineStr">
        <is>
          <t>padikaryacv@gmail.com</t>
        </is>
      </c>
      <c r="E101" t="inlineStr">
        <is>
          <t>https://lpjk.pu.go.id/search-badan-usaha-detail/dTFjSiszRkZUOWxjRTVReEVnOXBrdz09</t>
        </is>
      </c>
      <c r="F101" t="n">
        <v>1</v>
      </c>
      <c r="G101" t="inlineStr">
        <is>
          <t>BG005</t>
        </is>
      </c>
      <c r="H101" t="inlineStr">
        <is>
          <t>13 Februari 2016</t>
        </is>
      </c>
      <c r="I101" s="2" t="n">
        <v>46259</v>
      </c>
      <c r="J101" t="inlineStr">
        <is>
          <t>Disetujui</t>
        </is>
      </c>
      <c r="K101" t="n">
        <v>60</v>
      </c>
      <c r="L101" t="inlineStr">
        <is>
          <t>25 Agustus 2026</t>
        </is>
      </c>
      <c r="M101" t="inlineStr">
        <is>
          <t>Konstruksi Gedung Kesehatan</t>
        </is>
      </c>
      <c r="N101" t="inlineStr">
        <is>
          <t>K</t>
        </is>
      </c>
      <c r="O101" t="inlineStr">
        <is>
          <t>20230825</t>
        </is>
      </c>
      <c r="P101" t="inlineStr">
        <is>
          <t>Jawa Tengah</t>
        </is>
      </c>
      <c r="Q101" t="inlineStr"/>
    </row>
    <row r="102">
      <c r="A102" t="inlineStr">
        <is>
          <t>PANCUR MAS UTAMA</t>
        </is>
      </c>
      <c r="B102" t="inlineStr">
        <is>
          <t>Kota Adm. Jakarta Selatan</t>
        </is>
      </c>
      <c r="C102" t="inlineStr">
        <is>
          <t>0217807494</t>
        </is>
      </c>
      <c r="D102" t="inlineStr">
        <is>
          <t>pancurmasutama@gmail.com</t>
        </is>
      </c>
      <c r="E102" t="inlineStr">
        <is>
          <t>https://lpjk.pu.go.id/search-badan-usaha-detail/U0k0YmI0NFhBUFlaNndXYjZFKzZodz09</t>
        </is>
      </c>
      <c r="F102" t="n">
        <v>1</v>
      </c>
      <c r="G102" t="inlineStr">
        <is>
          <t>BG002</t>
        </is>
      </c>
      <c r="H102" t="inlineStr">
        <is>
          <t>19 Oktober 1983</t>
        </is>
      </c>
      <c r="I102" s="2" t="n">
        <v>46259</v>
      </c>
      <c r="J102" t="inlineStr">
        <is>
          <t>Disetujui</t>
        </is>
      </c>
      <c r="K102" t="n">
        <v>60</v>
      </c>
      <c r="L102" t="inlineStr">
        <is>
          <t>25 Agustus 2026</t>
        </is>
      </c>
      <c r="M102" t="inlineStr">
        <is>
          <t>Konstruksi Gedung Perkantoran</t>
        </is>
      </c>
      <c r="N102" t="inlineStr">
        <is>
          <t>K</t>
        </is>
      </c>
      <c r="O102" t="inlineStr">
        <is>
          <t>20230315</t>
        </is>
      </c>
      <c r="P102" t="inlineStr">
        <is>
          <t>DKI Jakarta</t>
        </is>
      </c>
      <c r="Q102" t="inlineStr"/>
    </row>
    <row r="103">
      <c r="A103" t="inlineStr">
        <is>
          <t>PRATAMA PANCA NUSANTARA</t>
        </is>
      </c>
      <c r="B103" t="inlineStr">
        <is>
          <t>Kota Bandung</t>
        </is>
      </c>
      <c r="C103" t="inlineStr">
        <is>
          <t>0227512120</t>
        </is>
      </c>
      <c r="D103" t="inlineStr">
        <is>
          <t>info@pancanusantara.com</t>
        </is>
      </c>
      <c r="E103" t="inlineStr">
        <is>
          <t>https://lpjk.pu.go.id/search-badan-usaha-detail/czlnSzAyMHJRcGJLY05Xd29zMHJJQT09</t>
        </is>
      </c>
      <c r="F103" t="n">
        <v>1</v>
      </c>
      <c r="G103" t="inlineStr">
        <is>
          <t>BS006</t>
        </is>
      </c>
      <c r="H103" t="inlineStr">
        <is>
          <t>17 Desember 2014</t>
        </is>
      </c>
      <c r="I103" s="2" t="n">
        <v>46259</v>
      </c>
      <c r="J103" t="inlineStr">
        <is>
          <t>Disetujui</t>
        </is>
      </c>
      <c r="K103" t="n">
        <v>60</v>
      </c>
      <c r="L103" t="inlineStr">
        <is>
          <t>25 Agustus 2026</t>
        </is>
      </c>
      <c r="M103" t="inlineStr">
        <is>
          <t>Konstruksi Bangunan Sipil Prasarana dan Sarana Sistem Pengolahan Limbah Padat, Cair, dan Gas</t>
        </is>
      </c>
      <c r="N103" t="inlineStr">
        <is>
          <t>K</t>
        </is>
      </c>
      <c r="O103" t="inlineStr">
        <is>
          <t>20230822</t>
        </is>
      </c>
      <c r="P103" t="inlineStr">
        <is>
          <t>Jawa Barat</t>
        </is>
      </c>
      <c r="Q103" t="inlineStr"/>
    </row>
    <row r="104">
      <c r="A104" t="inlineStr">
        <is>
          <t>PRIMAS</t>
        </is>
      </c>
      <c r="B104" t="inlineStr">
        <is>
          <t>Kab. Pandeglang</t>
        </is>
      </c>
      <c r="C104" t="inlineStr">
        <is>
          <t>083192333904</t>
        </is>
      </c>
      <c r="D104" t="inlineStr">
        <is>
          <t>cvprimas99@gmail.com</t>
        </is>
      </c>
      <c r="E104" t="inlineStr">
        <is>
          <t>https://lpjk.pu.go.id/search-badan-usaha-detail/RTZZVW95SmxtTC9YQkt1cXZ0V0p0Zz09</t>
        </is>
      </c>
      <c r="F104" t="n">
        <v>2</v>
      </c>
      <c r="G104" t="inlineStr">
        <is>
          <t>BG009</t>
        </is>
      </c>
      <c r="H104" t="inlineStr">
        <is>
          <t>4 Desember 2014</t>
        </is>
      </c>
      <c r="I104" s="2" t="n">
        <v>46259</v>
      </c>
      <c r="J104" t="inlineStr">
        <is>
          <t>Disetujui</t>
        </is>
      </c>
      <c r="K104" t="n">
        <v>60</v>
      </c>
      <c r="L104" t="inlineStr">
        <is>
          <t>25 Agustus 2026</t>
        </is>
      </c>
      <c r="M104" t="inlineStr">
        <is>
          <t>Konstruksi Gedung Lainnya</t>
        </is>
      </c>
      <c r="N104" t="inlineStr">
        <is>
          <t>K</t>
        </is>
      </c>
      <c r="O104" t="inlineStr">
        <is>
          <t>20230804</t>
        </is>
      </c>
      <c r="P104" t="inlineStr">
        <is>
          <t>Banten</t>
        </is>
      </c>
      <c r="Q104" t="inlineStr"/>
    </row>
    <row r="105">
      <c r="A105" t="inlineStr">
        <is>
          <t>PUJA BUANA INDAH</t>
        </is>
      </c>
      <c r="B105" t="inlineStr">
        <is>
          <t>Kota Bima</t>
        </is>
      </c>
      <c r="C105" t="inlineStr">
        <is>
          <t>0823 3903 9180</t>
        </is>
      </c>
      <c r="D105" t="inlineStr">
        <is>
          <t>buanabima123@gmail.com</t>
        </is>
      </c>
      <c r="E105" t="inlineStr">
        <is>
          <t>https://lpjk.pu.go.id/search-badan-usaha-detail/Sm44WTFVYzNSTm5pVHBMSFpMU1ZjZz09</t>
        </is>
      </c>
      <c r="F105" t="n">
        <v>1</v>
      </c>
      <c r="G105" t="inlineStr">
        <is>
          <t>BS004</t>
        </is>
      </c>
      <c r="H105" t="inlineStr">
        <is>
          <t>1 Agustus 1998</t>
        </is>
      </c>
      <c r="I105" s="2" t="n">
        <v>46259</v>
      </c>
      <c r="J105" t="inlineStr">
        <is>
          <t>Disetujui</t>
        </is>
      </c>
      <c r="K105" t="n">
        <v>60</v>
      </c>
      <c r="L105" t="inlineStr">
        <is>
          <t>25 Agustus 2026</t>
        </is>
      </c>
      <c r="M105" t="inlineStr">
        <is>
          <t>Konstruksi Jaringan Irigasi dan Drainase</t>
        </is>
      </c>
      <c r="N105" t="inlineStr">
        <is>
          <t>K</t>
        </is>
      </c>
      <c r="O105" t="inlineStr">
        <is>
          <t>20230818</t>
        </is>
      </c>
      <c r="P105" t="inlineStr">
        <is>
          <t>Nusa Tenggara Barat</t>
        </is>
      </c>
      <c r="Q105" t="inlineStr"/>
    </row>
    <row r="106">
      <c r="A106" t="inlineStr">
        <is>
          <t>PUTERAKO INTI BUANA</t>
        </is>
      </c>
      <c r="B106" t="inlineStr">
        <is>
          <t>Kota Surabaya</t>
        </is>
      </c>
      <c r="C106" t="inlineStr">
        <is>
          <t>0313761298</t>
        </is>
      </c>
      <c r="D106" t="inlineStr">
        <is>
          <t>hrd.support@puterako.com</t>
        </is>
      </c>
      <c r="E106" t="inlineStr">
        <is>
          <t>https://lpjk.pu.go.id/search-badan-usaha-detail/cTkrb1krQW4xb1JBRDJrZTNHalZFdz09</t>
        </is>
      </c>
      <c r="F106" t="n">
        <v>1</v>
      </c>
      <c r="G106" t="inlineStr">
        <is>
          <t>BG009</t>
        </is>
      </c>
      <c r="H106" t="inlineStr">
        <is>
          <t>4 November 1997</t>
        </is>
      </c>
      <c r="I106" s="2" t="n">
        <v>46259</v>
      </c>
      <c r="J106" t="inlineStr">
        <is>
          <t>Disetujui</t>
        </is>
      </c>
      <c r="K106" t="n">
        <v>60</v>
      </c>
      <c r="L106" t="inlineStr">
        <is>
          <t>25 Agustus 2026</t>
        </is>
      </c>
      <c r="M106" t="inlineStr">
        <is>
          <t>Konstruksi Gedung Lainnya</t>
        </is>
      </c>
      <c r="N106" t="inlineStr">
        <is>
          <t>K</t>
        </is>
      </c>
      <c r="O106" t="inlineStr">
        <is>
          <t>20230814</t>
        </is>
      </c>
      <c r="P106" t="inlineStr">
        <is>
          <t>Jawa Timur</t>
        </is>
      </c>
      <c r="Q106" t="inlineStr"/>
    </row>
    <row r="107">
      <c r="A107" t="inlineStr">
        <is>
          <t>PUTRA ANDILO JAYA</t>
        </is>
      </c>
      <c r="B107" t="inlineStr">
        <is>
          <t>Kab. Tapanuli Selatan</t>
        </is>
      </c>
      <c r="C107" t="inlineStr">
        <is>
          <t>082277366738</t>
        </is>
      </c>
      <c r="D107" t="inlineStr">
        <is>
          <t>cv.putraandilojaya@gmail.com</t>
        </is>
      </c>
      <c r="E107" t="inlineStr">
        <is>
          <t>https://lpjk.pu.go.id/search-badan-usaha-detail/emNyNTQzem04RHdnZG5sb1Q1T2ljUT09</t>
        </is>
      </c>
      <c r="F107" t="n">
        <v>4</v>
      </c>
      <c r="G107" t="inlineStr">
        <is>
          <t>BG002, BG005, BG006, BG009</t>
        </is>
      </c>
      <c r="H107" t="inlineStr">
        <is>
          <t>6 Februari 2023</t>
        </is>
      </c>
      <c r="I107" s="2" t="n">
        <v>46259</v>
      </c>
      <c r="J107" t="inlineStr">
        <is>
          <t>Pencabutan</t>
        </is>
      </c>
      <c r="K107" t="n">
        <v>60</v>
      </c>
      <c r="L107" t="inlineStr">
        <is>
          <t>25 Agustus 2026</t>
        </is>
      </c>
      <c r="M107" t="inlineStr">
        <is>
          <t>Konstruksi Gedung Kesehatan, Konstruksi Gedung Lainnya, Konstruksi Gedung Pendidikan, Konstruksi Gedung Perkantoran</t>
        </is>
      </c>
      <c r="N107" t="inlineStr">
        <is>
          <t>K</t>
        </is>
      </c>
      <c r="O107" t="inlineStr">
        <is>
          <t>20230809, 20230821, 20230824</t>
        </is>
      </c>
      <c r="P107" t="inlineStr">
        <is>
          <t>Sumatera Utara</t>
        </is>
      </c>
      <c r="Q107" t="inlineStr"/>
    </row>
    <row r="108">
      <c r="A108" t="inlineStr">
        <is>
          <t>PUTRA GONTING</t>
        </is>
      </c>
      <c r="B108" t="inlineStr">
        <is>
          <t>Kab. Toba Samosir</t>
        </is>
      </c>
      <c r="C108" t="inlineStr">
        <is>
          <t>0</t>
        </is>
      </c>
      <c r="D108" t="inlineStr">
        <is>
          <t>cvputragonting09@gmail.com</t>
        </is>
      </c>
      <c r="E108" t="inlineStr">
        <is>
          <t>https://lpjk.pu.go.id/search-badan-usaha-detail/RC8vaDd6eDZVQzRGYURibCtnSldDUT09</t>
        </is>
      </c>
      <c r="F108" t="n">
        <v>1</v>
      </c>
      <c r="G108" t="inlineStr">
        <is>
          <t>BS002</t>
        </is>
      </c>
      <c r="H108" t="inlineStr">
        <is>
          <t>29 Agustus 2022</t>
        </is>
      </c>
      <c r="I108" s="2" t="n">
        <v>46259</v>
      </c>
      <c r="J108" t="inlineStr">
        <is>
          <t>Disetujui</t>
        </is>
      </c>
      <c r="K108" t="n">
        <v>60</v>
      </c>
      <c r="L108" t="inlineStr">
        <is>
          <t>25 Agustus 2026</t>
        </is>
      </c>
      <c r="M108" t="inlineStr">
        <is>
          <t>Bangunan Sipil Jembatan, Jalan Layang, Fly Over, dan Underpass</t>
        </is>
      </c>
      <c r="N108" t="inlineStr">
        <is>
          <t>K</t>
        </is>
      </c>
      <c r="O108" t="inlineStr">
        <is>
          <t>20230505</t>
        </is>
      </c>
      <c r="P108" t="inlineStr">
        <is>
          <t>Sumatera Utara</t>
        </is>
      </c>
      <c r="Q108" t="inlineStr"/>
    </row>
    <row r="109">
      <c r="A109" t="inlineStr">
        <is>
          <t>PUTRA MANDIRI</t>
        </is>
      </c>
      <c r="B109" t="inlineStr">
        <is>
          <t>Kab. Jombang</t>
        </is>
      </c>
      <c r="C109" t="inlineStr">
        <is>
          <t>081332078986</t>
        </is>
      </c>
      <c r="D109" t="inlineStr">
        <is>
          <t>arissafirotulf.ks115@gmail.com</t>
        </is>
      </c>
      <c r="E109" t="inlineStr">
        <is>
          <t>https://lpjk.pu.go.id/search-badan-usaha-detail/ZGx0N0FDVmg0NDN2enpEeElvMVQyZz09</t>
        </is>
      </c>
      <c r="F109" t="n">
        <v>2</v>
      </c>
      <c r="G109" t="inlineStr">
        <is>
          <t>BS002, BS004</t>
        </is>
      </c>
      <c r="H109" t="inlineStr">
        <is>
          <t>22 Agustus 2009</t>
        </is>
      </c>
      <c r="I109" s="2" t="n">
        <v>46259</v>
      </c>
      <c r="J109" t="inlineStr">
        <is>
          <t>Pencabutan</t>
        </is>
      </c>
      <c r="K109" t="n">
        <v>60</v>
      </c>
      <c r="L109" t="inlineStr">
        <is>
          <t>25 Agustus 2026</t>
        </is>
      </c>
      <c r="M109" t="inlineStr">
        <is>
          <t>Bangunan Sipil Jembatan, Jalan Layang, Fly Over, dan Underpass, Konstruksi Jaringan Irigasi dan Drainase</t>
        </is>
      </c>
      <c r="N109" t="inlineStr">
        <is>
          <t>K</t>
        </is>
      </c>
      <c r="O109" t="inlineStr">
        <is>
          <t>20230824</t>
        </is>
      </c>
      <c r="P109" t="inlineStr">
        <is>
          <t>Jawa Timur</t>
        </is>
      </c>
      <c r="Q109" t="inlineStr"/>
    </row>
    <row r="110">
      <c r="A110" t="inlineStr">
        <is>
          <t>PUTRA PANDAWA KHATULISTIWA</t>
        </is>
      </c>
      <c r="B110" t="inlineStr">
        <is>
          <t>Kab. Sintang</t>
        </is>
      </c>
      <c r="C110" t="inlineStr">
        <is>
          <t>082148563383</t>
        </is>
      </c>
      <c r="D110" t="inlineStr">
        <is>
          <t>putrapandawa.k@gmail.com</t>
        </is>
      </c>
      <c r="E110" t="inlineStr">
        <is>
          <t>https://lpjk.pu.go.id/search-badan-usaha-detail/cjZWa0kzSFV1M29HRkFNTEFENmJldz09</t>
        </is>
      </c>
      <c r="F110" t="n">
        <v>1</v>
      </c>
      <c r="G110" t="inlineStr">
        <is>
          <t>BS001</t>
        </is>
      </c>
      <c r="H110" t="inlineStr">
        <is>
          <t>14 Oktober 2019</t>
        </is>
      </c>
      <c r="I110" s="2" t="n">
        <v>46259</v>
      </c>
      <c r="J110" t="inlineStr">
        <is>
          <t>Disetujui</t>
        </is>
      </c>
      <c r="K110" t="n">
        <v>60</v>
      </c>
      <c r="L110" t="inlineStr">
        <is>
          <t>25 Agustus 2026</t>
        </is>
      </c>
      <c r="M110" t="inlineStr">
        <is>
          <t>Konstruksi Bangunan Sipil Jalan</t>
        </is>
      </c>
      <c r="N110" t="inlineStr">
        <is>
          <t>K</t>
        </is>
      </c>
      <c r="O110" t="inlineStr">
        <is>
          <t>20230820</t>
        </is>
      </c>
      <c r="P110" t="inlineStr">
        <is>
          <t>Kalimantan Barat</t>
        </is>
      </c>
      <c r="Q110" t="inlineStr"/>
    </row>
    <row r="111">
      <c r="A111" t="inlineStr">
        <is>
          <t>PUTRA PAPUA TENGAH</t>
        </is>
      </c>
      <c r="B111" t="inlineStr">
        <is>
          <t>Kab. Nabire</t>
        </is>
      </c>
      <c r="C111" t="inlineStr">
        <is>
          <t>082248958702</t>
        </is>
      </c>
      <c r="D111" t="inlineStr">
        <is>
          <t>cvputrapapuatengahoss@gmail.com</t>
        </is>
      </c>
      <c r="E111" t="inlineStr">
        <is>
          <t>https://lpjk.pu.go.id/search-badan-usaha-detail/cktFZzRIN1NIMEh0OHFEY0NDZG5NQT09</t>
        </is>
      </c>
      <c r="F111" t="n">
        <v>1</v>
      </c>
      <c r="G111" t="inlineStr">
        <is>
          <t>BS002</t>
        </is>
      </c>
      <c r="H111" t="inlineStr">
        <is>
          <t>10 Juli 2023</t>
        </is>
      </c>
      <c r="I111" s="2" t="n">
        <v>46259</v>
      </c>
      <c r="J111" t="inlineStr">
        <is>
          <t>Pencabutan</t>
        </is>
      </c>
      <c r="K111" t="n">
        <v>60</v>
      </c>
      <c r="L111" t="inlineStr">
        <is>
          <t>25 Agustus 2026</t>
        </is>
      </c>
      <c r="M111" t="inlineStr">
        <is>
          <t>Bangunan Sipil Jembatan, Jalan Layang, Fly Over, dan Underpass</t>
        </is>
      </c>
      <c r="N111" t="inlineStr">
        <is>
          <t>K</t>
        </is>
      </c>
      <c r="O111" t="inlineStr">
        <is>
          <t>20230824</t>
        </is>
      </c>
      <c r="P111" t="inlineStr">
        <is>
          <t>Papua</t>
        </is>
      </c>
      <c r="Q111" t="inlineStr"/>
    </row>
    <row r="112">
      <c r="A112" t="inlineStr">
        <is>
          <t>PUTRA RAMADHAN</t>
        </is>
      </c>
      <c r="B112" t="inlineStr">
        <is>
          <t>Kab. Garut</t>
        </is>
      </c>
      <c r="C112" t="inlineStr">
        <is>
          <t>081322156383</t>
        </is>
      </c>
      <c r="D112" t="inlineStr">
        <is>
          <t>cv.putraramadhan83@gmail.com</t>
        </is>
      </c>
      <c r="E112" t="inlineStr">
        <is>
          <t>https://lpjk.pu.go.id/search-badan-usaha-detail/THJMNGVDYkxzakVaNk91aXBteWYwUT09</t>
        </is>
      </c>
      <c r="F112" t="n">
        <v>1</v>
      </c>
      <c r="G112" t="inlineStr">
        <is>
          <t>BG002</t>
        </is>
      </c>
      <c r="H112" t="inlineStr">
        <is>
          <t>3 Maret 2016</t>
        </is>
      </c>
      <c r="I112" s="2" t="n">
        <v>46259</v>
      </c>
      <c r="J112" t="inlineStr">
        <is>
          <t>Disetujui</t>
        </is>
      </c>
      <c r="K112" t="n">
        <v>60</v>
      </c>
      <c r="L112" t="inlineStr">
        <is>
          <t>25 Agustus 2026</t>
        </is>
      </c>
      <c r="M112" t="inlineStr">
        <is>
          <t>Konstruksi Gedung Perkantoran</t>
        </is>
      </c>
      <c r="N112" t="inlineStr">
        <is>
          <t>K</t>
        </is>
      </c>
      <c r="O112" t="inlineStr">
        <is>
          <t>20230811</t>
        </is>
      </c>
      <c r="P112" t="inlineStr">
        <is>
          <t>Jawa Barat</t>
        </is>
      </c>
      <c r="Q112" t="inlineStr"/>
    </row>
    <row r="113">
      <c r="A113" t="inlineStr">
        <is>
          <t>RAIHAN PRIMA MANDIRI</t>
        </is>
      </c>
      <c r="B113" t="inlineStr">
        <is>
          <t>Kab. Kotawaringin Barat</t>
        </is>
      </c>
      <c r="C113" t="inlineStr">
        <is>
          <t>08125157941</t>
        </is>
      </c>
      <c r="D113" t="inlineStr">
        <is>
          <t>raihanprimamandiri@yahoo.co.id</t>
        </is>
      </c>
      <c r="E113" t="inlineStr">
        <is>
          <t>https://lpjk.pu.go.id/search-badan-usaha-detail/M1JjQVNWRDBJbW9DR0VMd1VIS1dUdz09</t>
        </is>
      </c>
      <c r="F113" t="n">
        <v>2</v>
      </c>
      <c r="G113" t="inlineStr">
        <is>
          <t>BS002</t>
        </is>
      </c>
      <c r="H113" t="inlineStr">
        <is>
          <t>21 Juni 2012</t>
        </is>
      </c>
      <c r="I113" s="2" t="n">
        <v>46259</v>
      </c>
      <c r="J113" t="inlineStr">
        <is>
          <t>Disetujui</t>
        </is>
      </c>
      <c r="K113" t="n">
        <v>60</v>
      </c>
      <c r="L113" t="inlineStr">
        <is>
          <t>25 Agustus 2026</t>
        </is>
      </c>
      <c r="M113" t="inlineStr">
        <is>
          <t>Bangunan Sipil Jembatan, Jalan Layang, Fly Over, dan Underpass</t>
        </is>
      </c>
      <c r="N113" t="inlineStr">
        <is>
          <t>K</t>
        </is>
      </c>
      <c r="O113" t="inlineStr">
        <is>
          <t>20230824</t>
        </is>
      </c>
      <c r="P113" t="inlineStr">
        <is>
          <t>Kalimantan Tengah</t>
        </is>
      </c>
      <c r="Q113" t="inlineStr"/>
    </row>
    <row r="114">
      <c r="A114" t="inlineStr">
        <is>
          <t>REKA BUMI TOHLANGKIR</t>
        </is>
      </c>
      <c r="B114" t="inlineStr">
        <is>
          <t>Kab. Karangasem</t>
        </is>
      </c>
      <c r="C114" t="inlineStr">
        <is>
          <t>081236752995</t>
        </is>
      </c>
      <c r="D114" t="inlineStr">
        <is>
          <t>rekabumitohlangkir1@gmail.com</t>
        </is>
      </c>
      <c r="E114" t="inlineStr">
        <is>
          <t>https://lpjk.pu.go.id/search-badan-usaha-detail/a1VTRGM4MldMRmovV0RHM0dLb0t4QT09</t>
        </is>
      </c>
      <c r="F114" t="n">
        <v>1</v>
      </c>
      <c r="G114" t="inlineStr">
        <is>
          <t>BS001</t>
        </is>
      </c>
      <c r="H114" t="inlineStr">
        <is>
          <t>8 Desember 2022</t>
        </is>
      </c>
      <c r="I114" s="2" t="n">
        <v>46259</v>
      </c>
      <c r="J114" t="inlineStr">
        <is>
          <t>Disetujui</t>
        </is>
      </c>
      <c r="K114" t="n">
        <v>60</v>
      </c>
      <c r="L114" t="inlineStr">
        <is>
          <t>25 Agustus 2026</t>
        </is>
      </c>
      <c r="M114" t="inlineStr">
        <is>
          <t>Konstruksi Bangunan Sipil Jalan</t>
        </is>
      </c>
      <c r="N114" t="inlineStr">
        <is>
          <t>K</t>
        </is>
      </c>
      <c r="O114" t="inlineStr">
        <is>
          <t>20230823</t>
        </is>
      </c>
      <c r="P114" t="inlineStr">
        <is>
          <t>Bali</t>
        </is>
      </c>
      <c r="Q114" t="inlineStr"/>
    </row>
    <row r="115">
      <c r="A115" t="inlineStr">
        <is>
          <t>RIFKY AGUNG PERKASA</t>
        </is>
      </c>
      <c r="B115" t="inlineStr">
        <is>
          <t>Kota Pontianak</t>
        </is>
      </c>
      <c r="C115" t="inlineStr">
        <is>
          <t>081345164963</t>
        </is>
      </c>
      <c r="D115" t="inlineStr">
        <is>
          <t>rifkyagungperkasa@gmail.com</t>
        </is>
      </c>
      <c r="E115" t="inlineStr">
        <is>
          <t>https://lpjk.pu.go.id/search-badan-usaha-detail/bnM4SUN0UEUyNU1sVmFvMGd6bkViUT09</t>
        </is>
      </c>
      <c r="F115" t="n">
        <v>1</v>
      </c>
      <c r="G115" t="inlineStr">
        <is>
          <t>BG009</t>
        </is>
      </c>
      <c r="H115" t="inlineStr">
        <is>
          <t>25 November 2015</t>
        </is>
      </c>
      <c r="I115" s="2" t="n">
        <v>46259</v>
      </c>
      <c r="J115" t="inlineStr">
        <is>
          <t>Disetujui</t>
        </is>
      </c>
      <c r="K115" t="n">
        <v>60</v>
      </c>
      <c r="L115" t="inlineStr">
        <is>
          <t>25 Agustus 2026</t>
        </is>
      </c>
      <c r="M115" t="inlineStr">
        <is>
          <t>Konstruksi Gedung Lainnya</t>
        </is>
      </c>
      <c r="N115" t="inlineStr">
        <is>
          <t>K</t>
        </is>
      </c>
      <c r="O115" t="inlineStr">
        <is>
          <t>20230825</t>
        </is>
      </c>
      <c r="P115" t="inlineStr">
        <is>
          <t>Kalimantan Barat</t>
        </is>
      </c>
      <c r="Q115" t="inlineStr"/>
    </row>
    <row r="116">
      <c r="A116" t="inlineStr">
        <is>
          <t>RIZKI UTAMA TEKNIK</t>
        </is>
      </c>
      <c r="B116" t="inlineStr">
        <is>
          <t>Kota Medan</t>
        </is>
      </c>
      <c r="C116" t="inlineStr">
        <is>
          <t>081269741858</t>
        </is>
      </c>
      <c r="D116" t="inlineStr">
        <is>
          <t>cv.rizkiutamateknik@gmail.com</t>
        </is>
      </c>
      <c r="E116" t="inlineStr">
        <is>
          <t>https://lpjk.pu.go.id/search-badan-usaha-detail/YlpRNTZSRTQ1MjRlcU81TkJ4ZUxoZz09</t>
        </is>
      </c>
      <c r="F116" t="n">
        <v>1</v>
      </c>
      <c r="G116" t="inlineStr">
        <is>
          <t>BG005</t>
        </is>
      </c>
      <c r="H116" t="inlineStr">
        <is>
          <t>7 Februari 2020</t>
        </is>
      </c>
      <c r="I116" s="2" t="n">
        <v>46259</v>
      </c>
      <c r="J116" t="inlineStr">
        <is>
          <t>Disetujui</t>
        </is>
      </c>
      <c r="K116" t="n">
        <v>60</v>
      </c>
      <c r="L116" t="inlineStr">
        <is>
          <t>25 Agustus 2026</t>
        </is>
      </c>
      <c r="M116" t="inlineStr">
        <is>
          <t>Konstruksi Gedung Kesehatan</t>
        </is>
      </c>
      <c r="N116" t="inlineStr">
        <is>
          <t>K</t>
        </is>
      </c>
      <c r="O116" t="inlineStr">
        <is>
          <t>20230824</t>
        </is>
      </c>
      <c r="P116" t="inlineStr">
        <is>
          <t>Sumatera Utara</t>
        </is>
      </c>
      <c r="Q116" t="inlineStr"/>
    </row>
    <row r="117">
      <c r="A117" t="inlineStr">
        <is>
          <t>SADAR KARYA DINAMIS</t>
        </is>
      </c>
      <c r="B117" t="inlineStr">
        <is>
          <t>Kab. Bandung</t>
        </is>
      </c>
      <c r="C117" t="inlineStr">
        <is>
          <t>0225947783</t>
        </is>
      </c>
      <c r="D117" t="inlineStr">
        <is>
          <t>sadarkaryadinamis_s@yahoo.com</t>
        </is>
      </c>
      <c r="E117" t="inlineStr">
        <is>
          <t>https://lpjk.pu.go.id/search-badan-usaha-detail/SUx2ZzhudnpWanZ0Vk1GTXRjOUZ3UT09</t>
        </is>
      </c>
      <c r="F117" t="n">
        <v>2</v>
      </c>
      <c r="G117" t="inlineStr">
        <is>
          <t>BG008</t>
        </is>
      </c>
      <c r="H117" t="inlineStr">
        <is>
          <t>16 Januari 2010</t>
        </is>
      </c>
      <c r="I117" s="2" t="n">
        <v>46259</v>
      </c>
      <c r="J117" t="inlineStr">
        <is>
          <t>Disetujui</t>
        </is>
      </c>
      <c r="K117" t="n">
        <v>60</v>
      </c>
      <c r="L117" t="inlineStr">
        <is>
          <t>25 Agustus 2026</t>
        </is>
      </c>
      <c r="M117" t="inlineStr">
        <is>
          <t>Konstruksi Gedung Tempat Hiburan dan Olahraga</t>
        </is>
      </c>
      <c r="N117" t="inlineStr">
        <is>
          <t>M</t>
        </is>
      </c>
      <c r="O117" t="inlineStr">
        <is>
          <t>20230523</t>
        </is>
      </c>
      <c r="P117" t="inlineStr">
        <is>
          <t>Jawa Barat</t>
        </is>
      </c>
      <c r="Q117" t="inlineStr"/>
    </row>
    <row r="118">
      <c r="A118" t="inlineStr">
        <is>
          <t>SAMI JAYA</t>
        </is>
      </c>
      <c r="B118" t="inlineStr">
        <is>
          <t>Kab. Pangandaran</t>
        </is>
      </c>
      <c r="C118" t="inlineStr">
        <is>
          <t>081221781111</t>
        </is>
      </c>
      <c r="D118" t="inlineStr">
        <is>
          <t>cvsamijaya01@gmail.com</t>
        </is>
      </c>
      <c r="E118" t="inlineStr">
        <is>
          <t>https://lpjk.pu.go.id/search-badan-usaha-detail/NmUreHo1TUZSQmRhdW1rOTkyR3ZyUT09</t>
        </is>
      </c>
      <c r="F118" t="n">
        <v>1</v>
      </c>
      <c r="G118" t="inlineStr">
        <is>
          <t>BS001</t>
        </is>
      </c>
      <c r="H118" t="inlineStr">
        <is>
          <t>23 Oktober 1995</t>
        </is>
      </c>
      <c r="I118" s="2" t="n">
        <v>46259</v>
      </c>
      <c r="J118" t="inlineStr">
        <is>
          <t>Disetujui</t>
        </is>
      </c>
      <c r="K118" t="n">
        <v>60</v>
      </c>
      <c r="L118" t="inlineStr">
        <is>
          <t>25 Agustus 2026</t>
        </is>
      </c>
      <c r="M118" t="inlineStr">
        <is>
          <t>Konstruksi Bangunan Sipil Jalan</t>
        </is>
      </c>
      <c r="N118" t="inlineStr">
        <is>
          <t>K</t>
        </is>
      </c>
      <c r="O118" t="inlineStr">
        <is>
          <t>20230815</t>
        </is>
      </c>
      <c r="P118" t="inlineStr">
        <is>
          <t>Jawa Barat</t>
        </is>
      </c>
      <c r="Q118" t="inlineStr"/>
    </row>
    <row r="119">
      <c r="A119" t="inlineStr">
        <is>
          <t>SARANA ABADI JAYA RAYA</t>
        </is>
      </c>
      <c r="B119" t="inlineStr">
        <is>
          <t>Kab. Karawang</t>
        </is>
      </c>
      <c r="C119" t="inlineStr">
        <is>
          <t>082213858951</t>
        </is>
      </c>
      <c r="D119" t="inlineStr">
        <is>
          <t>abadi_sarana@yahoo.com</t>
        </is>
      </c>
      <c r="E119" t="inlineStr">
        <is>
          <t>https://lpjk.pu.go.id/search-badan-usaha-detail/eVpIOFBsQkxySWhqREd4d1liY1MrUT09</t>
        </is>
      </c>
      <c r="F119" t="n">
        <v>1</v>
      </c>
      <c r="G119" t="inlineStr">
        <is>
          <t>BG006</t>
        </is>
      </c>
      <c r="H119" t="inlineStr">
        <is>
          <t>3 September 2014</t>
        </is>
      </c>
      <c r="I119" s="2" t="n">
        <v>46259</v>
      </c>
      <c r="J119" t="inlineStr">
        <is>
          <t>Disetujui</t>
        </is>
      </c>
      <c r="K119" t="n">
        <v>60</v>
      </c>
      <c r="L119" t="inlineStr">
        <is>
          <t>25 Agustus 2026</t>
        </is>
      </c>
      <c r="M119" t="inlineStr">
        <is>
          <t>Konstruksi Gedung Pendidikan</t>
        </is>
      </c>
      <c r="N119" t="inlineStr">
        <is>
          <t>K</t>
        </is>
      </c>
      <c r="O119" t="inlineStr">
        <is>
          <t>20230823</t>
        </is>
      </c>
      <c r="P119" t="inlineStr">
        <is>
          <t>Jawa Barat</t>
        </is>
      </c>
      <c r="Q119" t="inlineStr"/>
    </row>
    <row r="120">
      <c r="A120" t="inlineStr">
        <is>
          <t>SARANAINSAN MUDASELARAS</t>
        </is>
      </c>
      <c r="B120" t="inlineStr">
        <is>
          <t>Kota Adm. Jakarta Selatan</t>
        </is>
      </c>
      <c r="C120" t="inlineStr">
        <is>
          <t>02152921599</t>
        </is>
      </c>
      <c r="D120" t="inlineStr">
        <is>
          <t>info@sims.co.id</t>
        </is>
      </c>
      <c r="E120" t="inlineStr">
        <is>
          <t>https://lpjk.pu.go.id/search-badan-usaha-detail/NzBrZWR6Q3VVT1lWS2V1TEE1amRSUT09</t>
        </is>
      </c>
      <c r="F120" t="n">
        <v>1</v>
      </c>
      <c r="G120" t="inlineStr">
        <is>
          <t>IN002</t>
        </is>
      </c>
      <c r="H120" t="inlineStr">
        <is>
          <t>31 Januari 1992</t>
        </is>
      </c>
      <c r="I120" s="2" t="n">
        <v>46259</v>
      </c>
      <c r="J120" t="inlineStr">
        <is>
          <t>Disetujui</t>
        </is>
      </c>
      <c r="K120" t="n">
        <v>60</v>
      </c>
      <c r="L120" t="inlineStr">
        <is>
          <t>25 Agustus 2026</t>
        </is>
      </c>
      <c r="M120" t="inlineStr">
        <is>
          <t>Instalasi Telekomunikasi</t>
        </is>
      </c>
      <c r="N120" t="inlineStr">
        <is>
          <t>Spesialis</t>
        </is>
      </c>
      <c r="O120" t="inlineStr">
        <is>
          <t>20230820</t>
        </is>
      </c>
      <c r="P120" t="inlineStr">
        <is>
          <t>DKI Jakarta</t>
        </is>
      </c>
      <c r="Q120" t="inlineStr"/>
    </row>
    <row r="121">
      <c r="A121" t="inlineStr">
        <is>
          <t>SEKAWAN MITRA BERSAMA</t>
        </is>
      </c>
      <c r="B121" t="inlineStr">
        <is>
          <t>Kota Medan</t>
        </is>
      </c>
      <c r="C121" t="inlineStr">
        <is>
          <t>081361543754</t>
        </is>
      </c>
      <c r="D121" t="inlineStr">
        <is>
          <t>rizkybersama2014@gmail.com</t>
        </is>
      </c>
      <c r="E121" t="inlineStr">
        <is>
          <t>https://lpjk.pu.go.id/search-badan-usaha-detail/b3R4VXNBemFRK3hjTHhRQ0E0YVdRUT09</t>
        </is>
      </c>
      <c r="F121" t="n">
        <v>2</v>
      </c>
      <c r="G121" t="inlineStr">
        <is>
          <t>BG002</t>
        </is>
      </c>
      <c r="H121" t="inlineStr">
        <is>
          <t>19 Juni 2020</t>
        </is>
      </c>
      <c r="I121" s="2" t="n">
        <v>46259</v>
      </c>
      <c r="J121" t="inlineStr">
        <is>
          <t>Pencabutan</t>
        </is>
      </c>
      <c r="K121" t="n">
        <v>60</v>
      </c>
      <c r="L121" t="inlineStr">
        <is>
          <t>25 Agustus 2026</t>
        </is>
      </c>
      <c r="M121" t="inlineStr">
        <is>
          <t>Konstruksi Gedung Perkantoran</t>
        </is>
      </c>
      <c r="N121" t="inlineStr">
        <is>
          <t>K</t>
        </is>
      </c>
      <c r="O121" t="inlineStr">
        <is>
          <t>20230824</t>
        </is>
      </c>
      <c r="P121" t="inlineStr">
        <is>
          <t>Sumatera Utara</t>
        </is>
      </c>
      <c r="Q121" t="inlineStr"/>
    </row>
    <row r="122">
      <c r="A122" t="inlineStr">
        <is>
          <t>SEMANGAT JAYA</t>
        </is>
      </c>
      <c r="B122" t="inlineStr">
        <is>
          <t>Kab. Sidoarjo</t>
        </is>
      </c>
      <c r="C122" t="inlineStr">
        <is>
          <t>081235362453</t>
        </is>
      </c>
      <c r="D122" t="inlineStr">
        <is>
          <t>semangat.jaya2012@gmail.com</t>
        </is>
      </c>
      <c r="E122" t="inlineStr">
        <is>
          <t>https://lpjk.pu.go.id/search-badan-usaha-detail/eHYrbnB1d1ZtOTVVUC9xbkoveFhnQT09</t>
        </is>
      </c>
      <c r="F122" t="n">
        <v>1</v>
      </c>
      <c r="G122" t="inlineStr">
        <is>
          <t>BS002</t>
        </is>
      </c>
      <c r="H122" t="inlineStr">
        <is>
          <t>22 Oktober 1986</t>
        </is>
      </c>
      <c r="I122" s="2" t="n">
        <v>46259</v>
      </c>
      <c r="J122" t="inlineStr">
        <is>
          <t>Disetujui</t>
        </is>
      </c>
      <c r="K122" t="n">
        <v>60</v>
      </c>
      <c r="L122" t="inlineStr">
        <is>
          <t>25 Agustus 2026</t>
        </is>
      </c>
      <c r="M122" t="inlineStr">
        <is>
          <t>Bangunan Sipil Jembatan, Jalan Layang, Fly Over, dan Underpass</t>
        </is>
      </c>
      <c r="N122" t="inlineStr">
        <is>
          <t>K</t>
        </is>
      </c>
      <c r="O122" t="inlineStr">
        <is>
          <t>20230825</t>
        </is>
      </c>
      <c r="P122" t="inlineStr">
        <is>
          <t>Jawa Timur</t>
        </is>
      </c>
      <c r="Q122" t="inlineStr"/>
    </row>
    <row r="123">
      <c r="A123" t="inlineStr">
        <is>
          <t>SETYA KAWAN</t>
        </is>
      </c>
      <c r="B123" t="inlineStr">
        <is>
          <t>Kota Madiun</t>
        </is>
      </c>
      <c r="C123" t="inlineStr">
        <is>
          <t>0822 6425 3042</t>
        </is>
      </c>
      <c r="D123" t="inlineStr">
        <is>
          <t>setyakawancv@gmail.com</t>
        </is>
      </c>
      <c r="E123" t="inlineStr">
        <is>
          <t>https://lpjk.pu.go.id/search-badan-usaha-detail/ek1qeTA5VnMreVk0Z2lSa25XY0JyUT09</t>
        </is>
      </c>
      <c r="F123" t="n">
        <v>1</v>
      </c>
      <c r="G123" t="inlineStr">
        <is>
          <t>BG009</t>
        </is>
      </c>
      <c r="H123" t="inlineStr">
        <is>
          <t>5 Juni 2017</t>
        </is>
      </c>
      <c r="I123" s="2" t="n">
        <v>46259</v>
      </c>
      <c r="J123" t="inlineStr">
        <is>
          <t>Disetujui</t>
        </is>
      </c>
      <c r="K123" t="n">
        <v>60</v>
      </c>
      <c r="L123" t="inlineStr">
        <is>
          <t>25 Agustus 2026</t>
        </is>
      </c>
      <c r="M123" t="inlineStr">
        <is>
          <t>Konstruksi Gedung Lainnya</t>
        </is>
      </c>
      <c r="N123" t="inlineStr">
        <is>
          <t>K</t>
        </is>
      </c>
      <c r="O123" t="inlineStr">
        <is>
          <t>20230816</t>
        </is>
      </c>
      <c r="P123" t="inlineStr">
        <is>
          <t>Jawa Timur</t>
        </is>
      </c>
      <c r="Q123" t="inlineStr"/>
    </row>
    <row r="124">
      <c r="A124" t="inlineStr">
        <is>
          <t>SINAR BARU KEISYA</t>
        </is>
      </c>
      <c r="B124" t="inlineStr">
        <is>
          <t>Kab. Bima</t>
        </is>
      </c>
      <c r="C124" t="inlineStr">
        <is>
          <t>085239680549</t>
        </is>
      </c>
      <c r="D124" t="inlineStr">
        <is>
          <t>cvsinarbarukeisa@gmail.com</t>
        </is>
      </c>
      <c r="E124" t="inlineStr">
        <is>
          <t>https://lpjk.pu.go.id/search-badan-usaha-detail/QitVc0hvbFJpMXJ0UjJ1dGZBdGRhZz09</t>
        </is>
      </c>
      <c r="F124" t="n">
        <v>1</v>
      </c>
      <c r="G124" t="inlineStr">
        <is>
          <t>BG009</t>
        </is>
      </c>
      <c r="H124" t="inlineStr">
        <is>
          <t>6 Desember 2018</t>
        </is>
      </c>
      <c r="I124" s="2" t="n">
        <v>46259</v>
      </c>
      <c r="J124" t="inlineStr">
        <is>
          <t>Disetujui</t>
        </is>
      </c>
      <c r="K124" t="n">
        <v>60</v>
      </c>
      <c r="L124" t="inlineStr">
        <is>
          <t>25 Agustus 2026</t>
        </is>
      </c>
      <c r="M124" t="inlineStr">
        <is>
          <t>Konstruksi Gedung Lainnya</t>
        </is>
      </c>
      <c r="N124" t="inlineStr">
        <is>
          <t>K</t>
        </is>
      </c>
      <c r="O124" t="inlineStr">
        <is>
          <t>20230821</t>
        </is>
      </c>
      <c r="P124" t="inlineStr">
        <is>
          <t>Nusa Tenggara Barat</t>
        </is>
      </c>
      <c r="Q124" t="inlineStr"/>
    </row>
    <row r="125">
      <c r="A125" t="inlineStr">
        <is>
          <t>SUMBER JAYA</t>
        </is>
      </c>
      <c r="B125" t="inlineStr">
        <is>
          <t>Kab. Jepara</t>
        </is>
      </c>
      <c r="C125" t="inlineStr">
        <is>
          <t>081229235005</t>
        </is>
      </c>
      <c r="D125" t="inlineStr">
        <is>
          <t>anesansori@yahoo.co.id</t>
        </is>
      </c>
      <c r="E125" t="inlineStr">
        <is>
          <t>https://lpjk.pu.go.id/search-badan-usaha-detail/WlVzMzVaejZhMHQwczZ2dkpRdDR1UT09</t>
        </is>
      </c>
      <c r="F125" t="n">
        <v>1</v>
      </c>
      <c r="G125" t="inlineStr">
        <is>
          <t>BS005</t>
        </is>
      </c>
      <c r="H125" t="inlineStr">
        <is>
          <t>11 Maret 1986</t>
        </is>
      </c>
      <c r="I125" s="2" t="n">
        <v>46259</v>
      </c>
      <c r="J125" t="inlineStr">
        <is>
          <t>Disetujui</t>
        </is>
      </c>
      <c r="K125" t="n">
        <v>60</v>
      </c>
      <c r="L125" t="inlineStr">
        <is>
          <t>25 Agustus 2026</t>
        </is>
      </c>
      <c r="M125" t="inlineStr">
        <is>
          <t>Konstruksi Bangunan Sipil Pengolahan Air Bersih</t>
        </is>
      </c>
      <c r="N125" t="inlineStr">
        <is>
          <t>K</t>
        </is>
      </c>
      <c r="O125" t="inlineStr">
        <is>
          <t>20230822</t>
        </is>
      </c>
      <c r="P125" t="inlineStr">
        <is>
          <t>Jawa Tengah</t>
        </is>
      </c>
      <c r="Q125" t="inlineStr"/>
    </row>
    <row r="126">
      <c r="A126" t="inlineStr">
        <is>
          <t>SUMBER MAKMUR</t>
        </is>
      </c>
      <c r="B126" t="inlineStr">
        <is>
          <t>Kab. Temanggung</t>
        </is>
      </c>
      <c r="C126" t="inlineStr">
        <is>
          <t>08122733949</t>
        </is>
      </c>
      <c r="D126" t="inlineStr">
        <is>
          <t>m.sumber@yahoo.com</t>
        </is>
      </c>
      <c r="E126" t="inlineStr">
        <is>
          <t>https://lpjk.pu.go.id/search-badan-usaha-detail/alk1YjFPL2kreUxDZmJNUzRNY1lCZz09</t>
        </is>
      </c>
      <c r="F126" t="n">
        <v>1</v>
      </c>
      <c r="G126" t="inlineStr">
        <is>
          <t>BS001</t>
        </is>
      </c>
      <c r="H126" t="inlineStr">
        <is>
          <t>21 September 1989</t>
        </is>
      </c>
      <c r="I126" s="2" t="n">
        <v>46259</v>
      </c>
      <c r="J126" t="inlineStr">
        <is>
          <t>Disetujui</t>
        </is>
      </c>
      <c r="K126" t="n">
        <v>60</v>
      </c>
      <c r="L126" t="inlineStr">
        <is>
          <t>25 Agustus 2026</t>
        </is>
      </c>
      <c r="M126" t="inlineStr">
        <is>
          <t>Konstruksi Bangunan Sipil Jalan</t>
        </is>
      </c>
      <c r="N126" t="inlineStr">
        <is>
          <t>K</t>
        </is>
      </c>
      <c r="O126" t="inlineStr">
        <is>
          <t>20230824</t>
        </is>
      </c>
      <c r="P126" t="inlineStr">
        <is>
          <t>Jawa Tengah</t>
        </is>
      </c>
      <c r="Q126" t="inlineStr"/>
    </row>
    <row r="127">
      <c r="A127" t="inlineStr">
        <is>
          <t>SURYA PANTAI TIMUR</t>
        </is>
      </c>
      <c r="B127" t="inlineStr">
        <is>
          <t>Kab. Bireuen</t>
        </is>
      </c>
      <c r="C127" t="inlineStr">
        <is>
          <t>081269117008</t>
        </is>
      </c>
      <c r="D127" t="inlineStr">
        <is>
          <t>cv.suryapantaitimur@gmail.com</t>
        </is>
      </c>
      <c r="E127" t="inlineStr">
        <is>
          <t>https://lpjk.pu.go.id/search-badan-usaha-detail/b3Roem9reEZpTTVxSktlaytFbXZQQT09</t>
        </is>
      </c>
      <c r="F127" t="n">
        <v>1</v>
      </c>
      <c r="G127" t="inlineStr">
        <is>
          <t>BG004</t>
        </is>
      </c>
      <c r="H127" t="inlineStr">
        <is>
          <t>25 September 2010</t>
        </is>
      </c>
      <c r="I127" s="2" t="n">
        <v>46259</v>
      </c>
      <c r="J127" t="inlineStr">
        <is>
          <t>Disetujui</t>
        </is>
      </c>
      <c r="K127" t="n">
        <v>60</v>
      </c>
      <c r="L127" t="inlineStr">
        <is>
          <t>25 Agustus 2026</t>
        </is>
      </c>
      <c r="M127" t="inlineStr">
        <is>
          <t>Konstruksi Gedung Perbelanjaan</t>
        </is>
      </c>
      <c r="N127" t="inlineStr">
        <is>
          <t>K</t>
        </is>
      </c>
      <c r="O127" t="inlineStr">
        <is>
          <t>20230825</t>
        </is>
      </c>
      <c r="P127" t="inlineStr">
        <is>
          <t>Aceh</t>
        </is>
      </c>
      <c r="Q127" t="inlineStr"/>
    </row>
    <row r="128">
      <c r="A128" t="inlineStr">
        <is>
          <t>SURYARAYA ANUGERAH SAMUDRA</t>
        </is>
      </c>
      <c r="B128" t="inlineStr">
        <is>
          <t>Kota Surabaya</t>
        </is>
      </c>
      <c r="C128" t="inlineStr">
        <is>
          <t>08123586402</t>
        </is>
      </c>
      <c r="D128" t="inlineStr">
        <is>
          <t>suryarayaanugerah2021@gmail.com</t>
        </is>
      </c>
      <c r="E128" t="inlineStr">
        <is>
          <t>https://lpjk.pu.go.id/search-badan-usaha-detail/dWVxYzRWYzdXRlY5YzJBdEpJczE2Zz09</t>
        </is>
      </c>
      <c r="F128" t="n">
        <v>1</v>
      </c>
      <c r="G128" t="inlineStr">
        <is>
          <t>BG004</t>
        </is>
      </c>
      <c r="H128" t="inlineStr">
        <is>
          <t>14 November 2022</t>
        </is>
      </c>
      <c r="I128" s="2" t="n">
        <v>46259</v>
      </c>
      <c r="J128" t="inlineStr">
        <is>
          <t>Disetujui</t>
        </is>
      </c>
      <c r="K128" t="n">
        <v>60</v>
      </c>
      <c r="L128" t="inlineStr">
        <is>
          <t>25 Agustus 2026</t>
        </is>
      </c>
      <c r="M128" t="inlineStr">
        <is>
          <t>Konstruksi Gedung Perbelanjaan</t>
        </is>
      </c>
      <c r="N128" t="inlineStr">
        <is>
          <t>K</t>
        </is>
      </c>
      <c r="O128" t="inlineStr">
        <is>
          <t>20230822</t>
        </is>
      </c>
      <c r="P128" t="inlineStr">
        <is>
          <t>Jawa Timur</t>
        </is>
      </c>
      <c r="Q128" t="inlineStr"/>
    </row>
    <row r="129">
      <c r="A129" t="inlineStr">
        <is>
          <t>TAHAYYURA RATU ASAHI</t>
        </is>
      </c>
      <c r="B129" t="inlineStr">
        <is>
          <t>Kota Padang</t>
        </is>
      </c>
      <c r="C129" t="inlineStr">
        <is>
          <t>081267423896</t>
        </is>
      </c>
      <c r="D129" t="inlineStr">
        <is>
          <t>tahayyura.ratu.asahi@gmail.com</t>
        </is>
      </c>
      <c r="E129" t="inlineStr">
        <is>
          <t>https://lpjk.pu.go.id/search-badan-usaha-detail/b0d4VWJ6YWVMMm16ZitJV1lDbENNQT09</t>
        </is>
      </c>
      <c r="F129" t="n">
        <v>1</v>
      </c>
      <c r="G129" t="inlineStr">
        <is>
          <t>BG003</t>
        </is>
      </c>
      <c r="H129" t="inlineStr">
        <is>
          <t>12 Februari 2014</t>
        </is>
      </c>
      <c r="I129" s="2" t="n">
        <v>46259</v>
      </c>
      <c r="J129" t="inlineStr">
        <is>
          <t>Disetujui</t>
        </is>
      </c>
      <c r="K129" t="n">
        <v>60</v>
      </c>
      <c r="L129" t="inlineStr">
        <is>
          <t>25 Agustus 2026</t>
        </is>
      </c>
      <c r="M129" t="inlineStr">
        <is>
          <t>Konstruksi Gedung Industri</t>
        </is>
      </c>
      <c r="N129" t="inlineStr">
        <is>
          <t>K</t>
        </is>
      </c>
      <c r="O129" t="inlineStr">
        <is>
          <t>20230817</t>
        </is>
      </c>
      <c r="P129" t="inlineStr">
        <is>
          <t>Sumatera Barat</t>
        </is>
      </c>
      <c r="Q129" t="inlineStr"/>
    </row>
    <row r="130">
      <c r="A130" t="inlineStr">
        <is>
          <t>TATA BANGUN PERKASA</t>
        </is>
      </c>
      <c r="B130" t="inlineStr">
        <is>
          <t>Kab. Polewali Mandar</t>
        </is>
      </c>
      <c r="C130" t="inlineStr">
        <is>
          <t>085293437333</t>
        </is>
      </c>
      <c r="D130" t="inlineStr">
        <is>
          <t>cvtatabangunperkasa@gmail.com</t>
        </is>
      </c>
      <c r="E130" t="inlineStr">
        <is>
          <t>https://lpjk.pu.go.id/search-badan-usaha-detail/UWFEL0pCMmFxZnVMV2M4TkptaEJYZz09</t>
        </is>
      </c>
      <c r="F130" t="n">
        <v>1</v>
      </c>
      <c r="G130" t="inlineStr">
        <is>
          <t>BG008</t>
        </is>
      </c>
      <c r="H130" t="inlineStr">
        <is>
          <t>9 Januari 2020</t>
        </is>
      </c>
      <c r="I130" s="2" t="n">
        <v>46259</v>
      </c>
      <c r="J130" t="inlineStr">
        <is>
          <t>Disetujui</t>
        </is>
      </c>
      <c r="K130" t="n">
        <v>60</v>
      </c>
      <c r="L130" t="inlineStr">
        <is>
          <t>25 Agustus 2026</t>
        </is>
      </c>
      <c r="M130" t="inlineStr">
        <is>
          <t>Konstruksi Gedung Tempat Hiburan dan Olahraga</t>
        </is>
      </c>
      <c r="N130" t="inlineStr">
        <is>
          <t>K</t>
        </is>
      </c>
      <c r="O130" t="inlineStr">
        <is>
          <t>20230825</t>
        </is>
      </c>
      <c r="P130" t="inlineStr">
        <is>
          <t>Sulawesi Barat</t>
        </is>
      </c>
      <c r="Q130" t="inlineStr"/>
    </row>
    <row r="131">
      <c r="A131" t="inlineStr">
        <is>
          <t>TOMLENG</t>
        </is>
      </c>
      <c r="B131" t="inlineStr">
        <is>
          <t>Kab. Ciamis</t>
        </is>
      </c>
      <c r="C131" t="inlineStr">
        <is>
          <t>085222715973</t>
        </is>
      </c>
      <c r="D131" t="inlineStr">
        <is>
          <t>didasembada800@gmail.com</t>
        </is>
      </c>
      <c r="E131" t="inlineStr">
        <is>
          <t>https://lpjk.pu.go.id/search-badan-usaha-detail/V0RJZm5CR1lqY1NrS1l1UVRBWE5jZz09</t>
        </is>
      </c>
      <c r="F131" t="n">
        <v>2</v>
      </c>
      <c r="G131" t="inlineStr">
        <is>
          <t>BS001, BS004</t>
        </is>
      </c>
      <c r="H131" t="inlineStr">
        <is>
          <t>15 Februari 2019</t>
        </is>
      </c>
      <c r="I131" s="2" t="n">
        <v>46259</v>
      </c>
      <c r="J131" t="inlineStr">
        <is>
          <t>Disetujui</t>
        </is>
      </c>
      <c r="K131" t="n">
        <v>60</v>
      </c>
      <c r="L131" t="inlineStr">
        <is>
          <t>25 Agustus 2026</t>
        </is>
      </c>
      <c r="M131" t="inlineStr">
        <is>
          <t>Konstruksi Bangunan Sipil Jalan, Konstruksi Jaringan Irigasi dan Drainase</t>
        </is>
      </c>
      <c r="N131" t="inlineStr">
        <is>
          <t>K</t>
        </is>
      </c>
      <c r="O131" t="inlineStr">
        <is>
          <t>20230825</t>
        </is>
      </c>
      <c r="P131" t="inlineStr">
        <is>
          <t>Jawa Barat</t>
        </is>
      </c>
      <c r="Q131" t="inlineStr"/>
    </row>
    <row r="132">
      <c r="A132" t="inlineStr">
        <is>
          <t>TRANSIS COM</t>
        </is>
      </c>
      <c r="B132" t="inlineStr">
        <is>
          <t>Kab. Cirebon</t>
        </is>
      </c>
      <c r="C132" t="inlineStr">
        <is>
          <t>081395713111</t>
        </is>
      </c>
      <c r="D132" t="inlineStr">
        <is>
          <t>cv.transiscom@yahoo.com</t>
        </is>
      </c>
      <c r="E132" t="inlineStr">
        <is>
          <t>https://lpjk.pu.go.id/search-badan-usaha-detail/TFV2Yk5RMDRxWi9QVkl6MThySDhndz09</t>
        </is>
      </c>
      <c r="F132" t="n">
        <v>3</v>
      </c>
      <c r="G132" t="inlineStr">
        <is>
          <t>BG005</t>
        </is>
      </c>
      <c r="H132" t="inlineStr">
        <is>
          <t>24 Juli 2007</t>
        </is>
      </c>
      <c r="I132" s="2" t="n">
        <v>46259</v>
      </c>
      <c r="J132" t="inlineStr">
        <is>
          <t>Disetujui</t>
        </is>
      </c>
      <c r="K132" t="n">
        <v>60</v>
      </c>
      <c r="L132" t="inlineStr">
        <is>
          <t>25 Agustus 2026</t>
        </is>
      </c>
      <c r="M132" t="inlineStr">
        <is>
          <t>Konstruksi Gedung Kesehatan</t>
        </is>
      </c>
      <c r="N132" t="inlineStr">
        <is>
          <t>K</t>
        </is>
      </c>
      <c r="O132" t="inlineStr">
        <is>
          <t>20230823</t>
        </is>
      </c>
      <c r="P132" t="inlineStr">
        <is>
          <t>Jawa Barat</t>
        </is>
      </c>
      <c r="Q132" t="inlineStr"/>
    </row>
    <row r="133">
      <c r="A133" t="inlineStr">
        <is>
          <t>TUNJUNG</t>
        </is>
      </c>
      <c r="B133" t="inlineStr">
        <is>
          <t>Kota Mataram</t>
        </is>
      </c>
      <c r="C133" t="inlineStr">
        <is>
          <t>087865013677</t>
        </is>
      </c>
      <c r="D133" t="inlineStr">
        <is>
          <t>lovelyvivit@gmail.com</t>
        </is>
      </c>
      <c r="E133" t="inlineStr">
        <is>
          <t>https://lpjk.pu.go.id/search-badan-usaha-detail/WHdPcU1QZDloRXM1RFo3OGlFMHhuZz09</t>
        </is>
      </c>
      <c r="F133" t="n">
        <v>1</v>
      </c>
      <c r="G133" t="inlineStr">
        <is>
          <t>BG009</t>
        </is>
      </c>
      <c r="H133" t="inlineStr">
        <is>
          <t>2 Juni 2022</t>
        </is>
      </c>
      <c r="I133" s="2" t="n">
        <v>46259</v>
      </c>
      <c r="J133" t="inlineStr">
        <is>
          <t>Disetujui</t>
        </is>
      </c>
      <c r="K133" t="n">
        <v>60</v>
      </c>
      <c r="L133" t="inlineStr">
        <is>
          <t>25 Agustus 2026</t>
        </is>
      </c>
      <c r="M133" t="inlineStr">
        <is>
          <t>Konstruksi Gedung Lainnya</t>
        </is>
      </c>
      <c r="N133" t="inlineStr">
        <is>
          <t>K</t>
        </is>
      </c>
      <c r="O133" t="inlineStr">
        <is>
          <t>20230822</t>
        </is>
      </c>
      <c r="P133" t="inlineStr">
        <is>
          <t>Nusa Tenggara Barat</t>
        </is>
      </c>
      <c r="Q133" t="inlineStr"/>
    </row>
    <row r="134">
      <c r="A134" t="inlineStr">
        <is>
          <t>UNGGUL</t>
        </is>
      </c>
      <c r="B134" t="inlineStr">
        <is>
          <t>Kab. Situbondo</t>
        </is>
      </c>
      <c r="C134" t="inlineStr">
        <is>
          <t>082140591454</t>
        </is>
      </c>
      <c r="D134" t="inlineStr">
        <is>
          <t>lsbugkb3512@gmail.com</t>
        </is>
      </c>
      <c r="E134" t="inlineStr">
        <is>
          <t>https://lpjk.pu.go.id/search-badan-usaha-detail/dWNodU04dU5Bakl2N05jaGhzY24vUT09</t>
        </is>
      </c>
      <c r="F134" t="n">
        <v>1</v>
      </c>
      <c r="G134" t="inlineStr">
        <is>
          <t>BS004</t>
        </is>
      </c>
      <c r="H134" t="inlineStr">
        <is>
          <t>24 Januari 2002</t>
        </is>
      </c>
      <c r="I134" s="2" t="n">
        <v>46259</v>
      </c>
      <c r="J134" t="inlineStr">
        <is>
          <t>Disetujui</t>
        </is>
      </c>
      <c r="K134" t="n">
        <v>60</v>
      </c>
      <c r="L134" t="inlineStr">
        <is>
          <t>25 Agustus 2026</t>
        </is>
      </c>
      <c r="M134" t="inlineStr">
        <is>
          <t>Konstruksi Jaringan Irigasi dan Drainase</t>
        </is>
      </c>
      <c r="N134" t="inlineStr">
        <is>
          <t>K</t>
        </is>
      </c>
      <c r="O134" t="inlineStr">
        <is>
          <t>20230815</t>
        </is>
      </c>
      <c r="P134" t="inlineStr">
        <is>
          <t>Jawa Timur</t>
        </is>
      </c>
      <c r="Q134" t="inlineStr"/>
    </row>
    <row r="135">
      <c r="A135" t="inlineStr">
        <is>
          <t>UTAMA TEKNIK</t>
        </is>
      </c>
      <c r="B135" t="inlineStr">
        <is>
          <t>Kota Makassar</t>
        </is>
      </c>
      <c r="C135" t="inlineStr">
        <is>
          <t>081355176909</t>
        </is>
      </c>
      <c r="D135" t="inlineStr">
        <is>
          <t>cv.utamateknik2021@gmail.com</t>
        </is>
      </c>
      <c r="E135" t="inlineStr">
        <is>
          <t>https://lpjk.pu.go.id/search-badan-usaha-detail/eVYzcEQ2emdjclVjUjJmRTBXWDUvdz09</t>
        </is>
      </c>
      <c r="F135" t="n">
        <v>2</v>
      </c>
      <c r="G135" t="inlineStr">
        <is>
          <t>BG004, BG006</t>
        </is>
      </c>
      <c r="H135" t="inlineStr">
        <is>
          <t>8 Januari 2016</t>
        </is>
      </c>
      <c r="I135" s="2" t="n">
        <v>46259</v>
      </c>
      <c r="J135" t="inlineStr">
        <is>
          <t>Disetujui</t>
        </is>
      </c>
      <c r="K135" t="n">
        <v>60</v>
      </c>
      <c r="L135" t="inlineStr">
        <is>
          <t>25 Agustus 2026</t>
        </is>
      </c>
      <c r="M135" t="inlineStr">
        <is>
          <t>Konstruksi Gedung Pendidikan, Konstruksi Gedung Perbelanjaan</t>
        </is>
      </c>
      <c r="N135" t="inlineStr">
        <is>
          <t>K</t>
        </is>
      </c>
      <c r="O135" t="inlineStr">
        <is>
          <t>20230817</t>
        </is>
      </c>
      <c r="P135" t="inlineStr">
        <is>
          <t>Sulawesi Selatan</t>
        </is>
      </c>
      <c r="Q135" t="inlineStr"/>
    </row>
    <row r="136">
      <c r="A136" t="inlineStr">
        <is>
          <t>WIRAHADI DJAYA</t>
        </is>
      </c>
      <c r="B136" t="inlineStr">
        <is>
          <t>Kab. Indramayu</t>
        </is>
      </c>
      <c r="C136" t="inlineStr">
        <is>
          <t>0818459271</t>
        </is>
      </c>
      <c r="D136" t="inlineStr">
        <is>
          <t>cvwirahadidjaya@gmail.com</t>
        </is>
      </c>
      <c r="E136" t="inlineStr">
        <is>
          <t>https://lpjk.pu.go.id/search-badan-usaha-detail/YXlGR0RqeVJGMFBOSFF5a29KM0dQQT09</t>
        </is>
      </c>
      <c r="F136" t="n">
        <v>2</v>
      </c>
      <c r="G136" t="inlineStr">
        <is>
          <t>BG006</t>
        </is>
      </c>
      <c r="H136" t="inlineStr">
        <is>
          <t>3 April 2013</t>
        </is>
      </c>
      <c r="I136" s="2" t="n">
        <v>46259</v>
      </c>
      <c r="J136" t="inlineStr">
        <is>
          <t>Disetujui</t>
        </is>
      </c>
      <c r="K136" t="n">
        <v>60</v>
      </c>
      <c r="L136" t="inlineStr">
        <is>
          <t>25 Agustus 2026</t>
        </is>
      </c>
      <c r="M136" t="inlineStr">
        <is>
          <t>Konstruksi Gedung Pendidikan</t>
        </is>
      </c>
      <c r="N136" t="inlineStr">
        <is>
          <t>K</t>
        </is>
      </c>
      <c r="O136" t="inlineStr">
        <is>
          <t>20230816</t>
        </is>
      </c>
      <c r="P136" t="inlineStr">
        <is>
          <t>Jawa Barat</t>
        </is>
      </c>
      <c r="Q136" t="inlineStr"/>
    </row>
    <row r="137">
      <c r="A137" t="inlineStr">
        <is>
          <t>YUDHI JASA</t>
        </is>
      </c>
      <c r="B137" t="inlineStr">
        <is>
          <t>Kab. Tanah Laut</t>
        </is>
      </c>
      <c r="C137" t="inlineStr">
        <is>
          <t>081251258700</t>
        </is>
      </c>
      <c r="D137" t="inlineStr">
        <is>
          <t>yudhijasa@yahoo.com</t>
        </is>
      </c>
      <c r="E137" t="inlineStr">
        <is>
          <t>https://lpjk.pu.go.id/search-badan-usaha-detail/VHJFT2dJa1oyU3FLQU52VGRWN283Zz09</t>
        </is>
      </c>
      <c r="F137" t="n">
        <v>1</v>
      </c>
      <c r="G137" t="inlineStr">
        <is>
          <t>BG009</t>
        </is>
      </c>
      <c r="H137" t="inlineStr">
        <is>
          <t>29 Maret 1983</t>
        </is>
      </c>
      <c r="I137" s="2" t="n">
        <v>46259</v>
      </c>
      <c r="J137" t="inlineStr">
        <is>
          <t>Pencabutan</t>
        </is>
      </c>
      <c r="K137" t="n">
        <v>60</v>
      </c>
      <c r="L137" t="inlineStr">
        <is>
          <t>25 Agustus 2026</t>
        </is>
      </c>
      <c r="M137" t="inlineStr">
        <is>
          <t>Konstruksi Gedung Lainnya</t>
        </is>
      </c>
      <c r="N137" t="inlineStr">
        <is>
          <t>K</t>
        </is>
      </c>
      <c r="O137" t="inlineStr">
        <is>
          <t>20230814</t>
        </is>
      </c>
      <c r="P137" t="inlineStr">
        <is>
          <t>Kalimantan Selatan</t>
        </is>
      </c>
      <c r="Q13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66"/>
  <sheetViews>
    <sheetView workbookViewId="0">
      <selection activeCell="A1" sqref="A1"/>
    </sheetView>
  </sheetViews>
  <sheetFormatPr baseColWidth="8" defaultRowHeight="15"/>
  <cols>
    <col width="47" customWidth="1" min="1" max="1"/>
    <col width="27" customWidth="1" min="2" max="2"/>
    <col width="16" customWidth="1" min="3" max="3"/>
    <col width="40" customWidth="1" min="4" max="4"/>
    <col width="50" customWidth="1" min="5" max="5"/>
    <col width="18" customWidth="1" min="6" max="6"/>
    <col width="35"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2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ARAWASTU AMERTA REKA</t>
        </is>
      </c>
      <c r="B2" t="inlineStr">
        <is>
          <t>Kab. Bogor</t>
        </is>
      </c>
      <c r="C2" t="inlineStr">
        <is>
          <t>081328501684</t>
        </is>
      </c>
      <c r="D2" t="inlineStr">
        <is>
          <t>arawastu.studio@gmail.com</t>
        </is>
      </c>
      <c r="E2" t="inlineStr">
        <is>
          <t>https://lpjk.pu.go.id/search-badan-usaha-detail/YW9oM0RRV0lPWDkzMjBtbUdZVkFWQT09</t>
        </is>
      </c>
      <c r="F2" t="n">
        <v>1</v>
      </c>
      <c r="G2" t="inlineStr">
        <is>
          <t>RK004</t>
        </is>
      </c>
      <c r="H2" t="inlineStr">
        <is>
          <t>8 Februari 2023</t>
        </is>
      </c>
      <c r="I2" s="2" t="n">
        <v>46229</v>
      </c>
      <c r="J2" t="inlineStr">
        <is>
          <t>Pencabutan</t>
        </is>
      </c>
      <c r="K2" t="n">
        <v>30</v>
      </c>
      <c r="L2" t="inlineStr">
        <is>
          <t>26 Juli 2026</t>
        </is>
      </c>
      <c r="M2" t="inlineStr">
        <is>
          <t>Jasa Rekayasa Pekerjaan Mekanikal Dalam Bangunan</t>
        </is>
      </c>
      <c r="N2" t="inlineStr">
        <is>
          <t>K</t>
        </is>
      </c>
      <c r="O2" t="inlineStr">
        <is>
          <t>20230718</t>
        </is>
      </c>
      <c r="P2" t="inlineStr">
        <is>
          <t>Jawa Barat</t>
        </is>
      </c>
      <c r="Q2" s="3">
        <f>HYPERLINK("https://wa.me/6281328501684?text=*[Pengingat Masa Berlaku SBU ARAWASTU AMERTA REKA]*%0A%0AYth. Pimpinan ARAWASTU AMERTA REKA,%0AMohon izin menginformasikan status SBU Anda:%0A%0A📄 SBU: RK004%0A📅 Expired: 26 Juli 2026 (30 Hari Lagi)%0A%0AKami tim PT. ESDEA Assistance Management siap men-support proses perpanjangan segera agar administrasi proyek tidak terhambat%0A%0AApakah boleh saya bantu siapkan estimasi biaya dan waktu pengerjaannya?.", "Hubungi")</f>
        <v/>
      </c>
    </row>
    <row r="3">
      <c r="A3" t="inlineStr">
        <is>
          <t>ARTA TAMA SINERGY</t>
        </is>
      </c>
      <c r="B3" t="inlineStr">
        <is>
          <t>Kota Adm. Jakarta Timur</t>
        </is>
      </c>
      <c r="C3" t="inlineStr">
        <is>
          <t>082178717272</t>
        </is>
      </c>
      <c r="D3" t="inlineStr">
        <is>
          <t>arta_mas@yahoo.com</t>
        </is>
      </c>
      <c r="E3" t="inlineStr">
        <is>
          <t>https://lpjk.pu.go.id/search-badan-usaha-detail/a0ZUZmd1a2k3S1NDbFFNUUQxTkxtZz09</t>
        </is>
      </c>
      <c r="F3" t="n">
        <v>1</v>
      </c>
      <c r="G3" t="inlineStr">
        <is>
          <t>BG001</t>
        </is>
      </c>
      <c r="H3" t="inlineStr">
        <is>
          <t>8 Februari 2019</t>
        </is>
      </c>
      <c r="I3" s="2" t="n">
        <v>46229</v>
      </c>
      <c r="J3" t="inlineStr">
        <is>
          <t>Pencabutan</t>
        </is>
      </c>
      <c r="K3" t="n">
        <v>30</v>
      </c>
      <c r="L3" t="inlineStr">
        <is>
          <t>26 Juli 2026</t>
        </is>
      </c>
      <c r="M3" t="inlineStr">
        <is>
          <t>Konstruksi Gedung Hunian</t>
        </is>
      </c>
      <c r="N3" t="inlineStr">
        <is>
          <t>K</t>
        </is>
      </c>
      <c r="O3" t="inlineStr">
        <is>
          <t>20230727</t>
        </is>
      </c>
      <c r="P3" t="inlineStr">
        <is>
          <t>DKI Jakarta</t>
        </is>
      </c>
      <c r="Q3" s="3">
        <f>HYPERLINK("https://wa.me/6282178717272?text=*[Pengingat Masa Berlaku SBU ARTA TAMA SINERGY]*%0A%0AYth. Pimpinan ARTA TAMA SINERGY,%0AMohon izin menginformasikan status SBU Anda:%0A%0A📄 SBU: BG001%0A📅 Expired: 26 Juli 2026 (30 Hari Lagi)%0A%0AKami tim PT. ESDEA Assistance Management siap men-support proses perpanjangan segera agar administrasi proyek tidak terhambat%0A%0AApakah boleh saya bantu siapkan estimasi biaya dan waktu pengerjaannya?.", "Hubungi")</f>
        <v/>
      </c>
    </row>
    <row r="4">
      <c r="A4" t="inlineStr">
        <is>
          <t>BEKASI TEKNIK MAJU</t>
        </is>
      </c>
      <c r="B4" t="inlineStr">
        <is>
          <t>Kab. Bekasi</t>
        </is>
      </c>
      <c r="C4" t="inlineStr">
        <is>
          <t>085287449013</t>
        </is>
      </c>
      <c r="D4" t="inlineStr">
        <is>
          <t>cv.bekasiteknikmaju@gmail.com</t>
        </is>
      </c>
      <c r="E4" t="inlineStr">
        <is>
          <t>https://lpjk.pu.go.id/search-badan-usaha-detail/emN5MGpaNVZFbG1Fam55Z2FLc21hZz09</t>
        </is>
      </c>
      <c r="F4" t="n">
        <v>2</v>
      </c>
      <c r="G4" t="inlineStr">
        <is>
          <t>BG009, BS004</t>
        </is>
      </c>
      <c r="H4" t="inlineStr">
        <is>
          <t>31 Maret 2023</t>
        </is>
      </c>
      <c r="I4" s="2" t="n">
        <v>46229</v>
      </c>
      <c r="J4" t="inlineStr">
        <is>
          <t>Disetujui</t>
        </is>
      </c>
      <c r="K4" t="n">
        <v>30</v>
      </c>
      <c r="L4" t="inlineStr">
        <is>
          <t>26 Juli 2026</t>
        </is>
      </c>
      <c r="M4" t="inlineStr">
        <is>
          <t>Konstruksi Gedung Lainnya, Konstruksi Jaringan Irigasi dan Drainase</t>
        </is>
      </c>
      <c r="N4" t="inlineStr">
        <is>
          <t>K</t>
        </is>
      </c>
      <c r="O4" t="inlineStr">
        <is>
          <t>20230725</t>
        </is>
      </c>
      <c r="P4" t="inlineStr">
        <is>
          <t>Jawa Barat</t>
        </is>
      </c>
      <c r="Q4" s="3">
        <f>HYPERLINK("https://wa.me/6285287449013?text=*[Pengingat Masa Berlaku SBU BEKASI TEKNIK MAJU]*%0A%0AYth. Pimpinan BEKASI TEKNIK MAJU,%0AMohon izin menginformasikan status SBU Anda:%0A%0A📄 SBU: BG009, BS004%0A📅 Expired: 26 Juli 2026 (30 Hari Lagi)%0A%0AKami tim PT. ESDEA Assistance Management siap men-support proses perpanjangan segera agar administrasi proyek tidak terhambat%0A%0AApakah boleh saya bantu siapkan estimasi biaya dan waktu pengerjaannya?.", "Hubungi")</f>
        <v/>
      </c>
    </row>
    <row r="5">
      <c r="A5" t="inlineStr">
        <is>
          <t>DENSHA INDOGUNA JAYA</t>
        </is>
      </c>
      <c r="B5" t="inlineStr">
        <is>
          <t>Kota Bekasi</t>
        </is>
      </c>
      <c r="C5" t="inlineStr">
        <is>
          <t>0818704332</t>
        </is>
      </c>
      <c r="D5" t="inlineStr">
        <is>
          <t>denshaindogunajaya57@gmail.com</t>
        </is>
      </c>
      <c r="E5" t="inlineStr">
        <is>
          <t>https://lpjk.pu.go.id/search-badan-usaha-detail/T3JMTzlob2UwYmhPWWErQWMvc1JMdXl6KzZ1T1A2TG9JODJzZm9uUnRmZz0</t>
        </is>
      </c>
      <c r="F5" t="n">
        <v>1</v>
      </c>
      <c r="G5" t="inlineStr">
        <is>
          <t>IN012</t>
        </is>
      </c>
      <c r="H5" t="inlineStr">
        <is>
          <t>23 Juni 2022</t>
        </is>
      </c>
      <c r="I5" s="2" t="n">
        <v>46229</v>
      </c>
      <c r="J5" t="inlineStr">
        <is>
          <t>Konfirmasi Pembayaran</t>
        </is>
      </c>
      <c r="K5" t="n">
        <v>30</v>
      </c>
      <c r="L5" t="inlineStr">
        <is>
          <t>26 Juli 2026</t>
        </is>
      </c>
      <c r="M5" t="inlineStr">
        <is>
          <t>Instalasi Sinyal dan Telekomunikasi Kereta Api</t>
        </is>
      </c>
      <c r="N5" t="inlineStr">
        <is>
          <t>Spesialis</t>
        </is>
      </c>
      <c r="O5" t="inlineStr">
        <is>
          <t>20230726</t>
        </is>
      </c>
      <c r="P5" t="inlineStr">
        <is>
          <t>Jawa Barat</t>
        </is>
      </c>
      <c r="Q5" s="3">
        <f>HYPERLINK("https://wa.me/62818704332?text=*[Pengingat Masa Berlaku SBU DENSHA INDOGUNA JAYA]*%0A%0AYth. Pimpinan DENSHA INDOGUNA JAYA,%0AMohon izin menginformasikan status SBU Anda:%0A%0A📄 SBU: IN012%0A📅 Expired: 26 Juli 2026 (30 Hari Lagi)%0A%0AKami tim PT. ESDEA Assistance Management siap men-support proses perpanjangan segera agar administrasi proyek tidak terhambat%0A%0AApakah boleh saya bantu siapkan estimasi biaya dan waktu pengerjaannya?.", "Hubungi")</f>
        <v/>
      </c>
    </row>
    <row r="6">
      <c r="A6" t="inlineStr">
        <is>
          <t>DIAN SURYA BANGUN</t>
        </is>
      </c>
      <c r="B6" t="inlineStr">
        <is>
          <t>Kab. Bekasi</t>
        </is>
      </c>
      <c r="C6" t="inlineStr">
        <is>
          <t>087779185626</t>
        </is>
      </c>
      <c r="D6" t="inlineStr">
        <is>
          <t>diansuryabangun@yahoo.co.id</t>
        </is>
      </c>
      <c r="E6" t="inlineStr">
        <is>
          <t>https://lpjk.pu.go.id/search-badan-usaha-detail/ZUhreURNaWJQZ3JvTEFZS3NzSTIvUT09</t>
        </is>
      </c>
      <c r="F6" t="n">
        <v>1</v>
      </c>
      <c r="G6" t="inlineStr">
        <is>
          <t>BS004</t>
        </is>
      </c>
      <c r="H6" t="inlineStr">
        <is>
          <t>5 Oktober 2009</t>
        </is>
      </c>
      <c r="I6" s="2" t="n">
        <v>46229</v>
      </c>
      <c r="J6" t="inlineStr">
        <is>
          <t>Pencabutan</t>
        </is>
      </c>
      <c r="K6" t="n">
        <v>30</v>
      </c>
      <c r="L6" t="inlineStr">
        <is>
          <t>26 Juli 2026</t>
        </is>
      </c>
      <c r="M6" t="inlineStr">
        <is>
          <t>Konstruksi Jaringan Irigasi dan Drainase</t>
        </is>
      </c>
      <c r="N6" t="inlineStr">
        <is>
          <t>K</t>
        </is>
      </c>
      <c r="O6" t="inlineStr">
        <is>
          <t>20230720</t>
        </is>
      </c>
      <c r="P6" t="inlineStr">
        <is>
          <t>Jawa Barat</t>
        </is>
      </c>
      <c r="Q6" s="3">
        <f>HYPERLINK("https://wa.me/6287779185626?text=*[Pengingat Masa Berlaku SBU DIAN SURYA BANGUN]*%0A%0AYth. Pimpinan DIAN SURYA BANGUN,%0AMohon izin menginformasikan status SBU Anda:%0A%0A📄 SBU: BS004%0A📅 Expired: 26 Juli 2026 (30 Hari Lagi)%0A%0AKami tim PT. ESDEA Assistance Management siap men-support proses perpanjangan segera agar administrasi proyek tidak terhambat%0A%0AApakah boleh saya bantu siapkan estimasi biaya dan waktu pengerjaannya?.", "Hubungi")</f>
        <v/>
      </c>
    </row>
    <row r="7">
      <c r="A7" t="inlineStr">
        <is>
          <t>DSP LAMPUNG MEDIA TELEKOMUNIKASI</t>
        </is>
      </c>
      <c r="B7" t="inlineStr">
        <is>
          <t>Kab. Bekasi</t>
        </is>
      </c>
      <c r="C7" t="inlineStr">
        <is>
          <t>081223658881</t>
        </is>
      </c>
      <c r="D7" t="inlineStr">
        <is>
          <t>dsplamitel@gmail.com</t>
        </is>
      </c>
      <c r="E7" t="inlineStr">
        <is>
          <t>https://lpjk.pu.go.id/search-badan-usaha-detail/Rm5CVGJFbHJ2NkU2SXlMYUhLQXROZz09</t>
        </is>
      </c>
      <c r="F7" t="n">
        <v>1</v>
      </c>
      <c r="G7" t="inlineStr">
        <is>
          <t>BS009</t>
        </is>
      </c>
      <c r="H7" t="inlineStr">
        <is>
          <t>12 Agustus 2021</t>
        </is>
      </c>
      <c r="I7" s="2" t="n">
        <v>46229</v>
      </c>
      <c r="J7" t="inlineStr">
        <is>
          <t>Disetujui</t>
        </is>
      </c>
      <c r="K7" t="n">
        <v>30</v>
      </c>
      <c r="L7" t="inlineStr">
        <is>
          <t>26 Juli 2026</t>
        </is>
      </c>
      <c r="M7" t="inlineStr">
        <is>
          <t>Konstruksi Sentral Telekomunikasi</t>
        </is>
      </c>
      <c r="N7" t="inlineStr">
        <is>
          <t>K</t>
        </is>
      </c>
      <c r="O7" t="inlineStr">
        <is>
          <t>20230724</t>
        </is>
      </c>
      <c r="P7" t="inlineStr">
        <is>
          <t>Jawa Barat</t>
        </is>
      </c>
      <c r="Q7" s="3">
        <f>HYPERLINK("https://wa.me/6281223658881?text=*[Pengingat Masa Berlaku SBU DSP LAMPUNG MEDIA TELEKOMUNIKASI]*%0A%0AYth. Pimpinan DSP LAMPUNG MEDIA TELEKOMUNIKASI,%0AMohon izin menginformasikan status SBU Anda:%0A%0A📄 SBU: BS009%0A📅 Expired: 26 Juli 2026 (30 Hari Lagi)%0A%0AKami tim PT. ESDEA Assistance Management siap men-support proses perpanjangan segera agar administrasi proyek tidak terhambat%0A%0AApakah boleh saya bantu siapkan estimasi biaya dan waktu pengerjaannya?.", "Hubungi")</f>
        <v/>
      </c>
    </row>
    <row r="8">
      <c r="A8" t="inlineStr">
        <is>
          <t>GLOBAL BERKAT UTAMA</t>
        </is>
      </c>
      <c r="B8" t="inlineStr">
        <is>
          <t>Kota Bekasi</t>
        </is>
      </c>
      <c r="C8" t="inlineStr">
        <is>
          <t>081286602289</t>
        </is>
      </c>
      <c r="D8" t="inlineStr">
        <is>
          <t>cvglobalberkatutama01@gmail.com</t>
        </is>
      </c>
      <c r="E8" t="inlineStr">
        <is>
          <t>https://lpjk.pu.go.id/search-badan-usaha-detail/M0orWEw4TTZpbzZwY09uWUlYdS9aUT09</t>
        </is>
      </c>
      <c r="F8" t="n">
        <v>1</v>
      </c>
      <c r="G8" t="inlineStr">
        <is>
          <t>BG006</t>
        </is>
      </c>
      <c r="H8" t="inlineStr">
        <is>
          <t>21 Maret 2022</t>
        </is>
      </c>
      <c r="I8" s="2" t="n">
        <v>46229</v>
      </c>
      <c r="J8" t="inlineStr">
        <is>
          <t>Disetujui</t>
        </is>
      </c>
      <c r="K8" t="n">
        <v>30</v>
      </c>
      <c r="L8" t="inlineStr">
        <is>
          <t>26 Juli 2026</t>
        </is>
      </c>
      <c r="M8" t="inlineStr">
        <is>
          <t>Konstruksi Gedung Pendidikan</t>
        </is>
      </c>
      <c r="N8" t="inlineStr">
        <is>
          <t>K</t>
        </is>
      </c>
      <c r="O8" t="inlineStr">
        <is>
          <t>20230724</t>
        </is>
      </c>
      <c r="P8" t="inlineStr">
        <is>
          <t>Jawa Barat</t>
        </is>
      </c>
      <c r="Q8" s="3">
        <f>HYPERLINK("https://wa.me/6281286602289?text=*[Pengingat Masa Berlaku SBU GLOBAL BERKAT UTAMA]*%0A%0AYth. Pimpinan GLOBAL BERKAT UTAMA,%0AMohon izin menginformasikan status SBU Anda:%0A%0A📄 SBU: BG006%0A📅 Expired: 26 Juli 2026 (30 Hari Lagi)%0A%0AKami tim PT. ESDEA Assistance Management siap men-support proses perpanjangan segera agar administrasi proyek tidak terhambat%0A%0AApakah boleh saya bantu siapkan estimasi biaya dan waktu pengerjaannya?.", "Hubungi")</f>
        <v/>
      </c>
    </row>
    <row r="9">
      <c r="A9" t="inlineStr">
        <is>
          <t>HOBASHITA FUJITAMA</t>
        </is>
      </c>
      <c r="B9" t="inlineStr">
        <is>
          <t>Kota Adm. Jakarta Timur</t>
        </is>
      </c>
      <c r="C9" t="inlineStr">
        <is>
          <t>02184345066</t>
        </is>
      </c>
      <c r="D9" t="inlineStr">
        <is>
          <t>hobashita_fujitama@yahoo.com</t>
        </is>
      </c>
      <c r="E9" t="inlineStr">
        <is>
          <t>https://lpjk.pu.go.id/search-badan-usaha-detail/b1RnRGtLalFHek9UUWMxS3pYaG9Rdz09</t>
        </is>
      </c>
      <c r="F9" t="n">
        <v>1</v>
      </c>
      <c r="G9" t="inlineStr">
        <is>
          <t>BS005</t>
        </is>
      </c>
      <c r="H9" t="inlineStr">
        <is>
          <t>2 Juli 2013</t>
        </is>
      </c>
      <c r="I9" s="2" t="n">
        <v>46229</v>
      </c>
      <c r="J9" t="inlineStr">
        <is>
          <t>Disetujui</t>
        </is>
      </c>
      <c r="K9" t="n">
        <v>30</v>
      </c>
      <c r="L9" t="inlineStr">
        <is>
          <t>26 Juli 2026</t>
        </is>
      </c>
      <c r="M9" t="inlineStr">
        <is>
          <t>Konstruksi Bangunan Sipil Pengolahan Air Bersih</t>
        </is>
      </c>
      <c r="N9" t="inlineStr">
        <is>
          <t>K</t>
        </is>
      </c>
      <c r="O9" t="inlineStr">
        <is>
          <t>20230409</t>
        </is>
      </c>
      <c r="P9" t="inlineStr">
        <is>
          <t>DKI Jakarta</t>
        </is>
      </c>
      <c r="Q9" t="inlineStr"/>
    </row>
    <row r="10">
      <c r="A10" t="inlineStr">
        <is>
          <t>MAHA KARYA PERWIRA</t>
        </is>
      </c>
      <c r="B10" t="inlineStr">
        <is>
          <t>Kota Bekasi</t>
        </is>
      </c>
      <c r="C10" t="inlineStr">
        <is>
          <t>085715178060</t>
        </is>
      </c>
      <c r="D10" t="inlineStr">
        <is>
          <t>pt.mahakaryaperwira@gmail.com</t>
        </is>
      </c>
      <c r="E10" t="inlineStr">
        <is>
          <t>https://lpjk.pu.go.id/search-badan-usaha-detail/MmY1OFA0dWMwTGZOV001RmVhTFZXZz09</t>
        </is>
      </c>
      <c r="F10" t="n">
        <v>3</v>
      </c>
      <c r="G10" t="inlineStr">
        <is>
          <t>AR001, AR002, AR003</t>
        </is>
      </c>
      <c r="H10" t="inlineStr">
        <is>
          <t>14 Maret 2012</t>
        </is>
      </c>
      <c r="I10" s="2" t="n">
        <v>46229</v>
      </c>
      <c r="J10" t="inlineStr">
        <is>
          <t>Pencabutan</t>
        </is>
      </c>
      <c r="K10" t="n">
        <v>30</v>
      </c>
      <c r="L10" t="inlineStr">
        <is>
          <t>26 Juli 2026</t>
        </is>
      </c>
      <c r="M10" t="inlineStr">
        <is>
          <t>Jasa Arsitektural Bangunan Gedung Hunian dan Non Hunian, Jasa Arsitektural Lainnya, Jasa Desain Interior pada Bangunan Gedung dan Bangunan Sipil</t>
        </is>
      </c>
      <c r="N10" t="inlineStr">
        <is>
          <t>K</t>
        </is>
      </c>
      <c r="O10" t="inlineStr">
        <is>
          <t>20230711</t>
        </is>
      </c>
      <c r="P10" t="inlineStr">
        <is>
          <t>Jawa Barat</t>
        </is>
      </c>
      <c r="Q10" s="3">
        <f>HYPERLINK("https://wa.me/6285715178060?text=*[Pengingat Masa Berlaku SBU MAHA KARYA PERWIRA]*%0A%0AYth. Pimpinan MAHA KARYA PERWIRA,%0AMohon izin menginformasikan status SBU Anda:%0A%0A📄 SBU: AR001, AR002, AR003%0A📅 Expired: 26 Juli 2026 (30 Hari Lagi)%0A%0AKami tim PT. ESDEA Assistance Management siap men-support proses perpanjangan segera agar administrasi proyek tidak terhambat%0A%0AApakah boleh saya bantu siapkan estimasi biaya dan waktu pengerjaannya?.", "Hubungi")</f>
        <v/>
      </c>
    </row>
    <row r="11">
      <c r="A11" t="inlineStr">
        <is>
          <t>META WAHYU</t>
        </is>
      </c>
      <c r="B11" t="inlineStr">
        <is>
          <t>Kota Depok</t>
        </is>
      </c>
      <c r="C11" t="inlineStr">
        <is>
          <t>0218742753</t>
        </is>
      </c>
      <c r="D11" t="inlineStr">
        <is>
          <t>metawahyu_glass@yahoo.com</t>
        </is>
      </c>
      <c r="E11" t="inlineStr">
        <is>
          <t>https://lpjk.pu.go.id/search-badan-usaha-detail/MUhvVml2dWNUd1dMcUNFbGdCSURZQT09</t>
        </is>
      </c>
      <c r="F11" t="n">
        <v>1</v>
      </c>
      <c r="G11" t="inlineStr">
        <is>
          <t>BG008</t>
        </is>
      </c>
      <c r="H11" t="inlineStr">
        <is>
          <t>27 Oktober 2004</t>
        </is>
      </c>
      <c r="I11" s="2" t="n">
        <v>46229</v>
      </c>
      <c r="J11" t="inlineStr">
        <is>
          <t>Disetujui</t>
        </is>
      </c>
      <c r="K11" t="n">
        <v>30</v>
      </c>
      <c r="L11" t="inlineStr">
        <is>
          <t>26 Juli 2026</t>
        </is>
      </c>
      <c r="M11" t="inlineStr">
        <is>
          <t>Konstruksi Gedung Tempat Hiburan dan Olahraga</t>
        </is>
      </c>
      <c r="N11" t="inlineStr">
        <is>
          <t>K</t>
        </is>
      </c>
      <c r="O11" t="inlineStr">
        <is>
          <t>20230724</t>
        </is>
      </c>
      <c r="P11" t="inlineStr">
        <is>
          <t>Jawa Barat</t>
        </is>
      </c>
      <c r="Q11" t="inlineStr"/>
    </row>
    <row r="12">
      <c r="A12" t="inlineStr">
        <is>
          <t>PEMBANGUNAN KESRA</t>
        </is>
      </c>
      <c r="B12" t="inlineStr">
        <is>
          <t>Kota Bogor</t>
        </is>
      </c>
      <c r="C12" t="inlineStr">
        <is>
          <t>085714141496</t>
        </is>
      </c>
      <c r="D12" t="inlineStr">
        <is>
          <t>pembangunankes@yahoo.co.id</t>
        </is>
      </c>
      <c r="E12" t="inlineStr">
        <is>
          <t>https://lpjk.pu.go.id/search-badan-usaha-detail/OXIrc3V1NUlWWTNOcCtkQXM5VDRPZz09</t>
        </is>
      </c>
      <c r="F12" t="n">
        <v>2</v>
      </c>
      <c r="G12" t="inlineStr">
        <is>
          <t>BG006, BG009</t>
        </is>
      </c>
      <c r="H12" t="inlineStr">
        <is>
          <t>5 Oktober 1985</t>
        </is>
      </c>
      <c r="I12" s="2" t="n">
        <v>46229</v>
      </c>
      <c r="J12" t="inlineStr">
        <is>
          <t>Disetujui</t>
        </is>
      </c>
      <c r="K12" t="n">
        <v>30</v>
      </c>
      <c r="L12" t="inlineStr">
        <is>
          <t>26 Juli 2026</t>
        </is>
      </c>
      <c r="M12" t="inlineStr">
        <is>
          <t>Konstruksi Gedung Lainnya, Konstruksi Gedung Pendidikan</t>
        </is>
      </c>
      <c r="N12" t="inlineStr">
        <is>
          <t>K</t>
        </is>
      </c>
      <c r="O12" t="inlineStr">
        <is>
          <t>20230724</t>
        </is>
      </c>
      <c r="P12" t="inlineStr">
        <is>
          <t>Jawa Barat</t>
        </is>
      </c>
      <c r="Q12" s="3">
        <f>HYPERLINK("https://wa.me/6285714141496?text=*[Pengingat Masa Berlaku SBU PEMBANGUNAN KESRA]*%0A%0AYth. Pimpinan PEMBANGUNAN KESRA,%0AMohon izin menginformasikan status SBU Anda:%0A%0A📄 SBU: BG006, BG009%0A📅 Expired: 26 Juli 2026 (30 Hari Lagi)%0A%0AKami tim PT. ESDEA Assistance Management siap men-support proses perpanjangan segera agar administrasi proyek tidak terhambat%0A%0AApakah boleh saya bantu siapkan estimasi biaya dan waktu pengerjaannya?.", "Hubungi")</f>
        <v/>
      </c>
    </row>
    <row r="13">
      <c r="A13" t="inlineStr">
        <is>
          <t>RONA BERKARYA</t>
        </is>
      </c>
      <c r="B13" t="inlineStr">
        <is>
          <t>Kota Bekasi</t>
        </is>
      </c>
      <c r="C13" t="inlineStr">
        <is>
          <t>082178859162</t>
        </is>
      </c>
      <c r="D13" t="inlineStr">
        <is>
          <t>ShbStation@gmail.com</t>
        </is>
      </c>
      <c r="E13" t="inlineStr">
        <is>
          <t>https://lpjk.pu.go.id/search-badan-usaha-detail/TTMzbFErcmozeXBHVzhYTzFzYW10UT09</t>
        </is>
      </c>
      <c r="F13" t="n">
        <v>1</v>
      </c>
      <c r="G13" t="inlineStr">
        <is>
          <t>BS004</t>
        </is>
      </c>
      <c r="H13" t="inlineStr">
        <is>
          <t>22 Mei 2023</t>
        </is>
      </c>
      <c r="I13" s="2" t="n">
        <v>46229</v>
      </c>
      <c r="J13" t="inlineStr">
        <is>
          <t>Disetujui</t>
        </is>
      </c>
      <c r="K13" t="n">
        <v>30</v>
      </c>
      <c r="L13" t="inlineStr">
        <is>
          <t>26 Juli 2026</t>
        </is>
      </c>
      <c r="M13" t="inlineStr">
        <is>
          <t>Konstruksi Jaringan Irigasi dan Drainase</t>
        </is>
      </c>
      <c r="N13" t="inlineStr">
        <is>
          <t>K</t>
        </is>
      </c>
      <c r="O13" t="inlineStr">
        <is>
          <t>20230725</t>
        </is>
      </c>
      <c r="P13" t="inlineStr">
        <is>
          <t>Jawa Barat</t>
        </is>
      </c>
      <c r="Q13" s="3">
        <f>HYPERLINK("https://wa.me/6282178859162?text=*[Pengingat Masa Berlaku SBU RONA BERKARYA]*%0A%0AYth. Pimpinan RONA BERKARYA,%0AMohon izin menginformasikan status SBU Anda:%0A%0A📄 SBU: BS004%0A📅 Expired: 26 Juli 2026 (30 Hari Lagi)%0A%0AKami tim PT. ESDEA Assistance Management siap men-support proses perpanjangan segera agar administrasi proyek tidak terhambat%0A%0AApakah boleh saya bantu siapkan estimasi biaya dan waktu pengerjaannya?.", "Hubungi")</f>
        <v/>
      </c>
    </row>
    <row r="14">
      <c r="A14" t="inlineStr">
        <is>
          <t>TIGARAKA KONSTRUKSI</t>
        </is>
      </c>
      <c r="B14" t="inlineStr">
        <is>
          <t>Kota Bogor</t>
        </is>
      </c>
      <c r="C14" t="inlineStr">
        <is>
          <t>081219721461</t>
        </is>
      </c>
      <c r="D14" t="inlineStr">
        <is>
          <t>tigarakakonstruksi@gmail.com</t>
        </is>
      </c>
      <c r="E14" t="inlineStr">
        <is>
          <t>https://lpjk.pu.go.id/search-badan-usaha-detail/VmU3dkFjbFVBOUxGMDhZNGlieHpRQT09</t>
        </is>
      </c>
      <c r="F14" t="n">
        <v>3</v>
      </c>
      <c r="G14" t="inlineStr">
        <is>
          <t>BG005, BG006, BS001</t>
        </is>
      </c>
      <c r="H14" t="inlineStr">
        <is>
          <t>13 Februari 2023</t>
        </is>
      </c>
      <c r="I14" s="2" t="n">
        <v>46229</v>
      </c>
      <c r="J14" t="inlineStr">
        <is>
          <t>Disetujui</t>
        </is>
      </c>
      <c r="K14" t="n">
        <v>30</v>
      </c>
      <c r="L14" t="inlineStr">
        <is>
          <t>26 Juli 2026</t>
        </is>
      </c>
      <c r="M14" t="inlineStr">
        <is>
          <t>Konstruksi Bangunan Sipil Jalan, Konstruksi Gedung Kesehatan, Konstruksi Gedung Pendidikan</t>
        </is>
      </c>
      <c r="N14" t="inlineStr">
        <is>
          <t>K</t>
        </is>
      </c>
      <c r="O14" t="inlineStr">
        <is>
          <t>20230726</t>
        </is>
      </c>
      <c r="P14" t="inlineStr">
        <is>
          <t>Jawa Barat</t>
        </is>
      </c>
      <c r="Q14" s="3">
        <f>HYPERLINK("https://wa.me/6281219721461?text=*[Pengingat Masa Berlaku SBU TIGARAKA KONSTRUKSI]*%0A%0AYth. Pimpinan TIGARAKA KONSTRUKSI,%0AMohon izin menginformasikan status SBU Anda:%0A%0A📄 SBU: BG005, BG006, BS001%0A📅 Expired: 26 Juli 2026 (30 Hari Lagi)%0A%0AKami tim PT. ESDEA Assistance Management siap men-support proses perpanjangan segera agar administrasi proyek tidak terhambat%0A%0AApakah boleh saya bantu siapkan estimasi biaya dan waktu pengerjaannya?.", "Hubungi")</f>
        <v/>
      </c>
    </row>
    <row r="15">
      <c r="A15" t="inlineStr">
        <is>
          <t>WALISEFI PUTRA</t>
        </is>
      </c>
      <c r="B15" t="inlineStr">
        <is>
          <t>Kab. Bogor</t>
        </is>
      </c>
      <c r="C15" t="inlineStr">
        <is>
          <t>081283327015</t>
        </is>
      </c>
      <c r="D15" t="inlineStr">
        <is>
          <t>walisefi@gmail.com</t>
        </is>
      </c>
      <c r="E15" t="inlineStr">
        <is>
          <t>https://lpjk.pu.go.id/search-badan-usaha-detail/YTc4RHdkRy9kSDJBY0VnV2RyRGRuZz09</t>
        </is>
      </c>
      <c r="F15" t="n">
        <v>2</v>
      </c>
      <c r="G15" t="inlineStr">
        <is>
          <t>BS001, BS004</t>
        </is>
      </c>
      <c r="H15" t="inlineStr">
        <is>
          <t>7 Maret 2011</t>
        </is>
      </c>
      <c r="I15" s="2" t="n">
        <v>46229</v>
      </c>
      <c r="J15" t="inlineStr">
        <is>
          <t>Disetujui</t>
        </is>
      </c>
      <c r="K15" t="n">
        <v>30</v>
      </c>
      <c r="L15" t="inlineStr">
        <is>
          <t>26 Juli 2026</t>
        </is>
      </c>
      <c r="M15" t="inlineStr">
        <is>
          <t>Konstruksi Bangunan Sipil Jalan, Konstruksi Jaringan Irigasi dan Drainase</t>
        </is>
      </c>
      <c r="N15" t="inlineStr">
        <is>
          <t>K</t>
        </is>
      </c>
      <c r="O15" t="inlineStr">
        <is>
          <t>20230724, 20230726</t>
        </is>
      </c>
      <c r="P15" t="inlineStr">
        <is>
          <t>Jawa Barat</t>
        </is>
      </c>
      <c r="Q15" s="3">
        <f>HYPERLINK("https://wa.me/6281283327015?text=*[Pengingat Masa Berlaku SBU WALISEFI PUTRA]*%0A%0AYth. Pimpinan WALISEFI PUTRA,%0AMohon izin menginformasikan status SBU Anda:%0A%0A📄 SBU: BS001, BS004%0A📅 Expired: 26 Juli 2026 (30 Hari Lagi)%0A%0AKami tim PT. ESDEA Assistance Management siap men-support proses perpanjangan segera agar administrasi proyek tidak terhambat%0A%0AApakah boleh saya bantu siapkan estimasi biaya dan waktu pengerjaannya?.", "Hubungi")</f>
        <v/>
      </c>
    </row>
    <row r="16">
      <c r="A16" t="inlineStr">
        <is>
          <t>AARSHIYA</t>
        </is>
      </c>
      <c r="B16" t="inlineStr">
        <is>
          <t>Kab. Bandung</t>
        </is>
      </c>
      <c r="C16" t="inlineStr">
        <is>
          <t>087823272833</t>
        </is>
      </c>
      <c r="D16" t="inlineStr">
        <is>
          <t>cv_aarshiya@yahoo.com</t>
        </is>
      </c>
      <c r="E16" t="inlineStr">
        <is>
          <t>https://lpjk.pu.go.id/search-badan-usaha-detail/cXpyTnFlTUxZRnFDMnprNXE2Um0wQT09</t>
        </is>
      </c>
      <c r="F16" t="n">
        <v>1</v>
      </c>
      <c r="G16" t="inlineStr">
        <is>
          <t>BG005</t>
        </is>
      </c>
      <c r="H16" t="inlineStr">
        <is>
          <t>7 Januari 2016</t>
        </is>
      </c>
      <c r="I16" s="2" t="n">
        <v>46229</v>
      </c>
      <c r="J16" t="inlineStr">
        <is>
          <t>Pencabutan</t>
        </is>
      </c>
      <c r="K16" t="n">
        <v>30</v>
      </c>
      <c r="L16" t="inlineStr">
        <is>
          <t>26 Juli 2026</t>
        </is>
      </c>
      <c r="M16" t="inlineStr">
        <is>
          <t>Konstruksi Gedung Kesehatan</t>
        </is>
      </c>
      <c r="N16" t="inlineStr">
        <is>
          <t>K</t>
        </is>
      </c>
      <c r="O16" t="inlineStr">
        <is>
          <t>20230726</t>
        </is>
      </c>
      <c r="P16" t="inlineStr">
        <is>
          <t>Jawa Barat</t>
        </is>
      </c>
      <c r="Q16" t="inlineStr"/>
    </row>
    <row r="17">
      <c r="A17" t="inlineStr">
        <is>
          <t>ABDI RAKYAT</t>
        </is>
      </c>
      <c r="B17" t="inlineStr">
        <is>
          <t>Kab. Sukoharjo</t>
        </is>
      </c>
      <c r="C17" t="inlineStr">
        <is>
          <t>085100504459</t>
        </is>
      </c>
      <c r="D17" t="inlineStr">
        <is>
          <t>cvabdirakyat@yahoo.co.id</t>
        </is>
      </c>
      <c r="E17" t="inlineStr">
        <is>
          <t>https://lpjk.pu.go.id/search-badan-usaha-detail/bXRoaW1aLzU5S3IyVGtFdERlbkdyZz09</t>
        </is>
      </c>
      <c r="F17" t="n">
        <v>1</v>
      </c>
      <c r="G17" t="inlineStr">
        <is>
          <t>BG002</t>
        </is>
      </c>
      <c r="H17" t="inlineStr">
        <is>
          <t>23 Juni 2006</t>
        </is>
      </c>
      <c r="I17" s="2" t="n">
        <v>46229</v>
      </c>
      <c r="J17" t="inlineStr">
        <is>
          <t>Disetujui</t>
        </is>
      </c>
      <c r="K17" t="n">
        <v>30</v>
      </c>
      <c r="L17" t="inlineStr">
        <is>
          <t>26 Juli 2026</t>
        </is>
      </c>
      <c r="M17" t="inlineStr">
        <is>
          <t>Konstruksi Gedung Perkantoran</t>
        </is>
      </c>
      <c r="N17" t="inlineStr">
        <is>
          <t>K</t>
        </is>
      </c>
      <c r="O17" t="inlineStr">
        <is>
          <t>20230724</t>
        </is>
      </c>
      <c r="P17" t="inlineStr">
        <is>
          <t>Jawa Tengah</t>
        </is>
      </c>
      <c r="Q17" t="inlineStr"/>
    </row>
    <row r="18">
      <c r="A18" t="inlineStr">
        <is>
          <t>ADE PERABOT</t>
        </is>
      </c>
      <c r="B18" t="inlineStr">
        <is>
          <t>Kab. Pasaman Barat</t>
        </is>
      </c>
      <c r="C18" t="inlineStr">
        <is>
          <t>082392795074</t>
        </is>
      </c>
      <c r="D18" t="inlineStr">
        <is>
          <t>cvadeperabot@gmail.com</t>
        </is>
      </c>
      <c r="E18" t="inlineStr">
        <is>
          <t>https://lpjk.pu.go.id/search-badan-usaha-detail/akQzVFVkR0w3N00zN3FEODZ4UDdjUT09</t>
        </is>
      </c>
      <c r="F18" t="n">
        <v>4</v>
      </c>
      <c r="G18" t="inlineStr">
        <is>
          <t>BG001, BG003, BG005, BG009</t>
        </is>
      </c>
      <c r="H18" t="inlineStr">
        <is>
          <t>16 Mei 2023</t>
        </is>
      </c>
      <c r="I18" s="2" t="n">
        <v>46229</v>
      </c>
      <c r="J18" t="inlineStr">
        <is>
          <t>Disetujui</t>
        </is>
      </c>
      <c r="K18" t="n">
        <v>30</v>
      </c>
      <c r="L18" t="inlineStr">
        <is>
          <t>26 Juli 2026</t>
        </is>
      </c>
      <c r="M18" t="inlineStr">
        <is>
          <t>Konstruksi Gedung Hunian, Konstruksi Gedung Industri, Konstruksi Gedung Kesehatan, Konstruksi Gedung Lainnya</t>
        </is>
      </c>
      <c r="N18" t="inlineStr">
        <is>
          <t>K</t>
        </is>
      </c>
      <c r="O18" t="inlineStr">
        <is>
          <t>20230524, 20230726</t>
        </is>
      </c>
      <c r="P18" t="inlineStr">
        <is>
          <t>Sumatera Barat</t>
        </is>
      </c>
      <c r="Q18" t="inlineStr"/>
    </row>
    <row r="19">
      <c r="A19" t="inlineStr">
        <is>
          <t>ADHIKARA MITRACIPTA</t>
        </is>
      </c>
      <c r="B19" t="inlineStr">
        <is>
          <t>Kota Adm. Jakarta Selatan</t>
        </is>
      </c>
      <c r="C19" t="inlineStr">
        <is>
          <t>02172800245</t>
        </is>
      </c>
      <c r="D19" t="inlineStr">
        <is>
          <t>adhikara_mc@yahoo.co.id</t>
        </is>
      </c>
      <c r="E19" t="inlineStr">
        <is>
          <t>https://lpjk.pu.go.id/search-badan-usaha-detail/eFdxd0ZqMFlTNVJ0NHI3eVQ0S3lodz09</t>
        </is>
      </c>
      <c r="F19" t="n">
        <v>3</v>
      </c>
      <c r="G19" t="inlineStr">
        <is>
          <t>RK003</t>
        </is>
      </c>
      <c r="H19" t="inlineStr">
        <is>
          <t>12 Oktober 1990</t>
        </is>
      </c>
      <c r="I19" s="2" t="n">
        <v>46229</v>
      </c>
      <c r="J19" t="inlineStr">
        <is>
          <t>Pencabutan</t>
        </is>
      </c>
      <c r="K19" t="n">
        <v>30</v>
      </c>
      <c r="L19" t="inlineStr">
        <is>
          <t>26 Juli 2026</t>
        </is>
      </c>
      <c r="M19" t="inlineStr">
        <is>
          <t>Jasa Rekayasa Pekerjaan Teknik Sipil Transportasi</t>
        </is>
      </c>
      <c r="N19" t="inlineStr">
        <is>
          <t>K</t>
        </is>
      </c>
      <c r="O19" t="inlineStr">
        <is>
          <t>20230721</t>
        </is>
      </c>
      <c r="P19" t="inlineStr">
        <is>
          <t>DKI Jakarta</t>
        </is>
      </c>
      <c r="Q19" t="inlineStr"/>
    </row>
    <row r="20">
      <c r="A20" t="inlineStr">
        <is>
          <t>ADI BATARA MULYA</t>
        </is>
      </c>
      <c r="B20" t="inlineStr">
        <is>
          <t>Kab. Barito Utara</t>
        </is>
      </c>
      <c r="C20" t="inlineStr">
        <is>
          <t>082350285202</t>
        </is>
      </c>
      <c r="D20" t="inlineStr">
        <is>
          <t>cv.adibataramulya@gmail.com</t>
        </is>
      </c>
      <c r="E20" t="inlineStr">
        <is>
          <t>https://lpjk.pu.go.id/search-badan-usaha-detail/Q1JYM2UrV0tYbDJuNUtjWnE1WkpkUT09</t>
        </is>
      </c>
      <c r="F20" t="n">
        <v>1</v>
      </c>
      <c r="G20" t="inlineStr">
        <is>
          <t>BG001</t>
        </is>
      </c>
      <c r="H20" t="inlineStr">
        <is>
          <t>27 April 2019</t>
        </is>
      </c>
      <c r="I20" s="2" t="n">
        <v>46229</v>
      </c>
      <c r="J20" t="inlineStr">
        <is>
          <t>Pencabutan</t>
        </is>
      </c>
      <c r="K20" t="n">
        <v>30</v>
      </c>
      <c r="L20" t="inlineStr">
        <is>
          <t>26 Juli 2026</t>
        </is>
      </c>
      <c r="M20" t="inlineStr">
        <is>
          <t>Konstruksi Gedung Hunian</t>
        </is>
      </c>
      <c r="N20" t="inlineStr">
        <is>
          <t>K</t>
        </is>
      </c>
      <c r="O20" t="inlineStr">
        <is>
          <t>20230720</t>
        </is>
      </c>
      <c r="P20" t="inlineStr">
        <is>
          <t>Kalimantan Tengah</t>
        </is>
      </c>
      <c r="Q20" t="inlineStr"/>
    </row>
    <row r="21">
      <c r="A21" t="inlineStr">
        <is>
          <t>ADIPRANA SENTOSA INDOVESCO</t>
        </is>
      </c>
      <c r="B21" t="inlineStr">
        <is>
          <t>Kota Adm. Jakarta Utara</t>
        </is>
      </c>
      <c r="C21" t="inlineStr">
        <is>
          <t>02124520986</t>
        </is>
      </c>
      <c r="D21" t="inlineStr">
        <is>
          <t>adipranaindovesco@gmail.com</t>
        </is>
      </c>
      <c r="E21" t="inlineStr">
        <is>
          <t>https://lpjk.pu.go.id/search-badan-usaha-detail/eDJaZUFKcDlkeHpzeEtPSUlLamNIdz09</t>
        </is>
      </c>
      <c r="F21" t="n">
        <v>1</v>
      </c>
      <c r="G21" t="inlineStr">
        <is>
          <t>BG001</t>
        </is>
      </c>
      <c r="H21" t="inlineStr">
        <is>
          <t>27 April 2017</t>
        </is>
      </c>
      <c r="I21" s="2" t="n">
        <v>46229</v>
      </c>
      <c r="J21" t="inlineStr">
        <is>
          <t>Disetujui</t>
        </is>
      </c>
      <c r="K21" t="n">
        <v>30</v>
      </c>
      <c r="L21" t="inlineStr">
        <is>
          <t>26 Juli 2026</t>
        </is>
      </c>
      <c r="M21" t="inlineStr">
        <is>
          <t>Konstruksi Gedung Hunian</t>
        </is>
      </c>
      <c r="N21" t="inlineStr">
        <is>
          <t>K</t>
        </is>
      </c>
      <c r="O21" t="inlineStr">
        <is>
          <t>20230714</t>
        </is>
      </c>
      <c r="P21" t="inlineStr">
        <is>
          <t>DKI Jakarta</t>
        </is>
      </c>
      <c r="Q21" t="inlineStr"/>
    </row>
    <row r="22">
      <c r="A22" t="inlineStr">
        <is>
          <t>ADITYA PERKASA</t>
        </is>
      </c>
      <c r="B22" t="inlineStr">
        <is>
          <t>Kab. Sumba Timur</t>
        </is>
      </c>
      <c r="C22" t="inlineStr">
        <is>
          <t>081353964999</t>
        </is>
      </c>
      <c r="D22" t="inlineStr">
        <is>
          <t>morotresnomanubara2020@gmail.com</t>
        </is>
      </c>
      <c r="E22" t="inlineStr">
        <is>
          <t>https://lpjk.pu.go.id/search-badan-usaha-detail/U3FXN21ILzFXbjhZTUJxVDlDdkFJdz09</t>
        </is>
      </c>
      <c r="F22" t="n">
        <v>1</v>
      </c>
      <c r="G22" t="inlineStr">
        <is>
          <t>BS001</t>
        </is>
      </c>
      <c r="H22" t="inlineStr">
        <is>
          <t>6 Mei 2013</t>
        </is>
      </c>
      <c r="I22" s="2" t="n">
        <v>46229</v>
      </c>
      <c r="J22" t="inlineStr">
        <is>
          <t>Disetujui</t>
        </is>
      </c>
      <c r="K22" t="n">
        <v>30</v>
      </c>
      <c r="L22" t="inlineStr">
        <is>
          <t>26 Juli 2026</t>
        </is>
      </c>
      <c r="M22" t="inlineStr">
        <is>
          <t>Konstruksi Bangunan Sipil Jalan</t>
        </is>
      </c>
      <c r="N22" t="inlineStr">
        <is>
          <t>K</t>
        </is>
      </c>
      <c r="O22" t="inlineStr">
        <is>
          <t>20230720</t>
        </is>
      </c>
      <c r="P22" t="inlineStr">
        <is>
          <t>Nusa Tenggara Timur</t>
        </is>
      </c>
      <c r="Q22" t="inlineStr"/>
    </row>
    <row r="23">
      <c r="A23" t="inlineStr">
        <is>
          <t>ADJI PERKASA</t>
        </is>
      </c>
      <c r="B23" t="inlineStr">
        <is>
          <t>Kab. Banjar</t>
        </is>
      </c>
      <c r="C23" t="inlineStr">
        <is>
          <t>05114789444</t>
        </is>
      </c>
      <c r="D23" t="inlineStr">
        <is>
          <t>ptadjiperkasa@yahoo.com</t>
        </is>
      </c>
      <c r="E23" t="inlineStr">
        <is>
          <t>https://lpjk.pu.go.id/search-badan-usaha-detail/NS91SEk3NkttMVZnTml3TVhUeVdGZz09</t>
        </is>
      </c>
      <c r="F23" t="n">
        <v>1</v>
      </c>
      <c r="G23" t="inlineStr">
        <is>
          <t>BS001</t>
        </is>
      </c>
      <c r="H23" t="inlineStr">
        <is>
          <t>22 Desember 2009</t>
        </is>
      </c>
      <c r="I23" s="2" t="n">
        <v>46229</v>
      </c>
      <c r="J23" t="inlineStr">
        <is>
          <t>Disetujui</t>
        </is>
      </c>
      <c r="K23" t="n">
        <v>30</v>
      </c>
      <c r="L23" t="inlineStr">
        <is>
          <t>26 Juli 2026</t>
        </is>
      </c>
      <c r="M23" t="inlineStr">
        <is>
          <t>Konstruksi Bangunan Sipil Jalan</t>
        </is>
      </c>
      <c r="N23" t="inlineStr">
        <is>
          <t>M</t>
        </is>
      </c>
      <c r="O23" t="inlineStr">
        <is>
          <t>20230630</t>
        </is>
      </c>
      <c r="P23" t="inlineStr">
        <is>
          <t>Kalimantan Selatan</t>
        </is>
      </c>
      <c r="Q23" t="inlineStr"/>
    </row>
    <row r="24">
      <c r="A24" t="inlineStr">
        <is>
          <t>ADYAKSA TAMA MANUNGGAL</t>
        </is>
      </c>
      <c r="B24" t="inlineStr">
        <is>
          <t>Kab. Mojokerto</t>
        </is>
      </c>
      <c r="C24" t="inlineStr">
        <is>
          <t>081331730818</t>
        </is>
      </c>
      <c r="D24" t="inlineStr">
        <is>
          <t>adyaksatamamanunggal@gmail.com</t>
        </is>
      </c>
      <c r="E24" t="inlineStr">
        <is>
          <t>https://lpjk.pu.go.id/search-badan-usaha-detail/bnN1WElDK2R1MGd1c2drS00reEgyZz09</t>
        </is>
      </c>
      <c r="F24" t="n">
        <v>1</v>
      </c>
      <c r="G24" t="inlineStr">
        <is>
          <t>BG005</t>
        </is>
      </c>
      <c r="H24" t="inlineStr">
        <is>
          <t>29 September 2015</t>
        </is>
      </c>
      <c r="I24" s="2" t="n">
        <v>46229</v>
      </c>
      <c r="J24" t="inlineStr">
        <is>
          <t>Disetujui</t>
        </is>
      </c>
      <c r="K24" t="n">
        <v>30</v>
      </c>
      <c r="L24" t="inlineStr">
        <is>
          <t>26 Juli 2026</t>
        </is>
      </c>
      <c r="M24" t="inlineStr">
        <is>
          <t>Konstruksi Gedung Kesehatan</t>
        </is>
      </c>
      <c r="N24" t="inlineStr">
        <is>
          <t>K</t>
        </is>
      </c>
      <c r="O24" t="inlineStr">
        <is>
          <t>20230726</t>
        </is>
      </c>
      <c r="P24" t="inlineStr">
        <is>
          <t>Jawa Timur</t>
        </is>
      </c>
      <c r="Q24" t="inlineStr"/>
    </row>
    <row r="25">
      <c r="A25" t="inlineStr">
        <is>
          <t>AGUNG TUNGGAL ABADI</t>
        </is>
      </c>
      <c r="B25" t="inlineStr">
        <is>
          <t>Kab. Pasuruan</t>
        </is>
      </c>
      <c r="C25" t="inlineStr">
        <is>
          <t>081252223858</t>
        </is>
      </c>
      <c r="D25" t="inlineStr">
        <is>
          <t>agung784@yahoo.com</t>
        </is>
      </c>
      <c r="E25" t="inlineStr">
        <is>
          <t>https://lpjk.pu.go.id/search-badan-usaha-detail/NnhDclZVTERXN29ZY0wxV3ZTTStldz09</t>
        </is>
      </c>
      <c r="F25" t="n">
        <v>2</v>
      </c>
      <c r="G25" t="inlineStr">
        <is>
          <t>BS001</t>
        </is>
      </c>
      <c r="H25" t="inlineStr">
        <is>
          <t>22 Juni 2012</t>
        </is>
      </c>
      <c r="I25" s="2" t="n">
        <v>46229</v>
      </c>
      <c r="J25" t="inlineStr">
        <is>
          <t>Pencabutan</t>
        </is>
      </c>
      <c r="K25" t="n">
        <v>30</v>
      </c>
      <c r="L25" t="inlineStr">
        <is>
          <t>26 Juli 2026</t>
        </is>
      </c>
      <c r="M25" t="inlineStr">
        <is>
          <t>Konstruksi Bangunan Sipil Jalan</t>
        </is>
      </c>
      <c r="N25" t="inlineStr">
        <is>
          <t>K</t>
        </is>
      </c>
      <c r="O25" t="inlineStr">
        <is>
          <t>20230726</t>
        </is>
      </c>
      <c r="P25" t="inlineStr">
        <is>
          <t>Jawa Timur</t>
        </is>
      </c>
      <c r="Q25" t="inlineStr"/>
    </row>
    <row r="26">
      <c r="A26" t="inlineStr">
        <is>
          <t>AMANAH KAWAN LAMA</t>
        </is>
      </c>
      <c r="B26" t="inlineStr">
        <is>
          <t>Kota Tangerang</t>
        </is>
      </c>
      <c r="C26" t="inlineStr">
        <is>
          <t>02155778449</t>
        </is>
      </c>
      <c r="D26" t="inlineStr">
        <is>
          <t>widya@amanahkawanlama.com</t>
        </is>
      </c>
      <c r="E26" t="inlineStr">
        <is>
          <t>https://lpjk.pu.go.id/search-badan-usaha-detail/N1JmS2M0TytaaHVZNmxwcW1iT2h6dz09</t>
        </is>
      </c>
      <c r="F26" t="n">
        <v>3</v>
      </c>
      <c r="G26" t="inlineStr">
        <is>
          <t>BG003</t>
        </is>
      </c>
      <c r="H26" t="inlineStr">
        <is>
          <t>12 Juli 2023</t>
        </is>
      </c>
      <c r="I26" s="2" t="n">
        <v>46229</v>
      </c>
      <c r="J26" t="inlineStr">
        <is>
          <t>Disetujui</t>
        </is>
      </c>
      <c r="K26" t="n">
        <v>30</v>
      </c>
      <c r="L26" t="inlineStr">
        <is>
          <t>26 Juli 2026</t>
        </is>
      </c>
      <c r="M26" t="inlineStr">
        <is>
          <t>Konstruksi Gedung Industri</t>
        </is>
      </c>
      <c r="N26" t="inlineStr">
        <is>
          <t>K</t>
        </is>
      </c>
      <c r="O26" t="inlineStr">
        <is>
          <t>20230721</t>
        </is>
      </c>
      <c r="P26" t="inlineStr">
        <is>
          <t>Banten</t>
        </is>
      </c>
      <c r="Q26" t="inlineStr"/>
    </row>
    <row r="27">
      <c r="A27" t="inlineStr">
        <is>
          <t>AMANDEGA</t>
        </is>
      </c>
      <c r="B27" t="inlineStr">
        <is>
          <t>Kota Malang</t>
        </is>
      </c>
      <c r="C27" t="inlineStr">
        <is>
          <t>081333280078</t>
        </is>
      </c>
      <c r="D27" t="inlineStr">
        <is>
          <t>ikularemania2@gmail.com</t>
        </is>
      </c>
      <c r="E27" t="inlineStr">
        <is>
          <t>https://lpjk.pu.go.id/search-badan-usaha-detail/akJPY205ajVDMjhHdlVEekl1UmV2UT09</t>
        </is>
      </c>
      <c r="F27" t="n">
        <v>1</v>
      </c>
      <c r="G27" t="inlineStr">
        <is>
          <t>BS001</t>
        </is>
      </c>
      <c r="H27" t="inlineStr">
        <is>
          <t>4 Agustus 1990</t>
        </is>
      </c>
      <c r="I27" s="2" t="n">
        <v>46229</v>
      </c>
      <c r="J27" t="inlineStr">
        <is>
          <t>Disetujui</t>
        </is>
      </c>
      <c r="K27" t="n">
        <v>30</v>
      </c>
      <c r="L27" t="inlineStr">
        <is>
          <t>26 Juli 2026</t>
        </is>
      </c>
      <c r="M27" t="inlineStr">
        <is>
          <t>Konstruksi Bangunan Sipil Jalan</t>
        </is>
      </c>
      <c r="N27" t="inlineStr">
        <is>
          <t>K</t>
        </is>
      </c>
      <c r="O27" t="inlineStr">
        <is>
          <t>20230606</t>
        </is>
      </c>
      <c r="P27" t="inlineStr">
        <is>
          <t>Jawa Timur</t>
        </is>
      </c>
      <c r="Q27" t="inlineStr"/>
    </row>
    <row r="28">
      <c r="A28" t="inlineStr">
        <is>
          <t>ANJANG SANA INDAH</t>
        </is>
      </c>
      <c r="B28" t="inlineStr">
        <is>
          <t>Kab. Sumba Barat Daya</t>
        </is>
      </c>
      <c r="C28" t="inlineStr">
        <is>
          <t>082112425761</t>
        </is>
      </c>
      <c r="D28" t="inlineStr">
        <is>
          <t>cvanjangsana100@gmail.com</t>
        </is>
      </c>
      <c r="E28" t="inlineStr">
        <is>
          <t>https://lpjk.pu.go.id/search-badan-usaha-detail/ODRkRmhaaHhsa0E5RWx1YytkNWRndz09</t>
        </is>
      </c>
      <c r="F28" t="n">
        <v>1</v>
      </c>
      <c r="G28" t="inlineStr">
        <is>
          <t>BG005</t>
        </is>
      </c>
      <c r="H28" t="inlineStr">
        <is>
          <t>2 Maret 2020</t>
        </is>
      </c>
      <c r="I28" s="2" t="n">
        <v>46229</v>
      </c>
      <c r="J28" t="inlineStr">
        <is>
          <t>Disetujui</t>
        </is>
      </c>
      <c r="K28" t="n">
        <v>30</v>
      </c>
      <c r="L28" t="inlineStr">
        <is>
          <t>26 Juli 2026</t>
        </is>
      </c>
      <c r="M28" t="inlineStr">
        <is>
          <t>Konstruksi Gedung Kesehatan</t>
        </is>
      </c>
      <c r="N28" t="inlineStr">
        <is>
          <t>K</t>
        </is>
      </c>
      <c r="O28" t="inlineStr">
        <is>
          <t>20230726</t>
        </is>
      </c>
      <c r="P28" t="inlineStr">
        <is>
          <t>Nusa Tenggara Timur</t>
        </is>
      </c>
      <c r="Q28" t="inlineStr"/>
    </row>
    <row r="29">
      <c r="A29" t="inlineStr">
        <is>
          <t>ANUGRAH BRILIAN</t>
        </is>
      </c>
      <c r="B29" t="inlineStr">
        <is>
          <t>Kota Pangkal Pinang</t>
        </is>
      </c>
      <c r="C29" t="inlineStr">
        <is>
          <t>081273359554</t>
        </is>
      </c>
      <c r="D29" t="inlineStr">
        <is>
          <t>ngrhbrilian@gmail.com</t>
        </is>
      </c>
      <c r="E29" t="inlineStr">
        <is>
          <t>https://lpjk.pu.go.id/search-badan-usaha-detail/WlNxc1hYVTcwaW5kemRoeDVBMFNxZz09</t>
        </is>
      </c>
      <c r="F29" t="n">
        <v>2</v>
      </c>
      <c r="G29" t="inlineStr">
        <is>
          <t>BS004</t>
        </is>
      </c>
      <c r="H29" t="inlineStr">
        <is>
          <t>8 Desember 2016</t>
        </is>
      </c>
      <c r="I29" s="2" t="n">
        <v>46229</v>
      </c>
      <c r="J29" t="inlineStr">
        <is>
          <t>Disetujui</t>
        </is>
      </c>
      <c r="K29" t="n">
        <v>30</v>
      </c>
      <c r="L29" t="inlineStr">
        <is>
          <t>26 Juli 2026</t>
        </is>
      </c>
      <c r="M29" t="inlineStr">
        <is>
          <t>Konstruksi Jaringan Irigasi dan Drainase</t>
        </is>
      </c>
      <c r="N29" t="inlineStr">
        <is>
          <t>K</t>
        </is>
      </c>
      <c r="O29" t="inlineStr">
        <is>
          <t>20230715</t>
        </is>
      </c>
      <c r="P29" t="inlineStr">
        <is>
          <t>Kepulauan Bangka Belitung</t>
        </is>
      </c>
      <c r="Q29" t="inlineStr"/>
    </row>
    <row r="30">
      <c r="A30" t="inlineStr">
        <is>
          <t>ANUGRAH KARYA MANDIRI</t>
        </is>
      </c>
      <c r="B30" t="inlineStr">
        <is>
          <t>Kota Banjarmasin</t>
        </is>
      </c>
      <c r="C30" t="inlineStr">
        <is>
          <t>0</t>
        </is>
      </c>
      <c r="D30" t="inlineStr">
        <is>
          <t>cv.anugrahkm@gmail.com</t>
        </is>
      </c>
      <c r="E30" t="inlineStr">
        <is>
          <t>https://lpjk.pu.go.id/search-badan-usaha-detail/VDk1Q0NlU3BIZzYrUDRqdlhvSCtqZz09</t>
        </is>
      </c>
      <c r="F30" t="n">
        <v>2</v>
      </c>
      <c r="G30" t="inlineStr">
        <is>
          <t>BS006</t>
        </is>
      </c>
      <c r="H30" t="inlineStr">
        <is>
          <t>21 Juni 1986</t>
        </is>
      </c>
      <c r="I30" s="2" t="n">
        <v>46229</v>
      </c>
      <c r="J30" t="inlineStr">
        <is>
          <t>Disetujui</t>
        </is>
      </c>
      <c r="K30" t="n">
        <v>30</v>
      </c>
      <c r="L30" t="inlineStr">
        <is>
          <t>26 Juli 2026</t>
        </is>
      </c>
      <c r="M30" t="inlineStr">
        <is>
          <t>Konstruksi Bangunan Sipil Prasarana dan Sarana Sistem Pengolahan Limbah Padat, Cair, dan Gas</t>
        </is>
      </c>
      <c r="N30" t="inlineStr">
        <is>
          <t>K</t>
        </is>
      </c>
      <c r="O30" t="inlineStr">
        <is>
          <t>20230713</t>
        </is>
      </c>
      <c r="P30" t="inlineStr">
        <is>
          <t>Kalimantan Selatan</t>
        </is>
      </c>
      <c r="Q30" t="inlineStr"/>
    </row>
    <row r="31">
      <c r="A31" t="inlineStr">
        <is>
          <t>ANUGRAH TOMATA</t>
        </is>
      </c>
      <c r="B31" t="inlineStr">
        <is>
          <t>Kab. Morowali Utara</t>
        </is>
      </c>
      <c r="C31" t="inlineStr">
        <is>
          <t>082247425334</t>
        </is>
      </c>
      <c r="D31" t="inlineStr">
        <is>
          <t>victorsudamara@gmail.com</t>
        </is>
      </c>
      <c r="E31" t="inlineStr">
        <is>
          <t>https://lpjk.pu.go.id/search-badan-usaha-detail/TWVqNnl0R2gyT3dtbjdoM3A2OW91dz09</t>
        </is>
      </c>
      <c r="F31" t="n">
        <v>4</v>
      </c>
      <c r="G31" t="inlineStr">
        <is>
          <t>BG002, BG005</t>
        </is>
      </c>
      <c r="H31" t="inlineStr">
        <is>
          <t>10 Februari 2020</t>
        </is>
      </c>
      <c r="I31" s="2" t="n">
        <v>46229</v>
      </c>
      <c r="J31" t="inlineStr">
        <is>
          <t>Disetujui</t>
        </is>
      </c>
      <c r="K31" t="n">
        <v>30</v>
      </c>
      <c r="L31" t="inlineStr">
        <is>
          <t>26 Juli 2026</t>
        </is>
      </c>
      <c r="M31" t="inlineStr">
        <is>
          <t>Konstruksi Gedung Kesehatan, Konstruksi Gedung Perkantoran</t>
        </is>
      </c>
      <c r="N31" t="inlineStr">
        <is>
          <t>K</t>
        </is>
      </c>
      <c r="O31" t="inlineStr">
        <is>
          <t>20230726</t>
        </is>
      </c>
      <c r="P31" t="inlineStr">
        <is>
          <t>Sulawesi Tengah</t>
        </is>
      </c>
      <c r="Q31" t="inlineStr"/>
    </row>
    <row r="32">
      <c r="A32" t="inlineStr">
        <is>
          <t>ARETA</t>
        </is>
      </c>
      <c r="B32" t="inlineStr">
        <is>
          <t>Kab. Kubu Raya</t>
        </is>
      </c>
      <c r="C32" t="inlineStr">
        <is>
          <t>081256678333</t>
        </is>
      </c>
      <c r="D32" t="inlineStr">
        <is>
          <t>aretacv@yahoo.co.id</t>
        </is>
      </c>
      <c r="E32" t="inlineStr">
        <is>
          <t>https://lpjk.pu.go.id/search-badan-usaha-detail/d0pMbXlTR1dKYitvQzJMVU5wMVhBZz09</t>
        </is>
      </c>
      <c r="F32" t="n">
        <v>1</v>
      </c>
      <c r="G32" t="inlineStr">
        <is>
          <t>BG006</t>
        </is>
      </c>
      <c r="H32" t="inlineStr">
        <is>
          <t>19 Oktober 2012</t>
        </is>
      </c>
      <c r="I32" s="2" t="n">
        <v>46229</v>
      </c>
      <c r="J32" t="inlineStr">
        <is>
          <t>Disetujui</t>
        </is>
      </c>
      <c r="K32" t="n">
        <v>30</v>
      </c>
      <c r="L32" t="inlineStr">
        <is>
          <t>26 Juli 2026</t>
        </is>
      </c>
      <c r="M32" t="inlineStr">
        <is>
          <t>Konstruksi Gedung Pendidikan</t>
        </is>
      </c>
      <c r="N32" t="inlineStr">
        <is>
          <t>K</t>
        </is>
      </c>
      <c r="O32" t="inlineStr">
        <is>
          <t>20230712</t>
        </is>
      </c>
      <c r="P32" t="inlineStr">
        <is>
          <t>Kalimantan Barat</t>
        </is>
      </c>
      <c r="Q32" t="inlineStr"/>
    </row>
    <row r="33">
      <c r="A33" t="inlineStr">
        <is>
          <t>ARIESTA KENCANA</t>
        </is>
      </c>
      <c r="B33" t="inlineStr">
        <is>
          <t>Kab. Halmahera Tengah</t>
        </is>
      </c>
      <c r="C33" t="inlineStr">
        <is>
          <t>08114323822</t>
        </is>
      </c>
      <c r="D33" t="inlineStr">
        <is>
          <t>kencanaariesta@gmail.com</t>
        </is>
      </c>
      <c r="E33" t="inlineStr">
        <is>
          <t>https://lpjk.pu.go.id/search-badan-usaha-detail/N2UraGE5T1BlTzB4K2ZxU2xscGdOZz09</t>
        </is>
      </c>
      <c r="F33" t="n">
        <v>15</v>
      </c>
      <c r="G33" t="inlineStr">
        <is>
          <t>BG002, BS001, BS002, BS004, BS005</t>
        </is>
      </c>
      <c r="H33" t="inlineStr">
        <is>
          <t>2 November 2000</t>
        </is>
      </c>
      <c r="I33" s="2" t="n">
        <v>46229</v>
      </c>
      <c r="J33" t="inlineStr">
        <is>
          <t>Disetujui, Pencabutan</t>
        </is>
      </c>
      <c r="K33" t="n">
        <v>30</v>
      </c>
      <c r="L33" t="inlineStr">
        <is>
          <t>26 Juli 2026</t>
        </is>
      </c>
      <c r="M33" t="inlineStr">
        <is>
          <t>Bangunan Sipil Jembatan, Jalan Layang, Fly Over, dan Underpass, Konstruksi Bangunan Sipil Jalan, Konstruksi Bangunan Sipil Pengolahan Air Bersih, Konstruksi Gedung Perkantoran, Konstruksi Jaringan Irigasi dan Drainase</t>
        </is>
      </c>
      <c r="N33" t="inlineStr">
        <is>
          <t>K</t>
        </is>
      </c>
      <c r="O33" t="inlineStr">
        <is>
          <t>20230704, 20230717</t>
        </is>
      </c>
      <c r="P33" t="inlineStr">
        <is>
          <t>Maluku Utara</t>
        </is>
      </c>
      <c r="Q33" t="inlineStr"/>
    </row>
    <row r="34">
      <c r="A34" t="inlineStr">
        <is>
          <t>ARIF PRATAMA</t>
        </is>
      </c>
      <c r="B34" t="inlineStr">
        <is>
          <t>Kota Pontianak</t>
        </is>
      </c>
      <c r="C34" t="inlineStr">
        <is>
          <t>08994282692</t>
        </is>
      </c>
      <c r="D34" t="inlineStr">
        <is>
          <t>cvariefpratama@yahoo.co.id</t>
        </is>
      </c>
      <c r="E34" t="inlineStr">
        <is>
          <t>https://lpjk.pu.go.id/search-badan-usaha-detail/d0lmUHRISzZtdk5GWkpobzJaeWpQdz09</t>
        </is>
      </c>
      <c r="F34" t="n">
        <v>1</v>
      </c>
      <c r="G34" t="inlineStr">
        <is>
          <t>BG006</t>
        </is>
      </c>
      <c r="H34" t="inlineStr">
        <is>
          <t>22 Juni 2012</t>
        </is>
      </c>
      <c r="I34" s="2" t="n">
        <v>46229</v>
      </c>
      <c r="J34" t="inlineStr">
        <is>
          <t>Pencabutan</t>
        </is>
      </c>
      <c r="K34" t="n">
        <v>30</v>
      </c>
      <c r="L34" t="inlineStr">
        <is>
          <t>26 Juli 2026</t>
        </is>
      </c>
      <c r="M34" t="inlineStr">
        <is>
          <t>Konstruksi Gedung Pendidikan</t>
        </is>
      </c>
      <c r="N34" t="inlineStr">
        <is>
          <t>K</t>
        </is>
      </c>
      <c r="O34" t="inlineStr">
        <is>
          <t>20230708</t>
        </is>
      </c>
      <c r="P34" t="inlineStr">
        <is>
          <t>Kalimantan Barat</t>
        </is>
      </c>
      <c r="Q34" t="inlineStr"/>
    </row>
    <row r="35">
      <c r="A35" t="inlineStr">
        <is>
          <t>ARTHA MIARGA</t>
        </is>
      </c>
      <c r="B35" t="inlineStr">
        <is>
          <t>Kota Mataram</t>
        </is>
      </c>
      <c r="C35" t="inlineStr">
        <is>
          <t>081915650936</t>
        </is>
      </c>
      <c r="D35" t="inlineStr">
        <is>
          <t>cv.arthamiarga81@gmail.com</t>
        </is>
      </c>
      <c r="E35" t="inlineStr">
        <is>
          <t>https://lpjk.pu.go.id/search-badan-usaha-detail/YnloSU8rc2dkL0xYSVZMTVdFaWVXZz09</t>
        </is>
      </c>
      <c r="F35" t="n">
        <v>1</v>
      </c>
      <c r="G35" t="inlineStr">
        <is>
          <t>BS001</t>
        </is>
      </c>
      <c r="H35" t="inlineStr">
        <is>
          <t>5 Juni 2023</t>
        </is>
      </c>
      <c r="I35" s="2" t="n">
        <v>46229</v>
      </c>
      <c r="J35" t="inlineStr">
        <is>
          <t>Disetujui</t>
        </is>
      </c>
      <c r="K35" t="n">
        <v>30</v>
      </c>
      <c r="L35" t="inlineStr">
        <is>
          <t>26 Juli 2026</t>
        </is>
      </c>
      <c r="M35" t="inlineStr">
        <is>
          <t>Konstruksi Bangunan Sipil Jalan</t>
        </is>
      </c>
      <c r="N35" t="inlineStr">
        <is>
          <t>K</t>
        </is>
      </c>
      <c r="O35" t="inlineStr">
        <is>
          <t>20230724</t>
        </is>
      </c>
      <c r="P35" t="inlineStr">
        <is>
          <t>Nusa Tenggara Barat</t>
        </is>
      </c>
      <c r="Q35" t="inlineStr"/>
    </row>
    <row r="36">
      <c r="A36" t="inlineStr">
        <is>
          <t>ASA WINATA</t>
        </is>
      </c>
      <c r="B36" t="inlineStr">
        <is>
          <t>Kota Pekanbaru</t>
        </is>
      </c>
      <c r="C36" t="inlineStr">
        <is>
          <t>081334885322</t>
        </is>
      </c>
      <c r="D36" t="inlineStr">
        <is>
          <t>cv.asawinata@gmail.com</t>
        </is>
      </c>
      <c r="E36" t="inlineStr">
        <is>
          <t>https://lpjk.pu.go.id/search-badan-usaha-detail/Vm5CTXk5NFVRRGE3VmFzYWd4WHlLZz09</t>
        </is>
      </c>
      <c r="F36" t="n">
        <v>1</v>
      </c>
      <c r="G36" t="inlineStr">
        <is>
          <t>BG009</t>
        </is>
      </c>
      <c r="H36" t="inlineStr">
        <is>
          <t>17 Januari 2022</t>
        </is>
      </c>
      <c r="I36" s="2" t="n">
        <v>46229</v>
      </c>
      <c r="J36" t="inlineStr">
        <is>
          <t>Disetujui</t>
        </is>
      </c>
      <c r="K36" t="n">
        <v>30</v>
      </c>
      <c r="L36" t="inlineStr">
        <is>
          <t>26 Juli 2026</t>
        </is>
      </c>
      <c r="M36" t="inlineStr">
        <is>
          <t>Konstruksi Gedung Lainnya</t>
        </is>
      </c>
      <c r="N36" t="inlineStr">
        <is>
          <t>K</t>
        </is>
      </c>
      <c r="O36" t="inlineStr">
        <is>
          <t>20230726</t>
        </is>
      </c>
      <c r="P36" t="inlineStr">
        <is>
          <t>Riau</t>
        </is>
      </c>
      <c r="Q36" t="inlineStr"/>
    </row>
    <row r="37">
      <c r="A37" t="inlineStr">
        <is>
          <t>AURA</t>
        </is>
      </c>
      <c r="B37" t="inlineStr">
        <is>
          <t>Kota Samarinda</t>
        </is>
      </c>
      <c r="C37" t="inlineStr">
        <is>
          <t>081283780827</t>
        </is>
      </c>
      <c r="D37" t="inlineStr">
        <is>
          <t>cv.aurasmd2018@gmail.com</t>
        </is>
      </c>
      <c r="E37" t="inlineStr">
        <is>
          <t>https://lpjk.pu.go.id/search-badan-usaha-detail/SFJuQWtUUVBsK25naytnTEl1NW5NQT09</t>
        </is>
      </c>
      <c r="F37" t="n">
        <v>1</v>
      </c>
      <c r="G37" t="inlineStr">
        <is>
          <t>BS001</t>
        </is>
      </c>
      <c r="H37" t="inlineStr">
        <is>
          <t>16 November 2018</t>
        </is>
      </c>
      <c r="I37" s="2" t="n">
        <v>46229</v>
      </c>
      <c r="J37" t="inlineStr">
        <is>
          <t>Disetujui</t>
        </is>
      </c>
      <c r="K37" t="n">
        <v>30</v>
      </c>
      <c r="L37" t="inlineStr">
        <is>
          <t>26 Juli 2026</t>
        </is>
      </c>
      <c r="M37" t="inlineStr">
        <is>
          <t>Konstruksi Bangunan Sipil Jalan</t>
        </is>
      </c>
      <c r="N37" t="inlineStr">
        <is>
          <t>K</t>
        </is>
      </c>
      <c r="O37" t="inlineStr">
        <is>
          <t>20230719</t>
        </is>
      </c>
      <c r="P37" t="inlineStr">
        <is>
          <t>Kalimantan Timur</t>
        </is>
      </c>
      <c r="Q37" t="inlineStr"/>
    </row>
    <row r="38">
      <c r="A38" t="inlineStr">
        <is>
          <t>AXEL ANUGERAH MANDIRI</t>
        </is>
      </c>
      <c r="B38" t="inlineStr">
        <is>
          <t>Kab. Deli Serdang</t>
        </is>
      </c>
      <c r="C38" t="inlineStr">
        <is>
          <t>081360222154</t>
        </is>
      </c>
      <c r="D38" t="inlineStr">
        <is>
          <t>axelanugerahmandiri@gmail.com</t>
        </is>
      </c>
      <c r="E38" t="inlineStr">
        <is>
          <t>https://lpjk.pu.go.id/search-badan-usaha-detail/aCtOVFJTWkxmNXRlL3dXcXRTTHRXdz09</t>
        </is>
      </c>
      <c r="F38" t="n">
        <v>1</v>
      </c>
      <c r="G38" t="inlineStr">
        <is>
          <t>BS004</t>
        </is>
      </c>
      <c r="H38" t="inlineStr">
        <is>
          <t>22 Juni 2023</t>
        </is>
      </c>
      <c r="I38" s="2" t="n">
        <v>46229</v>
      </c>
      <c r="J38" t="inlineStr">
        <is>
          <t>Disetujui</t>
        </is>
      </c>
      <c r="K38" t="n">
        <v>30</v>
      </c>
      <c r="L38" t="inlineStr">
        <is>
          <t>26 Juli 2026</t>
        </is>
      </c>
      <c r="M38" t="inlineStr">
        <is>
          <t>Konstruksi Jaringan Irigasi dan Drainase</t>
        </is>
      </c>
      <c r="N38" t="inlineStr">
        <is>
          <t>K</t>
        </is>
      </c>
      <c r="O38" t="inlineStr">
        <is>
          <t>20230726</t>
        </is>
      </c>
      <c r="P38" t="inlineStr">
        <is>
          <t>Sumatera Utara</t>
        </is>
      </c>
      <c r="Q38" t="inlineStr"/>
    </row>
    <row r="39">
      <c r="A39" t="inlineStr">
        <is>
          <t>AZURA PERKASA</t>
        </is>
      </c>
      <c r="B39" t="inlineStr">
        <is>
          <t>Kota Pontianak</t>
        </is>
      </c>
      <c r="C39" t="inlineStr">
        <is>
          <t>082155545603</t>
        </is>
      </c>
      <c r="D39" t="inlineStr">
        <is>
          <t>azuraperkasa@gmail.com</t>
        </is>
      </c>
      <c r="E39" t="inlineStr">
        <is>
          <t>https://lpjk.pu.go.id/search-badan-usaha-detail/WXdGcTFPNE9yWHl4Z1ZFbkw5RlpCdz09</t>
        </is>
      </c>
      <c r="F39" t="n">
        <v>1</v>
      </c>
      <c r="G39" t="inlineStr">
        <is>
          <t>BS005</t>
        </is>
      </c>
      <c r="H39" t="inlineStr">
        <is>
          <t>3 Mei 2017</t>
        </is>
      </c>
      <c r="I39" s="2" t="n">
        <v>46229</v>
      </c>
      <c r="J39" t="inlineStr">
        <is>
          <t>Disetujui</t>
        </is>
      </c>
      <c r="K39" t="n">
        <v>30</v>
      </c>
      <c r="L39" t="inlineStr">
        <is>
          <t>26 Juli 2026</t>
        </is>
      </c>
      <c r="M39" t="inlineStr">
        <is>
          <t>Konstruksi Bangunan Sipil Pengolahan Air Bersih</t>
        </is>
      </c>
      <c r="N39" t="inlineStr">
        <is>
          <t>K</t>
        </is>
      </c>
      <c r="O39" t="inlineStr">
        <is>
          <t>20230727</t>
        </is>
      </c>
      <c r="P39" t="inlineStr">
        <is>
          <t>Kalimantan Barat</t>
        </is>
      </c>
      <c r="Q39" t="inlineStr"/>
    </row>
    <row r="40">
      <c r="A40" t="inlineStr">
        <is>
          <t>BAGAS PARADESO ABADI</t>
        </is>
      </c>
      <c r="B40" t="inlineStr">
        <is>
          <t>Kab. Kotawaringin Timur</t>
        </is>
      </c>
      <c r="C40" t="inlineStr">
        <is>
          <t>08125140021</t>
        </is>
      </c>
      <c r="D40" t="inlineStr">
        <is>
          <t>ptbagasparadesoabadi@gmail.com</t>
        </is>
      </c>
      <c r="E40" t="inlineStr">
        <is>
          <t>https://lpjk.pu.go.id/search-badan-usaha-detail/cXJ4QmkrYi9GbWx1MXBkMDlSOVFVQT09</t>
        </is>
      </c>
      <c r="F40" t="n">
        <v>1</v>
      </c>
      <c r="G40" t="inlineStr">
        <is>
          <t>BG001</t>
        </is>
      </c>
      <c r="H40" t="inlineStr">
        <is>
          <t>14 Januari 2019</t>
        </is>
      </c>
      <c r="I40" s="2" t="n">
        <v>46229</v>
      </c>
      <c r="J40" t="inlineStr">
        <is>
          <t>Disetujui</t>
        </is>
      </c>
      <c r="K40" t="n">
        <v>30</v>
      </c>
      <c r="L40" t="inlineStr">
        <is>
          <t>26 Juli 2026</t>
        </is>
      </c>
      <c r="M40" t="inlineStr">
        <is>
          <t>Konstruksi Gedung Hunian</t>
        </is>
      </c>
      <c r="N40" t="inlineStr">
        <is>
          <t>K</t>
        </is>
      </c>
      <c r="O40" t="inlineStr">
        <is>
          <t>20230717</t>
        </is>
      </c>
      <c r="P40" t="inlineStr">
        <is>
          <t>Kalimantan Tengah</t>
        </is>
      </c>
      <c r="Q40" t="inlineStr"/>
    </row>
    <row r="41">
      <c r="A41" t="inlineStr">
        <is>
          <t>BAHARI</t>
        </is>
      </c>
      <c r="B41" t="inlineStr">
        <is>
          <t>Kab. Jember</t>
        </is>
      </c>
      <c r="C41" t="inlineStr">
        <is>
          <t>08123464362</t>
        </is>
      </c>
      <c r="D41" t="inlineStr">
        <is>
          <t>baharijember@gmail.com</t>
        </is>
      </c>
      <c r="E41" t="inlineStr">
        <is>
          <t>https://lpjk.pu.go.id/search-badan-usaha-detail/akZ4N2w5c09hVFB1WGh0Z21zdUpLQT09</t>
        </is>
      </c>
      <c r="F41" t="n">
        <v>2</v>
      </c>
      <c r="G41" t="inlineStr">
        <is>
          <t>BG009, BS004</t>
        </is>
      </c>
      <c r="H41" t="inlineStr">
        <is>
          <t>11 Juli 2005</t>
        </is>
      </c>
      <c r="I41" s="2" t="n">
        <v>46229</v>
      </c>
      <c r="J41" t="inlineStr">
        <is>
          <t>Disetujui</t>
        </is>
      </c>
      <c r="K41" t="n">
        <v>30</v>
      </c>
      <c r="L41" t="inlineStr">
        <is>
          <t>26 Juli 2026</t>
        </is>
      </c>
      <c r="M41" t="inlineStr">
        <is>
          <t>Konstruksi Gedung Lainnya, Konstruksi Jaringan Irigasi dan Drainase</t>
        </is>
      </c>
      <c r="N41" t="inlineStr">
        <is>
          <t>K</t>
        </is>
      </c>
      <c r="O41" t="inlineStr">
        <is>
          <t>20230726</t>
        </is>
      </c>
      <c r="P41" t="inlineStr">
        <is>
          <t>Jawa Timur</t>
        </is>
      </c>
      <c r="Q41" t="inlineStr"/>
    </row>
    <row r="42">
      <c r="A42" t="inlineStr">
        <is>
          <t>BAKRI MANDIRI</t>
        </is>
      </c>
      <c r="B42" t="inlineStr">
        <is>
          <t>Kab. Sukabumi</t>
        </is>
      </c>
      <c r="C42" t="inlineStr">
        <is>
          <t>081290057739</t>
        </is>
      </c>
      <c r="D42" t="inlineStr">
        <is>
          <t>bakri.mandiri88@gmail.com</t>
        </is>
      </c>
      <c r="E42" t="inlineStr">
        <is>
          <t>https://lpjk.pu.go.id/search-badan-usaha-detail/R3pDZTRpZFNoQkdpaDBQWllTcDR4UT09</t>
        </is>
      </c>
      <c r="F42" t="n">
        <v>2</v>
      </c>
      <c r="G42" t="inlineStr">
        <is>
          <t>BG006, BS004</t>
        </is>
      </c>
      <c r="H42" t="inlineStr">
        <is>
          <t>22 Juni 2012</t>
        </is>
      </c>
      <c r="I42" s="2" t="n">
        <v>46229</v>
      </c>
      <c r="J42" t="inlineStr">
        <is>
          <t>Disetujui</t>
        </is>
      </c>
      <c r="K42" t="n">
        <v>30</v>
      </c>
      <c r="L42" t="inlineStr">
        <is>
          <t>26 Juli 2026</t>
        </is>
      </c>
      <c r="M42" t="inlineStr">
        <is>
          <t>Konstruksi Gedung Pendidikan, Konstruksi Jaringan Irigasi dan Drainase</t>
        </is>
      </c>
      <c r="N42" t="inlineStr">
        <is>
          <t>K</t>
        </is>
      </c>
      <c r="O42" t="inlineStr">
        <is>
          <t>20230721</t>
        </is>
      </c>
      <c r="P42" t="inlineStr">
        <is>
          <t>Jawa Barat</t>
        </is>
      </c>
      <c r="Q42" t="inlineStr"/>
    </row>
    <row r="43">
      <c r="A43" t="inlineStr">
        <is>
          <t>BANGUN DAYA</t>
        </is>
      </c>
      <c r="B43" t="inlineStr">
        <is>
          <t>Kab. Trenggalek</t>
        </is>
      </c>
      <c r="C43" t="inlineStr">
        <is>
          <t>081259143099</t>
        </is>
      </c>
      <c r="D43" t="inlineStr">
        <is>
          <t>cvbangundaya326@gmail.com</t>
        </is>
      </c>
      <c r="E43" t="inlineStr">
        <is>
          <t>https://lpjk.pu.go.id/search-badan-usaha-detail/ZjVSN3ZIM1h4Y1E2Zkd1QTg5RnNYUT09</t>
        </is>
      </c>
      <c r="F43" t="n">
        <v>1</v>
      </c>
      <c r="G43" t="inlineStr">
        <is>
          <t>BS001</t>
        </is>
      </c>
      <c r="H43" t="inlineStr">
        <is>
          <t>13 Maret 1999</t>
        </is>
      </c>
      <c r="I43" s="2" t="n">
        <v>46229</v>
      </c>
      <c r="J43" t="inlineStr">
        <is>
          <t>Disetujui</t>
        </is>
      </c>
      <c r="K43" t="n">
        <v>30</v>
      </c>
      <c r="L43" t="inlineStr">
        <is>
          <t>26 Juli 2026</t>
        </is>
      </c>
      <c r="M43" t="inlineStr">
        <is>
          <t>Konstruksi Bangunan Sipil Jalan</t>
        </is>
      </c>
      <c r="N43" t="inlineStr">
        <is>
          <t>K</t>
        </is>
      </c>
      <c r="O43" t="inlineStr">
        <is>
          <t>20230724</t>
        </is>
      </c>
      <c r="P43" t="inlineStr">
        <is>
          <t>Jawa Timur</t>
        </is>
      </c>
      <c r="Q43" t="inlineStr"/>
    </row>
    <row r="44">
      <c r="A44" t="inlineStr">
        <is>
          <t>BERKAH BERSAMA SEJAHTERA</t>
        </is>
      </c>
      <c r="B44" t="inlineStr">
        <is>
          <t>Kab. Bandung</t>
        </is>
      </c>
      <c r="C44" t="inlineStr">
        <is>
          <t>081123355667</t>
        </is>
      </c>
      <c r="D44" t="inlineStr">
        <is>
          <t>cv.bbs.bdg@gmail.com</t>
        </is>
      </c>
      <c r="E44" t="inlineStr">
        <is>
          <t>https://lpjk.pu.go.id/search-badan-usaha-detail/RGkxVy9JeHk0NHRBVlFqcXpMZ1BYdz09</t>
        </is>
      </c>
      <c r="F44" t="n">
        <v>2</v>
      </c>
      <c r="G44" t="inlineStr">
        <is>
          <t>BS006</t>
        </is>
      </c>
      <c r="H44" t="inlineStr">
        <is>
          <t>11 Agustus 2016</t>
        </is>
      </c>
      <c r="I44" s="2" t="n">
        <v>46229</v>
      </c>
      <c r="J44" t="inlineStr">
        <is>
          <t>Disetujui</t>
        </is>
      </c>
      <c r="K44" t="n">
        <v>30</v>
      </c>
      <c r="L44" t="inlineStr">
        <is>
          <t>26 Juli 2026</t>
        </is>
      </c>
      <c r="M44" t="inlineStr">
        <is>
          <t>Konstruksi Bangunan Sipil Prasarana dan Sarana Sistem Pengolahan Limbah Padat, Cair, dan Gas</t>
        </is>
      </c>
      <c r="N44" t="inlineStr">
        <is>
          <t>K</t>
        </is>
      </c>
      <c r="O44" t="inlineStr">
        <is>
          <t>20230710</t>
        </is>
      </c>
      <c r="P44" t="inlineStr">
        <is>
          <t>Jawa Barat</t>
        </is>
      </c>
      <c r="Q44" t="inlineStr"/>
    </row>
    <row r="45">
      <c r="A45" t="inlineStr">
        <is>
          <t>BERKAH MITRA SAUDARA</t>
        </is>
      </c>
      <c r="B45" t="inlineStr">
        <is>
          <t>Kota Medan</t>
        </is>
      </c>
      <c r="C45" t="inlineStr">
        <is>
          <t>085260902616</t>
        </is>
      </c>
      <c r="D45" t="inlineStr">
        <is>
          <t>berkahmitrasaudara@gmail.com</t>
        </is>
      </c>
      <c r="E45" t="inlineStr">
        <is>
          <t>https://lpjk.pu.go.id/search-badan-usaha-detail/czBoUTd4bzQ4R3RSaU8yamtEUTBnQT09</t>
        </is>
      </c>
      <c r="F45" t="n">
        <v>4</v>
      </c>
      <c r="G45" t="inlineStr">
        <is>
          <t>BG001, BG002</t>
        </is>
      </c>
      <c r="H45" t="inlineStr">
        <is>
          <t>16 Juli 2020</t>
        </is>
      </c>
      <c r="I45" s="2" t="n">
        <v>46229</v>
      </c>
      <c r="J45" t="inlineStr">
        <is>
          <t>Disetujui</t>
        </is>
      </c>
      <c r="K45" t="n">
        <v>30</v>
      </c>
      <c r="L45" t="inlineStr">
        <is>
          <t>26 Juli 2026</t>
        </is>
      </c>
      <c r="M45" t="inlineStr">
        <is>
          <t>Konstruksi Gedung Hunian, Konstruksi Gedung Perkantoran</t>
        </is>
      </c>
      <c r="N45" t="inlineStr">
        <is>
          <t>K</t>
        </is>
      </c>
      <c r="O45" t="inlineStr">
        <is>
          <t>20230726, 20230727</t>
        </is>
      </c>
      <c r="P45" t="inlineStr">
        <is>
          <t>Sumatera Utara</t>
        </is>
      </c>
      <c r="Q45" t="inlineStr"/>
    </row>
    <row r="46">
      <c r="A46" t="inlineStr">
        <is>
          <t>BEST KONSTRUKSI MANDIRI</t>
        </is>
      </c>
      <c r="B46" t="inlineStr">
        <is>
          <t>Kota Banjarmasin</t>
        </is>
      </c>
      <c r="C46" t="inlineStr">
        <is>
          <t>05114425154</t>
        </is>
      </c>
      <c r="D46" t="inlineStr">
        <is>
          <t>cvbestkm@gmail.com</t>
        </is>
      </c>
      <c r="E46" t="inlineStr">
        <is>
          <t>https://lpjk.pu.go.id/search-badan-usaha-detail/cXBhem41L3haWFVaNFNYbW1ya2VPQT09</t>
        </is>
      </c>
      <c r="F46" t="n">
        <v>1</v>
      </c>
      <c r="G46" t="inlineStr">
        <is>
          <t>BS002</t>
        </is>
      </c>
      <c r="H46" t="inlineStr">
        <is>
          <t>29 Agustus 2019</t>
        </is>
      </c>
      <c r="I46" s="2" t="n">
        <v>46229</v>
      </c>
      <c r="J46" t="inlineStr">
        <is>
          <t>Disetujui</t>
        </is>
      </c>
      <c r="K46" t="n">
        <v>30</v>
      </c>
      <c r="L46" t="inlineStr">
        <is>
          <t>26 Juli 2026</t>
        </is>
      </c>
      <c r="M46" t="inlineStr">
        <is>
          <t>Bangunan Sipil Jembatan, Jalan Layang, Fly Over, dan Underpass</t>
        </is>
      </c>
      <c r="N46" t="inlineStr">
        <is>
          <t>K</t>
        </is>
      </c>
      <c r="O46" t="inlineStr">
        <is>
          <t>20230718</t>
        </is>
      </c>
      <c r="P46" t="inlineStr">
        <is>
          <t>Kalimantan Selatan</t>
        </is>
      </c>
      <c r="Q46" t="inlineStr"/>
    </row>
    <row r="47">
      <c r="A47" t="inlineStr">
        <is>
          <t>BINTANG PASUNDAN</t>
        </is>
      </c>
      <c r="B47" t="inlineStr">
        <is>
          <t>Kota Cilegon</t>
        </is>
      </c>
      <c r="C47" t="inlineStr">
        <is>
          <t>081224004229</t>
        </is>
      </c>
      <c r="D47" t="inlineStr">
        <is>
          <t>bintangpasundancv@ggmail.com</t>
        </is>
      </c>
      <c r="E47" t="inlineStr">
        <is>
          <t>https://lpjk.pu.go.id/search-badan-usaha-detail/ck1GdzA4ME1Pb3BGR2ZpQ3FtalB3dz09</t>
        </is>
      </c>
      <c r="F47" t="n">
        <v>8</v>
      </c>
      <c r="G47" t="inlineStr">
        <is>
          <t>BG001, BG005, BG006, BG009</t>
        </is>
      </c>
      <c r="H47" t="inlineStr">
        <is>
          <t>27 Desember 2021</t>
        </is>
      </c>
      <c r="I47" s="2" t="n">
        <v>46229</v>
      </c>
      <c r="J47" t="inlineStr">
        <is>
          <t>Disetujui</t>
        </is>
      </c>
      <c r="K47" t="n">
        <v>30</v>
      </c>
      <c r="L47" t="inlineStr">
        <is>
          <t>26 Juli 2026</t>
        </is>
      </c>
      <c r="M47" t="inlineStr">
        <is>
          <t>Konstruksi Gedung Hunian, Konstruksi Gedung Kesehatan, Konstruksi Gedung Lainnya, Konstruksi Gedung Pendidikan</t>
        </is>
      </c>
      <c r="N47" t="inlineStr">
        <is>
          <t>K</t>
        </is>
      </c>
      <c r="O47" t="inlineStr">
        <is>
          <t>20230725, 20230726</t>
        </is>
      </c>
      <c r="P47" t="inlineStr">
        <is>
          <t>Banten</t>
        </is>
      </c>
      <c r="Q47" t="inlineStr"/>
    </row>
    <row r="48">
      <c r="A48" t="inlineStr">
        <is>
          <t>BRAVO MULTI KARYA</t>
        </is>
      </c>
      <c r="B48" t="inlineStr">
        <is>
          <t>Kab. Banjar</t>
        </is>
      </c>
      <c r="C48" t="inlineStr">
        <is>
          <t>085349565619</t>
        </is>
      </c>
      <c r="D48" t="inlineStr">
        <is>
          <t>bravokarya79@gmail.com</t>
        </is>
      </c>
      <c r="E48" t="inlineStr">
        <is>
          <t>https://lpjk.pu.go.id/search-badan-usaha-detail/ckZRQnk2YUl6SGg1cWFzSHE1aDZ3Zz09</t>
        </is>
      </c>
      <c r="F48" t="n">
        <v>2</v>
      </c>
      <c r="G48" t="inlineStr">
        <is>
          <t>BG005, BG006</t>
        </is>
      </c>
      <c r="H48" t="inlineStr">
        <is>
          <t>22 Juni 2012</t>
        </is>
      </c>
      <c r="I48" s="2" t="n">
        <v>46229</v>
      </c>
      <c r="J48" t="inlineStr">
        <is>
          <t>Disetujui</t>
        </is>
      </c>
      <c r="K48" t="n">
        <v>30</v>
      </c>
      <c r="L48" t="inlineStr">
        <is>
          <t>26 Juli 2026</t>
        </is>
      </c>
      <c r="M48" t="inlineStr">
        <is>
          <t>Konstruksi Gedung Kesehatan, Konstruksi Gedung Pendidikan</t>
        </is>
      </c>
      <c r="N48" t="inlineStr">
        <is>
          <t>K</t>
        </is>
      </c>
      <c r="O48" t="inlineStr">
        <is>
          <t>20230627, 20230726</t>
        </is>
      </c>
      <c r="P48" t="inlineStr">
        <is>
          <t>Kalimantan Selatan</t>
        </is>
      </c>
      <c r="Q48" t="inlineStr"/>
    </row>
    <row r="49">
      <c r="A49" t="inlineStr">
        <is>
          <t>BUMI CAHAYA</t>
        </is>
      </c>
      <c r="B49" t="inlineStr">
        <is>
          <t>Kab. Banyuwangi</t>
        </is>
      </c>
      <c r="C49" t="inlineStr">
        <is>
          <t>085218574572</t>
        </is>
      </c>
      <c r="D49" t="inlineStr">
        <is>
          <t>bumicahaya22@gmail.com</t>
        </is>
      </c>
      <c r="E49" t="inlineStr">
        <is>
          <t>https://lpjk.pu.go.id/search-badan-usaha-detail/bmdEME5hak5OVTVqM3ZkWFpMc3NnQT09</t>
        </is>
      </c>
      <c r="F49" t="n">
        <v>2</v>
      </c>
      <c r="G49" t="inlineStr">
        <is>
          <t>BS001, BS004</t>
        </is>
      </c>
      <c r="H49" t="inlineStr">
        <is>
          <t>18 Mei 2018</t>
        </is>
      </c>
      <c r="I49" s="2" t="n">
        <v>46229</v>
      </c>
      <c r="J49" t="inlineStr">
        <is>
          <t>Disetujui</t>
        </is>
      </c>
      <c r="K49" t="n">
        <v>30</v>
      </c>
      <c r="L49" t="inlineStr">
        <is>
          <t>26 Juli 2026</t>
        </is>
      </c>
      <c r="M49" t="inlineStr">
        <is>
          <t>Konstruksi Bangunan Sipil Jalan, Konstruksi Jaringan Irigasi dan Drainase</t>
        </is>
      </c>
      <c r="N49" t="inlineStr">
        <is>
          <t>K</t>
        </is>
      </c>
      <c r="O49" t="inlineStr">
        <is>
          <t>20220530, 20230727</t>
        </is>
      </c>
      <c r="P49" t="inlineStr">
        <is>
          <t>Jawa Timur</t>
        </is>
      </c>
      <c r="Q49" t="inlineStr"/>
    </row>
    <row r="50">
      <c r="A50" t="inlineStr">
        <is>
          <t>BUMI KARSA MANDIRI</t>
        </is>
      </c>
      <c r="B50" t="inlineStr">
        <is>
          <t>Kab. Tasikmalaya</t>
        </is>
      </c>
      <c r="C50" t="inlineStr">
        <is>
          <t>082130181631</t>
        </is>
      </c>
      <c r="D50" t="inlineStr">
        <is>
          <t>bumikarsamandiri46@gmail.com</t>
        </is>
      </c>
      <c r="E50" t="inlineStr">
        <is>
          <t>https://lpjk.pu.go.id/search-badan-usaha-detail/cU5FTjBkU2V4SmZrZ3N4c2VNSG5jUT09</t>
        </is>
      </c>
      <c r="F50" t="n">
        <v>2</v>
      </c>
      <c r="G50" t="inlineStr">
        <is>
          <t>BG003, BS005</t>
        </is>
      </c>
      <c r="H50" t="inlineStr">
        <is>
          <t>10 Mei 2019</t>
        </is>
      </c>
      <c r="I50" s="2" t="n">
        <v>46229</v>
      </c>
      <c r="J50" t="inlineStr">
        <is>
          <t>Disetujui</t>
        </is>
      </c>
      <c r="K50" t="n">
        <v>30</v>
      </c>
      <c r="L50" t="inlineStr">
        <is>
          <t>26 Juli 2026</t>
        </is>
      </c>
      <c r="M50" t="inlineStr">
        <is>
          <t>Konstruksi Bangunan Sipil Pengolahan Air Bersih, Konstruksi Gedung Industri</t>
        </is>
      </c>
      <c r="N50" t="inlineStr">
        <is>
          <t>K</t>
        </is>
      </c>
      <c r="O50" t="inlineStr">
        <is>
          <t>20230726</t>
        </is>
      </c>
      <c r="P50" t="inlineStr">
        <is>
          <t>Jawa Barat</t>
        </is>
      </c>
      <c r="Q50" t="inlineStr"/>
    </row>
    <row r="51">
      <c r="A51" t="inlineStr">
        <is>
          <t>BUMI LESTARINDO</t>
        </is>
      </c>
      <c r="B51" t="inlineStr">
        <is>
          <t>Kab. Lumajang</t>
        </is>
      </c>
      <c r="C51" t="inlineStr">
        <is>
          <t>085234638111</t>
        </is>
      </c>
      <c r="D51" t="inlineStr">
        <is>
          <t>idoer_gdr@yahoo.co.id</t>
        </is>
      </c>
      <c r="E51" t="inlineStr">
        <is>
          <t>https://lpjk.pu.go.id/search-badan-usaha-detail/ZkNQcnM2RWVmVHVMdVo3NStBaU9BQT09</t>
        </is>
      </c>
      <c r="F51" t="n">
        <v>1</v>
      </c>
      <c r="G51" t="inlineStr">
        <is>
          <t>BG006</t>
        </is>
      </c>
      <c r="H51" t="inlineStr">
        <is>
          <t>12 Januari 2008</t>
        </is>
      </c>
      <c r="I51" s="2" t="n">
        <v>46229</v>
      </c>
      <c r="J51" t="inlineStr">
        <is>
          <t>Disetujui</t>
        </is>
      </c>
      <c r="K51" t="n">
        <v>30</v>
      </c>
      <c r="L51" t="inlineStr">
        <is>
          <t>26 Juli 2026</t>
        </is>
      </c>
      <c r="M51" t="inlineStr">
        <is>
          <t>Konstruksi Gedung Pendidikan</t>
        </is>
      </c>
      <c r="N51" t="inlineStr">
        <is>
          <t>K</t>
        </is>
      </c>
      <c r="O51" t="inlineStr">
        <is>
          <t>20230713</t>
        </is>
      </c>
      <c r="P51" t="inlineStr">
        <is>
          <t>Jawa Timur</t>
        </is>
      </c>
      <c r="Q51" t="inlineStr"/>
    </row>
    <row r="52">
      <c r="A52" t="inlineStr">
        <is>
          <t>BUMI RETANI</t>
        </is>
      </c>
      <c r="B52" t="inlineStr">
        <is>
          <t>Kab. Trenggalek</t>
        </is>
      </c>
      <c r="C52" t="inlineStr">
        <is>
          <t>082229745326</t>
        </is>
      </c>
      <c r="D52" t="inlineStr">
        <is>
          <t>sumardibumiretani1973@gmail.com</t>
        </is>
      </c>
      <c r="E52" t="inlineStr">
        <is>
          <t>https://lpjk.pu.go.id/search-badan-usaha-detail/OU13Z1hwb2UrcGY1NG9PVVhtUUJhZz09</t>
        </is>
      </c>
      <c r="F52" t="n">
        <v>1</v>
      </c>
      <c r="G52" t="inlineStr">
        <is>
          <t>BG009</t>
        </is>
      </c>
      <c r="H52" t="inlineStr">
        <is>
          <t>16 Juli 2004</t>
        </is>
      </c>
      <c r="I52" s="2" t="n">
        <v>46229</v>
      </c>
      <c r="J52" t="inlineStr">
        <is>
          <t>Disetujui</t>
        </is>
      </c>
      <c r="K52" t="n">
        <v>30</v>
      </c>
      <c r="L52" t="inlineStr">
        <is>
          <t>26 Juli 2026</t>
        </is>
      </c>
      <c r="M52" t="inlineStr">
        <is>
          <t>Konstruksi Gedung Lainnya</t>
        </is>
      </c>
      <c r="N52" t="inlineStr">
        <is>
          <t>K</t>
        </is>
      </c>
      <c r="O52" t="inlineStr">
        <is>
          <t>20230721</t>
        </is>
      </c>
      <c r="P52" t="inlineStr">
        <is>
          <t>Jawa Timur</t>
        </is>
      </c>
      <c r="Q52" t="inlineStr"/>
    </row>
    <row r="53">
      <c r="A53" t="inlineStr">
        <is>
          <t>CAHAYA ABADI KONSULTINDO</t>
        </is>
      </c>
      <c r="B53" t="inlineStr">
        <is>
          <t>Kota Sukabumi</t>
        </is>
      </c>
      <c r="C53" t="inlineStr">
        <is>
          <t>081573304795</t>
        </is>
      </c>
      <c r="D53" t="inlineStr">
        <is>
          <t>cahayaabadikonsultindo@gmail.com</t>
        </is>
      </c>
      <c r="E53" t="inlineStr">
        <is>
          <t>https://lpjk.pu.go.id/search-badan-usaha-detail/MGt1VkdvQldSMytzQVA5bURRWXlDUT09</t>
        </is>
      </c>
      <c r="F53" t="n">
        <v>1</v>
      </c>
      <c r="G53" t="inlineStr">
        <is>
          <t>RK003</t>
        </is>
      </c>
      <c r="H53" t="inlineStr">
        <is>
          <t>29 Mei 2023</t>
        </is>
      </c>
      <c r="I53" s="2" t="n">
        <v>46229</v>
      </c>
      <c r="J53" t="inlineStr">
        <is>
          <t>Disetujui</t>
        </is>
      </c>
      <c r="K53" t="n">
        <v>30</v>
      </c>
      <c r="L53" t="inlineStr">
        <is>
          <t>26 Juli 2026</t>
        </is>
      </c>
      <c r="M53" t="inlineStr">
        <is>
          <t>Jasa Rekayasa Pekerjaan Teknik Sipil Transportasi</t>
        </is>
      </c>
      <c r="N53" t="inlineStr">
        <is>
          <t>K</t>
        </is>
      </c>
      <c r="O53" t="inlineStr">
        <is>
          <t>20230707</t>
        </is>
      </c>
      <c r="P53" t="inlineStr">
        <is>
          <t>Jawa Barat</t>
        </is>
      </c>
      <c r="Q53" t="inlineStr"/>
    </row>
    <row r="54">
      <c r="A54" t="inlineStr">
        <is>
          <t>CAHAYA KAMILA LESTARI</t>
        </is>
      </c>
      <c r="B54" t="inlineStr">
        <is>
          <t>Kota Tangerang</t>
        </is>
      </c>
      <c r="C54" t="inlineStr">
        <is>
          <t>082218998947</t>
        </is>
      </c>
      <c r="D54" t="inlineStr">
        <is>
          <t>cahayakamilalestari@yopmail.com</t>
        </is>
      </c>
      <c r="E54" t="inlineStr">
        <is>
          <t>https://lpjk.pu.go.id/search-badan-usaha-detail/ZlU4UlFPK1Z5NUczRWJMWE9remJHdz09</t>
        </is>
      </c>
      <c r="F54" t="n">
        <v>1</v>
      </c>
      <c r="G54" t="inlineStr">
        <is>
          <t>BG006</t>
        </is>
      </c>
      <c r="H54" t="inlineStr">
        <is>
          <t>3 November 2022</t>
        </is>
      </c>
      <c r="I54" s="2" t="n">
        <v>46229</v>
      </c>
      <c r="J54" t="inlineStr">
        <is>
          <t>Disetujui</t>
        </is>
      </c>
      <c r="K54" t="n">
        <v>30</v>
      </c>
      <c r="L54" t="inlineStr">
        <is>
          <t>26 Juli 2026</t>
        </is>
      </c>
      <c r="M54" t="inlineStr">
        <is>
          <t>Konstruksi Gedung Pendidikan</t>
        </is>
      </c>
      <c r="N54" t="inlineStr">
        <is>
          <t>K</t>
        </is>
      </c>
      <c r="O54" t="inlineStr">
        <is>
          <t>20230726</t>
        </is>
      </c>
      <c r="P54" t="inlineStr">
        <is>
          <t>Banten</t>
        </is>
      </c>
      <c r="Q54" t="inlineStr"/>
    </row>
    <row r="55">
      <c r="A55" t="inlineStr">
        <is>
          <t>CAHYA PUTRA DEWANTA</t>
        </is>
      </c>
      <c r="B55" t="inlineStr">
        <is>
          <t>Kab. Pacitan</t>
        </is>
      </c>
      <c r="C55" t="inlineStr">
        <is>
          <t>082232633855</t>
        </is>
      </c>
      <c r="D55" t="inlineStr">
        <is>
          <t>cahyaputradewanta@gmail.com</t>
        </is>
      </c>
      <c r="E55" t="inlineStr">
        <is>
          <t>https://lpjk.pu.go.id/search-badan-usaha-detail/bVN5VmwzRnF3MnpJMi9oZGpoQzNLZz09</t>
        </is>
      </c>
      <c r="F55" t="n">
        <v>1</v>
      </c>
      <c r="G55" t="inlineStr">
        <is>
          <t>BG005</t>
        </is>
      </c>
      <c r="H55" t="inlineStr">
        <is>
          <t>26 Desember 2022</t>
        </is>
      </c>
      <c r="I55" s="2" t="n">
        <v>46229</v>
      </c>
      <c r="J55" t="inlineStr">
        <is>
          <t>Disetujui</t>
        </is>
      </c>
      <c r="K55" t="n">
        <v>30</v>
      </c>
      <c r="L55" t="inlineStr">
        <is>
          <t>26 Juli 2026</t>
        </is>
      </c>
      <c r="M55" t="inlineStr">
        <is>
          <t>Konstruksi Gedung Kesehatan</t>
        </is>
      </c>
      <c r="N55" t="inlineStr">
        <is>
          <t>K</t>
        </is>
      </c>
      <c r="O55" t="inlineStr">
        <is>
          <t>20230418</t>
        </is>
      </c>
      <c r="P55" t="inlineStr">
        <is>
          <t>Jawa Timur</t>
        </is>
      </c>
      <c r="Q55" t="inlineStr"/>
    </row>
    <row r="56">
      <c r="A56" t="inlineStr">
        <is>
          <t>CID CONSULTANT</t>
        </is>
      </c>
      <c r="B56" t="inlineStr">
        <is>
          <t>Kab. Tasikmalaya</t>
        </is>
      </c>
      <c r="C56" t="inlineStr">
        <is>
          <t>081214147518</t>
        </is>
      </c>
      <c r="D56" t="inlineStr">
        <is>
          <t>cv.cidconsultant2020@gmail.com</t>
        </is>
      </c>
      <c r="E56" t="inlineStr">
        <is>
          <t>https://lpjk.pu.go.id/search-badan-usaha-detail/bVdEckV6RVJjOGlQb2J3VFM4Vit4QT09</t>
        </is>
      </c>
      <c r="F56" t="n">
        <v>5</v>
      </c>
      <c r="G56" t="inlineStr">
        <is>
          <t>AR001, AR002, AR003, RK002, RK003</t>
        </is>
      </c>
      <c r="H56" t="inlineStr">
        <is>
          <t>31 Agustus 2020</t>
        </is>
      </c>
      <c r="I56" s="2" t="n">
        <v>46229</v>
      </c>
      <c r="J56" t="inlineStr">
        <is>
          <t>Disetujui</t>
        </is>
      </c>
      <c r="K56" t="n">
        <v>30</v>
      </c>
      <c r="L56" t="inlineStr">
        <is>
          <t>26 Juli 2026</t>
        </is>
      </c>
      <c r="M56" t="inlineStr">
        <is>
          <t>Jasa Arsitektural Bangunan Gedung Hunian dan Non Hunian, Jasa Arsitektural Lainnya, Jasa Desain Interior pada Bangunan Gedung dan Bangunan Sipil, Jasa Rekayasa Pekerjaan Teknik Sipil Sumber Daya Air, Jasa Rekayasa Pekerjaan Teknik Sipil Transportasi</t>
        </is>
      </c>
      <c r="N56" t="inlineStr">
        <is>
          <t>K</t>
        </is>
      </c>
      <c r="O56" t="inlineStr">
        <is>
          <t>20230718</t>
        </is>
      </c>
      <c r="P56" t="inlineStr">
        <is>
          <t>Jawa Barat</t>
        </is>
      </c>
      <c r="Q56" t="inlineStr"/>
    </row>
    <row r="57">
      <c r="A57" t="inlineStr">
        <is>
          <t>CIPTA KREASI KONSULTAN</t>
        </is>
      </c>
      <c r="B57" t="inlineStr">
        <is>
          <t>Kota Medan</t>
        </is>
      </c>
      <c r="C57" t="inlineStr">
        <is>
          <t>085297144444</t>
        </is>
      </c>
      <c r="D57" t="inlineStr">
        <is>
          <t>konsultanciptakreasi@gmail.com</t>
        </is>
      </c>
      <c r="E57" t="inlineStr">
        <is>
          <t>https://lpjk.pu.go.id/search-badan-usaha-detail/T3NURFJWS09STkVyR3FYcmlrWVFkdz09</t>
        </is>
      </c>
      <c r="F57" t="n">
        <v>1</v>
      </c>
      <c r="G57" t="inlineStr">
        <is>
          <t>RK001</t>
        </is>
      </c>
      <c r="H57" t="inlineStr">
        <is>
          <t>19 Januari 2018</t>
        </is>
      </c>
      <c r="I57" s="2" t="n">
        <v>46229</v>
      </c>
      <c r="J57" t="inlineStr">
        <is>
          <t>Disetujui</t>
        </is>
      </c>
      <c r="K57" t="n">
        <v>30</v>
      </c>
      <c r="L57" t="inlineStr">
        <is>
          <t>26 Juli 2026</t>
        </is>
      </c>
      <c r="M57" t="inlineStr">
        <is>
          <t>Jasa Rekayasa Konstruksi Bangunan Gedung Hunian dan Non Hunian</t>
        </is>
      </c>
      <c r="N57" t="inlineStr">
        <is>
          <t>K</t>
        </is>
      </c>
      <c r="O57" t="inlineStr">
        <is>
          <t>20230712</t>
        </is>
      </c>
      <c r="P57" t="inlineStr">
        <is>
          <t>Sumatera Utara</t>
        </is>
      </c>
      <c r="Q57" t="inlineStr"/>
    </row>
    <row r="58">
      <c r="A58" t="inlineStr">
        <is>
          <t>CIPTA MANDIRI PERKASA</t>
        </is>
      </c>
      <c r="B58" t="inlineStr">
        <is>
          <t>Kab. Tegal</t>
        </is>
      </c>
      <c r="C58" t="inlineStr">
        <is>
          <t>0858695999</t>
        </is>
      </c>
      <c r="D58" t="inlineStr">
        <is>
          <t>cv_ciptamandiriperkasa@yahoo.co.id</t>
        </is>
      </c>
      <c r="E58" t="inlineStr">
        <is>
          <t>https://lpjk.pu.go.id/search-badan-usaha-detail/ZjVYdGo3aXV4REEvOTNCS0l1T2UwQT09</t>
        </is>
      </c>
      <c r="F58" t="n">
        <v>1</v>
      </c>
      <c r="G58" t="inlineStr">
        <is>
          <t>BG006</t>
        </is>
      </c>
      <c r="H58" t="inlineStr">
        <is>
          <t>22 Agustus 2003</t>
        </is>
      </c>
      <c r="I58" s="2" t="n">
        <v>46229</v>
      </c>
      <c r="J58" t="inlineStr">
        <is>
          <t>Disetujui</t>
        </is>
      </c>
      <c r="K58" t="n">
        <v>30</v>
      </c>
      <c r="L58" t="inlineStr">
        <is>
          <t>26 Juli 2026</t>
        </is>
      </c>
      <c r="M58" t="inlineStr">
        <is>
          <t>Konstruksi Gedung Pendidikan</t>
        </is>
      </c>
      <c r="N58" t="inlineStr">
        <is>
          <t>K</t>
        </is>
      </c>
      <c r="O58" t="inlineStr">
        <is>
          <t>20230724</t>
        </is>
      </c>
      <c r="P58" t="inlineStr">
        <is>
          <t>Jawa Tengah</t>
        </is>
      </c>
      <c r="Q58" t="inlineStr"/>
    </row>
    <row r="59">
      <c r="A59" t="inlineStr">
        <is>
          <t>CIPTA PURNAMA KONSTRUKSINDO</t>
        </is>
      </c>
      <c r="B59" t="inlineStr">
        <is>
          <t>Kab. Sragen</t>
        </is>
      </c>
      <c r="C59" t="inlineStr">
        <is>
          <t>085642085761</t>
        </is>
      </c>
      <c r="D59" t="inlineStr">
        <is>
          <t>cipurnakontruksindo@gmail.com</t>
        </is>
      </c>
      <c r="E59" t="inlineStr">
        <is>
          <t>https://lpjk.pu.go.id/search-badan-usaha-detail/SzlEc1gzUk5KVU1GV2FiYVIraTVFZz09</t>
        </is>
      </c>
      <c r="F59" t="n">
        <v>6</v>
      </c>
      <c r="G59" t="inlineStr">
        <is>
          <t>BG006, BG009</t>
        </is>
      </c>
      <c r="H59" t="inlineStr">
        <is>
          <t>19 Desember 2022</t>
        </is>
      </c>
      <c r="I59" s="2" t="n">
        <v>46229</v>
      </c>
      <c r="J59" t="inlineStr">
        <is>
          <t>Disetujui</t>
        </is>
      </c>
      <c r="K59" t="n">
        <v>30</v>
      </c>
      <c r="L59" t="inlineStr">
        <is>
          <t>26 Juli 2026</t>
        </is>
      </c>
      <c r="M59" t="inlineStr">
        <is>
          <t>Konstruksi Gedung Lainnya, Konstruksi Gedung Pendidikan</t>
        </is>
      </c>
      <c r="N59" t="inlineStr">
        <is>
          <t>K</t>
        </is>
      </c>
      <c r="O59" t="inlineStr">
        <is>
          <t>20230725, 20230726</t>
        </is>
      </c>
      <c r="P59" t="inlineStr">
        <is>
          <t>Jawa Tengah</t>
        </is>
      </c>
      <c r="Q59" t="inlineStr"/>
    </row>
    <row r="60">
      <c r="A60" t="inlineStr">
        <is>
          <t>CITARUM RAYA</t>
        </is>
      </c>
      <c r="B60" t="inlineStr">
        <is>
          <t>Kab. Bandung</t>
        </is>
      </c>
      <c r="C60" t="inlineStr">
        <is>
          <t>081321874446</t>
        </is>
      </c>
      <c r="D60" t="inlineStr">
        <is>
          <t>citarumry@yahoo.co.id</t>
        </is>
      </c>
      <c r="E60" t="inlineStr">
        <is>
          <t>https://lpjk.pu.go.id/search-badan-usaha-detail/MWl3L1owVTg5TWgzMnFmVFczZkpzQT09</t>
        </is>
      </c>
      <c r="F60" t="n">
        <v>8</v>
      </c>
      <c r="G60" t="inlineStr">
        <is>
          <t>BG006, BG009, BS004, BS005</t>
        </is>
      </c>
      <c r="H60" t="inlineStr">
        <is>
          <t>11 Juli 1989</t>
        </is>
      </c>
      <c r="I60" s="2" t="n">
        <v>46229</v>
      </c>
      <c r="J60" t="inlineStr">
        <is>
          <t>Disetujui</t>
        </is>
      </c>
      <c r="K60" t="n">
        <v>30</v>
      </c>
      <c r="L60" t="inlineStr">
        <is>
          <t>26 Juli 2026</t>
        </is>
      </c>
      <c r="M60" t="inlineStr">
        <is>
          <t>Konstruksi Bangunan Sipil Pengolahan Air Bersih, Konstruksi Gedung Lainnya, Konstruksi Gedung Pendidikan, Konstruksi Jaringan Irigasi dan Drainase</t>
        </is>
      </c>
      <c r="N60" t="inlineStr">
        <is>
          <t>K</t>
        </is>
      </c>
      <c r="O60" t="inlineStr">
        <is>
          <t>20230724, 20230725</t>
        </is>
      </c>
      <c r="P60" t="inlineStr">
        <is>
          <t>Jawa Barat</t>
        </is>
      </c>
      <c r="Q60" t="inlineStr"/>
    </row>
    <row r="61">
      <c r="A61" t="inlineStr">
        <is>
          <t>CITRA GEMILANG PERSADA</t>
        </is>
      </c>
      <c r="B61" t="inlineStr">
        <is>
          <t>Kab. Situbondo</t>
        </is>
      </c>
      <c r="C61" t="inlineStr">
        <is>
          <t>08123471449</t>
        </is>
      </c>
      <c r="D61" t="inlineStr">
        <is>
          <t>lsbugkb3512@gmail.com</t>
        </is>
      </c>
      <c r="E61" t="inlineStr">
        <is>
          <t>https://lpjk.pu.go.id/search-badan-usaha-detail/U0dCV2tKMnRhb1dHblp3dFM5a25tUT09</t>
        </is>
      </c>
      <c r="F61" t="n">
        <v>1</v>
      </c>
      <c r="G61" t="inlineStr">
        <is>
          <t>BS004</t>
        </is>
      </c>
      <c r="H61" t="inlineStr">
        <is>
          <t>30 November 1995</t>
        </is>
      </c>
      <c r="I61" s="2" t="n">
        <v>46229</v>
      </c>
      <c r="J61" t="inlineStr">
        <is>
          <t>Pencabutan</t>
        </is>
      </c>
      <c r="K61" t="n">
        <v>30</v>
      </c>
      <c r="L61" t="inlineStr">
        <is>
          <t>26 Juli 2026</t>
        </is>
      </c>
      <c r="M61" t="inlineStr">
        <is>
          <t>Konstruksi Jaringan Irigasi dan Drainase</t>
        </is>
      </c>
      <c r="N61" t="inlineStr">
        <is>
          <t>K</t>
        </is>
      </c>
      <c r="O61" t="inlineStr">
        <is>
          <t>20230720</t>
        </is>
      </c>
      <c r="P61" t="inlineStr">
        <is>
          <t>Jawa Timur</t>
        </is>
      </c>
      <c r="Q61" t="inlineStr"/>
    </row>
    <row r="62">
      <c r="A62" t="inlineStr">
        <is>
          <t>CITRA MAIDA DIFA</t>
        </is>
      </c>
      <c r="B62" t="inlineStr">
        <is>
          <t>Kota Banjarmasin</t>
        </is>
      </c>
      <c r="C62" t="inlineStr">
        <is>
          <t>087718226978</t>
        </is>
      </c>
      <c r="D62" t="inlineStr">
        <is>
          <t>cmd_group79@yahoo.com</t>
        </is>
      </c>
      <c r="E62" t="inlineStr">
        <is>
          <t>https://lpjk.pu.go.id/search-badan-usaha-detail/dFA1aEhxaEVsUzNJRHU4Vmhad0xzZz09</t>
        </is>
      </c>
      <c r="F62" t="n">
        <v>1</v>
      </c>
      <c r="G62" t="inlineStr">
        <is>
          <t>BG002</t>
        </is>
      </c>
      <c r="H62" t="inlineStr">
        <is>
          <t>2 April 2010</t>
        </is>
      </c>
      <c r="I62" s="2" t="n">
        <v>46229</v>
      </c>
      <c r="J62" t="inlineStr">
        <is>
          <t>Pencabutan</t>
        </is>
      </c>
      <c r="K62" t="n">
        <v>30</v>
      </c>
      <c r="L62" t="inlineStr">
        <is>
          <t>26 Juli 2026</t>
        </is>
      </c>
      <c r="M62" t="inlineStr">
        <is>
          <t>Konstruksi Gedung Perkantoran</t>
        </is>
      </c>
      <c r="N62" t="inlineStr">
        <is>
          <t>K</t>
        </is>
      </c>
      <c r="O62" t="inlineStr">
        <is>
          <t>20230724</t>
        </is>
      </c>
      <c r="P62" t="inlineStr">
        <is>
          <t>Kalimantan Selatan</t>
        </is>
      </c>
      <c r="Q62" t="inlineStr"/>
    </row>
    <row r="63">
      <c r="A63" t="inlineStr">
        <is>
          <t>DARMA SATRIA PUTRA</t>
        </is>
      </c>
      <c r="B63" t="inlineStr">
        <is>
          <t>Kab. Bojonegoro</t>
        </is>
      </c>
      <c r="C63" t="inlineStr">
        <is>
          <t>081553025155</t>
        </is>
      </c>
      <c r="D63" t="inlineStr">
        <is>
          <t>darmasatriaputra31@gmail.com</t>
        </is>
      </c>
      <c r="E63" t="inlineStr">
        <is>
          <t>https://lpjk.pu.go.id/search-badan-usaha-detail/S0owbVBQU3JGNjlWcFFZQy8wTXppUT09</t>
        </is>
      </c>
      <c r="F63" t="n">
        <v>1</v>
      </c>
      <c r="G63" t="inlineStr">
        <is>
          <t>BG005</t>
        </is>
      </c>
      <c r="H63" t="inlineStr">
        <is>
          <t>12 Desember 2019</t>
        </is>
      </c>
      <c r="I63" s="2" t="n">
        <v>46229</v>
      </c>
      <c r="J63" t="inlineStr">
        <is>
          <t>Disetujui</t>
        </is>
      </c>
      <c r="K63" t="n">
        <v>30</v>
      </c>
      <c r="L63" t="inlineStr">
        <is>
          <t>26 Juli 2026</t>
        </is>
      </c>
      <c r="M63" t="inlineStr">
        <is>
          <t>Konstruksi Gedung Kesehatan</t>
        </is>
      </c>
      <c r="N63" t="inlineStr">
        <is>
          <t>K</t>
        </is>
      </c>
      <c r="O63" t="inlineStr">
        <is>
          <t>20230727</t>
        </is>
      </c>
      <c r="P63" t="inlineStr">
        <is>
          <t>Jawa Timur</t>
        </is>
      </c>
      <c r="Q63" t="inlineStr"/>
    </row>
    <row r="64">
      <c r="A64" t="inlineStr">
        <is>
          <t>DAYA CIPTA SATYA</t>
        </is>
      </c>
      <c r="B64" t="inlineStr">
        <is>
          <t>Kab. Batang</t>
        </is>
      </c>
      <c r="C64" t="inlineStr">
        <is>
          <t>085695163371</t>
        </is>
      </c>
      <c r="D64" t="inlineStr">
        <is>
          <t>dayaciptasatya@gmail.com</t>
        </is>
      </c>
      <c r="E64" t="inlineStr">
        <is>
          <t>https://lpjk.pu.go.id/search-badan-usaha-detail/S0h5RDFrMkNuMGc3MEJaZFVuWXNvdz09</t>
        </is>
      </c>
      <c r="F64" t="n">
        <v>2</v>
      </c>
      <c r="G64" t="inlineStr">
        <is>
          <t>BS001, BS009</t>
        </is>
      </c>
      <c r="H64" t="inlineStr">
        <is>
          <t>16 Juni 2022</t>
        </is>
      </c>
      <c r="I64" s="2" t="n">
        <v>46229</v>
      </c>
      <c r="J64" t="inlineStr">
        <is>
          <t>Disetujui</t>
        </is>
      </c>
      <c r="K64" t="n">
        <v>30</v>
      </c>
      <c r="L64" t="inlineStr">
        <is>
          <t>26 Juli 2026</t>
        </is>
      </c>
      <c r="M64" t="inlineStr">
        <is>
          <t>Konstruksi Bangunan Sipil Jalan, Konstruksi Sentral Telekomunikasi</t>
        </is>
      </c>
      <c r="N64" t="inlineStr">
        <is>
          <t>K</t>
        </is>
      </c>
      <c r="O64" t="inlineStr">
        <is>
          <t>20230705, 20230724</t>
        </is>
      </c>
      <c r="P64" t="inlineStr">
        <is>
          <t>Jawa Tengah</t>
        </is>
      </c>
      <c r="Q64" t="inlineStr"/>
    </row>
    <row r="65">
      <c r="A65" t="inlineStr">
        <is>
          <t>FAJAR UTAMA SEMESTA</t>
        </is>
      </c>
      <c r="B65" t="inlineStr">
        <is>
          <t>Kab. Mimika</t>
        </is>
      </c>
      <c r="C65" t="inlineStr">
        <is>
          <t>081289477878</t>
        </is>
      </c>
      <c r="D65" t="inlineStr">
        <is>
          <t>pt.fajarutamasemesta@yahoo.co.id</t>
        </is>
      </c>
      <c r="E65" t="inlineStr">
        <is>
          <t>https://lpjk.pu.go.id/search-badan-usaha-detail/Nm1mWGVpVW8wUE9ubTZpNndJMkxadz09</t>
        </is>
      </c>
      <c r="F65" t="n">
        <v>1</v>
      </c>
      <c r="G65" t="inlineStr">
        <is>
          <t>BS001</t>
        </is>
      </c>
      <c r="H65" t="inlineStr">
        <is>
          <t>8 Februari 2007</t>
        </is>
      </c>
      <c r="I65" s="2" t="n">
        <v>46229</v>
      </c>
      <c r="J65" t="inlineStr">
        <is>
          <t>Pembekuan</t>
        </is>
      </c>
      <c r="K65" t="n">
        <v>30</v>
      </c>
      <c r="L65" t="inlineStr">
        <is>
          <t>26 Juli 2026</t>
        </is>
      </c>
      <c r="M65" t="inlineStr">
        <is>
          <t>Konstruksi Bangunan Sipil Jalan</t>
        </is>
      </c>
      <c r="N65" t="inlineStr">
        <is>
          <t>M</t>
        </is>
      </c>
      <c r="O65" t="inlineStr">
        <is>
          <t>20230511</t>
        </is>
      </c>
      <c r="P65" t="inlineStr">
        <is>
          <t>Papua</t>
        </is>
      </c>
      <c r="Q65" t="inlineStr"/>
    </row>
    <row r="66">
      <c r="A66" t="inlineStr">
        <is>
          <t>FAUZAN INTI LESTARI</t>
        </is>
      </c>
      <c r="B66" t="inlineStr">
        <is>
          <t>Kab. Bandung</t>
        </is>
      </c>
      <c r="C66" t="inlineStr">
        <is>
          <t>087821423167</t>
        </is>
      </c>
      <c r="D66" t="inlineStr">
        <is>
          <t>ridwanrohani@yahoo.co.id</t>
        </is>
      </c>
      <c r="E66" t="inlineStr">
        <is>
          <t>https://lpjk.pu.go.id/search-badan-usaha-detail/Q3FKeERVc0dxWTg1M3R5aVZxQ2xxUT09</t>
        </is>
      </c>
      <c r="F66" t="n">
        <v>2</v>
      </c>
      <c r="G66" t="inlineStr">
        <is>
          <t>BG006</t>
        </is>
      </c>
      <c r="H66" t="inlineStr">
        <is>
          <t>23 Mei 2005</t>
        </is>
      </c>
      <c r="I66" s="2" t="n">
        <v>46229</v>
      </c>
      <c r="J66" t="inlineStr">
        <is>
          <t>Pencabutan</t>
        </is>
      </c>
      <c r="K66" t="n">
        <v>30</v>
      </c>
      <c r="L66" t="inlineStr">
        <is>
          <t>26 Juli 2026</t>
        </is>
      </c>
      <c r="M66" t="inlineStr">
        <is>
          <t>Konstruksi Gedung Pendidikan</t>
        </is>
      </c>
      <c r="N66" t="inlineStr">
        <is>
          <t>K</t>
        </is>
      </c>
      <c r="O66" t="inlineStr">
        <is>
          <t>20230724</t>
        </is>
      </c>
      <c r="P66" t="inlineStr">
        <is>
          <t>Jawa Barat</t>
        </is>
      </c>
      <c r="Q66" t="inlineStr"/>
    </row>
    <row r="67">
      <c r="A67" t="inlineStr">
        <is>
          <t>FAUZAN JAYA TEKNIK</t>
        </is>
      </c>
      <c r="B67" t="inlineStr">
        <is>
          <t>Kab. Pangkajene Kepulauan</t>
        </is>
      </c>
      <c r="C67" t="inlineStr">
        <is>
          <t>081241696677</t>
        </is>
      </c>
      <c r="D67" t="inlineStr">
        <is>
          <t>fauzanjayateknik@gmail.com</t>
        </is>
      </c>
      <c r="E67" t="inlineStr">
        <is>
          <t>https://lpjk.pu.go.id/search-badan-usaha-detail/Z1c3bkhaY2J5ZThGZGNDZHlDWXFBQT09</t>
        </is>
      </c>
      <c r="F67" t="n">
        <v>2</v>
      </c>
      <c r="G67" t="inlineStr">
        <is>
          <t>BS010</t>
        </is>
      </c>
      <c r="H67" t="inlineStr">
        <is>
          <t>15 Maret 2016</t>
        </is>
      </c>
      <c r="I67" s="2" t="n">
        <v>46229</v>
      </c>
      <c r="J67" t="inlineStr">
        <is>
          <t>Disetujui</t>
        </is>
      </c>
      <c r="K67" t="n">
        <v>30</v>
      </c>
      <c r="L67" t="inlineStr">
        <is>
          <t>26 Juli 2026</t>
        </is>
      </c>
      <c r="M67" t="inlineStr">
        <is>
          <t>Konstruksi Bangunan Prasarana Sumber Daya Air</t>
        </is>
      </c>
      <c r="N67" t="inlineStr">
        <is>
          <t>K</t>
        </is>
      </c>
      <c r="O67" t="inlineStr">
        <is>
          <t>20230726</t>
        </is>
      </c>
      <c r="P67" t="inlineStr">
        <is>
          <t>Sulawesi Selatan</t>
        </is>
      </c>
      <c r="Q67" t="inlineStr"/>
    </row>
    <row r="68">
      <c r="A68" t="inlineStr">
        <is>
          <t>FRIMAS</t>
        </is>
      </c>
      <c r="B68" t="inlineStr">
        <is>
          <t>Kota Malang</t>
        </is>
      </c>
      <c r="C68" t="inlineStr">
        <is>
          <t>081252558200</t>
        </is>
      </c>
      <c r="D68" t="inlineStr">
        <is>
          <t>autmasud@gmail.com</t>
        </is>
      </c>
      <c r="E68" t="inlineStr">
        <is>
          <t>https://lpjk.pu.go.id/search-badan-usaha-detail/ZW5ncTkydS8zZysweUlaL2ppc3JTQT09</t>
        </is>
      </c>
      <c r="F68" t="n">
        <v>1</v>
      </c>
      <c r="G68" t="inlineStr">
        <is>
          <t>BS001</t>
        </is>
      </c>
      <c r="H68" t="inlineStr">
        <is>
          <t>23 Maret 1994</t>
        </is>
      </c>
      <c r="I68" s="2" t="n">
        <v>46229</v>
      </c>
      <c r="J68" t="inlineStr">
        <is>
          <t>Disetujui</t>
        </is>
      </c>
      <c r="K68" t="n">
        <v>30</v>
      </c>
      <c r="L68" t="inlineStr">
        <is>
          <t>26 Juli 2026</t>
        </is>
      </c>
      <c r="M68" t="inlineStr">
        <is>
          <t>Konstruksi Bangunan Sipil Jalan</t>
        </is>
      </c>
      <c r="N68" t="inlineStr">
        <is>
          <t>K</t>
        </is>
      </c>
      <c r="O68" t="inlineStr">
        <is>
          <t>20230721</t>
        </is>
      </c>
      <c r="P68" t="inlineStr">
        <is>
          <t>Jawa Timur</t>
        </is>
      </c>
      <c r="Q68" t="inlineStr"/>
    </row>
    <row r="69">
      <c r="A69" t="inlineStr">
        <is>
          <t>GADING PUTRI AULIA</t>
        </is>
      </c>
      <c r="B69" t="inlineStr">
        <is>
          <t>Kota Cilegon</t>
        </is>
      </c>
      <c r="C69" t="inlineStr">
        <is>
          <t>083138803213</t>
        </is>
      </c>
      <c r="D69" t="inlineStr">
        <is>
          <t>lsbuid8@gmail.com</t>
        </is>
      </c>
      <c r="E69" t="inlineStr">
        <is>
          <t>https://lpjk.pu.go.id/search-badan-usaha-detail/WWsyM3EwY1lZS2IzM21uZGVSZVQyQT09</t>
        </is>
      </c>
      <c r="F69" t="n">
        <v>1</v>
      </c>
      <c r="G69" t="inlineStr">
        <is>
          <t>BG009</t>
        </is>
      </c>
      <c r="H69" t="inlineStr">
        <is>
          <t>24 Juni 2021</t>
        </is>
      </c>
      <c r="I69" s="2" t="n">
        <v>46229</v>
      </c>
      <c r="J69" t="inlineStr">
        <is>
          <t>Pencabutan</t>
        </is>
      </c>
      <c r="K69" t="n">
        <v>30</v>
      </c>
      <c r="L69" t="inlineStr">
        <is>
          <t>26 Juli 2026</t>
        </is>
      </c>
      <c r="M69" t="inlineStr">
        <is>
          <t>Konstruksi Gedung Lainnya</t>
        </is>
      </c>
      <c r="N69" t="inlineStr">
        <is>
          <t>K</t>
        </is>
      </c>
      <c r="O69" t="inlineStr">
        <is>
          <t>20230609</t>
        </is>
      </c>
      <c r="P69" t="inlineStr">
        <is>
          <t>Banten</t>
        </is>
      </c>
      <c r="Q69" t="inlineStr"/>
    </row>
    <row r="70">
      <c r="A70" t="inlineStr">
        <is>
          <t>GEMAH RIPAH</t>
        </is>
      </c>
      <c r="B70" t="inlineStr">
        <is>
          <t>Kab. Ponorogo</t>
        </is>
      </c>
      <c r="C70" t="inlineStr">
        <is>
          <t>0352 4884 80__</t>
        </is>
      </c>
      <c r="D70" t="inlineStr">
        <is>
          <t>gemahripah_pon@yahoo.com</t>
        </is>
      </c>
      <c r="E70" t="inlineStr">
        <is>
          <t>https://lpjk.pu.go.id/search-badan-usaha-detail/ZFpsYkFWR1ZLYUZ0U1NNZ1JqV09LQT09</t>
        </is>
      </c>
      <c r="F70" t="n">
        <v>1</v>
      </c>
      <c r="G70" t="inlineStr">
        <is>
          <t>BG004</t>
        </is>
      </c>
      <c r="H70" t="inlineStr">
        <is>
          <t>21 April 2011</t>
        </is>
      </c>
      <c r="I70" s="2" t="n">
        <v>46229</v>
      </c>
      <c r="J70" t="inlineStr">
        <is>
          <t>Disetujui</t>
        </is>
      </c>
      <c r="K70" t="n">
        <v>30</v>
      </c>
      <c r="L70" t="inlineStr">
        <is>
          <t>26 Juli 2026</t>
        </is>
      </c>
      <c r="M70" t="inlineStr">
        <is>
          <t>Konstruksi Gedung Perbelanjaan</t>
        </is>
      </c>
      <c r="N70" t="inlineStr">
        <is>
          <t>K</t>
        </is>
      </c>
      <c r="O70" t="inlineStr">
        <is>
          <t>20230721</t>
        </is>
      </c>
      <c r="P70" t="inlineStr">
        <is>
          <t>Jawa Timur</t>
        </is>
      </c>
      <c r="Q70" t="inlineStr"/>
    </row>
    <row r="71">
      <c r="A71" t="inlineStr">
        <is>
          <t>GLOBAL SCADA PERKASA</t>
        </is>
      </c>
      <c r="B71" t="inlineStr">
        <is>
          <t>Kab. Purwakarta</t>
        </is>
      </c>
      <c r="C71" t="inlineStr">
        <is>
          <t>081277440380</t>
        </is>
      </c>
      <c r="D71" t="inlineStr">
        <is>
          <t>pt.globalscadaperkasa@gmail.com</t>
        </is>
      </c>
      <c r="E71" t="inlineStr">
        <is>
          <t>https://lpjk.pu.go.id/search-badan-usaha-detail/cWlJYzN4Q3Z5dVZSbVBzV0ZFT21Ndz09</t>
        </is>
      </c>
      <c r="F71" t="n">
        <v>2</v>
      </c>
      <c r="G71" t="inlineStr">
        <is>
          <t>BG003, BG009</t>
        </is>
      </c>
      <c r="H71" t="inlineStr">
        <is>
          <t>9 November 2021</t>
        </is>
      </c>
      <c r="I71" s="2" t="n">
        <v>46229</v>
      </c>
      <c r="J71" t="inlineStr">
        <is>
          <t>Disetujui</t>
        </is>
      </c>
      <c r="K71" t="n">
        <v>30</v>
      </c>
      <c r="L71" t="inlineStr">
        <is>
          <t>26 Juli 2026</t>
        </is>
      </c>
      <c r="M71" t="inlineStr">
        <is>
          <t>Konstruksi Gedung Industri, Konstruksi Gedung Lainnya</t>
        </is>
      </c>
      <c r="N71" t="inlineStr">
        <is>
          <t>K</t>
        </is>
      </c>
      <c r="O71" t="inlineStr">
        <is>
          <t>20230719</t>
        </is>
      </c>
      <c r="P71" t="inlineStr">
        <is>
          <t>Jawa Barat</t>
        </is>
      </c>
      <c r="Q71" t="inlineStr"/>
    </row>
    <row r="72">
      <c r="A72" t="inlineStr">
        <is>
          <t>HALIM PERDANA</t>
        </is>
      </c>
      <c r="B72" t="inlineStr">
        <is>
          <t>Kota Bontang</t>
        </is>
      </c>
      <c r="C72" t="inlineStr">
        <is>
          <t>08115382000</t>
        </is>
      </c>
      <c r="D72" t="inlineStr">
        <is>
          <t>halimperdanacv@gmail.com</t>
        </is>
      </c>
      <c r="E72" t="inlineStr">
        <is>
          <t>https://lpjk.pu.go.id/search-badan-usaha-detail/a016L0duWTJBY3k4a0lKeXJvaDJvZz09</t>
        </is>
      </c>
      <c r="F72" t="n">
        <v>1</v>
      </c>
      <c r="G72" t="inlineStr">
        <is>
          <t>BS001</t>
        </is>
      </c>
      <c r="H72" t="inlineStr">
        <is>
          <t>11 Februari 2019</t>
        </is>
      </c>
      <c r="I72" s="2" t="n">
        <v>46229</v>
      </c>
      <c r="J72" t="inlineStr">
        <is>
          <t>Disetujui</t>
        </is>
      </c>
      <c r="K72" t="n">
        <v>30</v>
      </c>
      <c r="L72" t="inlineStr">
        <is>
          <t>26 Juli 2026</t>
        </is>
      </c>
      <c r="M72" t="inlineStr">
        <is>
          <t>Konstruksi Bangunan Sipil Jalan</t>
        </is>
      </c>
      <c r="N72" t="inlineStr">
        <is>
          <t>K</t>
        </is>
      </c>
      <c r="O72" t="inlineStr">
        <is>
          <t>20230721</t>
        </is>
      </c>
      <c r="P72" t="inlineStr">
        <is>
          <t>Kalimantan Timur</t>
        </is>
      </c>
      <c r="Q72" t="inlineStr"/>
    </row>
    <row r="73">
      <c r="A73" t="inlineStr">
        <is>
          <t>HANA KILI</t>
        </is>
      </c>
      <c r="B73" t="inlineStr">
        <is>
          <t>Kota Pangkal Pinang</t>
        </is>
      </c>
      <c r="C73" t="inlineStr">
        <is>
          <t>08127381554</t>
        </is>
      </c>
      <c r="D73" t="inlineStr">
        <is>
          <t>kilihana60@gmail.com</t>
        </is>
      </c>
      <c r="E73" t="inlineStr">
        <is>
          <t>https://lpjk.pu.go.id/search-badan-usaha-detail/NkFKc0VHajYyTzk0T1o0aG5TVGpIdz09</t>
        </is>
      </c>
      <c r="F73" t="n">
        <v>2</v>
      </c>
      <c r="G73" t="inlineStr">
        <is>
          <t>BS001, BS004</t>
        </is>
      </c>
      <c r="H73" t="inlineStr">
        <is>
          <t>5 Agustus 2002</t>
        </is>
      </c>
      <c r="I73" s="2" t="n">
        <v>46229</v>
      </c>
      <c r="J73" t="inlineStr">
        <is>
          <t>Disetujui, Pencabutan</t>
        </is>
      </c>
      <c r="K73" t="n">
        <v>30</v>
      </c>
      <c r="L73" t="inlineStr">
        <is>
          <t>26 Juli 2026</t>
        </is>
      </c>
      <c r="M73" t="inlineStr">
        <is>
          <t>Konstruksi Bangunan Sipil Jalan, Konstruksi Jaringan Irigasi dan Drainase</t>
        </is>
      </c>
      <c r="N73" t="inlineStr">
        <is>
          <t>K</t>
        </is>
      </c>
      <c r="O73" t="inlineStr">
        <is>
          <t>20230724</t>
        </is>
      </c>
      <c r="P73" t="inlineStr">
        <is>
          <t>Kepulauan Bangka Belitung</t>
        </is>
      </c>
      <c r="Q73" t="inlineStr"/>
    </row>
    <row r="74">
      <c r="A74" t="inlineStr">
        <is>
          <t>HASTA KARYA</t>
        </is>
      </c>
      <c r="B74" t="inlineStr">
        <is>
          <t>Kab. Jember</t>
        </is>
      </c>
      <c r="C74" t="inlineStr">
        <is>
          <t>085100841037</t>
        </is>
      </c>
      <c r="D74" t="inlineStr">
        <is>
          <t>aristiawanw@yahoo.co.id</t>
        </is>
      </c>
      <c r="E74" t="inlineStr">
        <is>
          <t>https://lpjk.pu.go.id/search-badan-usaha-detail/bkg0NGhJb0t1VHZ2N1AzNjREUFllUT09</t>
        </is>
      </c>
      <c r="F74" t="n">
        <v>1</v>
      </c>
      <c r="G74" t="inlineStr">
        <is>
          <t>BG006</t>
        </is>
      </c>
      <c r="H74" t="inlineStr">
        <is>
          <t>19 April 1974</t>
        </is>
      </c>
      <c r="I74" s="2" t="n">
        <v>46229</v>
      </c>
      <c r="J74" t="inlineStr">
        <is>
          <t>Disetujui</t>
        </is>
      </c>
      <c r="K74" t="n">
        <v>30</v>
      </c>
      <c r="L74" t="inlineStr">
        <is>
          <t>26 Juli 2026</t>
        </is>
      </c>
      <c r="M74" t="inlineStr">
        <is>
          <t>Konstruksi Gedung Pendidikan</t>
        </is>
      </c>
      <c r="N74" t="inlineStr">
        <is>
          <t>K</t>
        </is>
      </c>
      <c r="O74" t="inlineStr">
        <is>
          <t>20230724</t>
        </is>
      </c>
      <c r="P74" t="inlineStr">
        <is>
          <t>Jawa Timur</t>
        </is>
      </c>
      <c r="Q74" t="inlineStr"/>
    </row>
    <row r="75">
      <c r="A75" t="inlineStr">
        <is>
          <t>HUDAN ALFATIH KONSTRUKSI</t>
        </is>
      </c>
      <c r="B75" t="inlineStr">
        <is>
          <t>Kab. Bengkalis</t>
        </is>
      </c>
      <c r="C75" t="inlineStr">
        <is>
          <t>082241512244</t>
        </is>
      </c>
      <c r="D75" t="inlineStr">
        <is>
          <t>hudanalfatihkonstruksi@gmail.com</t>
        </is>
      </c>
      <c r="E75" t="inlineStr">
        <is>
          <t>https://lpjk.pu.go.id/search-badan-usaha-detail/THVoV04zK3pPN1VJSFdQRk5acTlWUT09</t>
        </is>
      </c>
      <c r="F75" t="n">
        <v>1</v>
      </c>
      <c r="G75" t="inlineStr">
        <is>
          <t>BG005</t>
        </is>
      </c>
      <c r="H75" t="inlineStr">
        <is>
          <t>10 Januari 2023</t>
        </is>
      </c>
      <c r="I75" s="2" t="n">
        <v>46229</v>
      </c>
      <c r="J75" t="inlineStr">
        <is>
          <t>Disetujui</t>
        </is>
      </c>
      <c r="K75" t="n">
        <v>30</v>
      </c>
      <c r="L75" t="inlineStr">
        <is>
          <t>26 Juli 2026</t>
        </is>
      </c>
      <c r="M75" t="inlineStr">
        <is>
          <t>Konstruksi Gedung Kesehatan</t>
        </is>
      </c>
      <c r="N75" t="inlineStr">
        <is>
          <t>K</t>
        </is>
      </c>
      <c r="O75" t="inlineStr">
        <is>
          <t>20230725</t>
        </is>
      </c>
      <c r="P75" t="inlineStr">
        <is>
          <t>Riau</t>
        </is>
      </c>
      <c r="Q75" t="inlineStr"/>
    </row>
    <row r="76">
      <c r="A76" t="inlineStr">
        <is>
          <t>INDAH BETON CEMERLANG</t>
        </is>
      </c>
      <c r="B76" t="inlineStr">
        <is>
          <t>Kota Medan</t>
        </is>
      </c>
      <c r="C76" t="inlineStr">
        <is>
          <t>082362578208</t>
        </is>
      </c>
      <c r="D76" t="inlineStr">
        <is>
          <t>pt.Indahbetoncemerlang@gmail.com</t>
        </is>
      </c>
      <c r="E76" t="inlineStr">
        <is>
          <t>https://lpjk.pu.go.id/search-badan-usaha-detail/aExvRS9oTDJBV2Z1N1FnMXBmSll6QT09</t>
        </is>
      </c>
      <c r="F76" t="n">
        <v>1</v>
      </c>
      <c r="G76" t="inlineStr">
        <is>
          <t>BS004</t>
        </is>
      </c>
      <c r="H76" t="inlineStr">
        <is>
          <t>25 Juli 2022</t>
        </is>
      </c>
      <c r="I76" s="2" t="n">
        <v>46229</v>
      </c>
      <c r="J76" t="inlineStr">
        <is>
          <t>Disetujui</t>
        </is>
      </c>
      <c r="K76" t="n">
        <v>30</v>
      </c>
      <c r="L76" t="inlineStr">
        <is>
          <t>26 Juli 2026</t>
        </is>
      </c>
      <c r="M76" t="inlineStr">
        <is>
          <t>Konstruksi Jaringan Irigasi dan Drainase</t>
        </is>
      </c>
      <c r="N76" t="inlineStr">
        <is>
          <t>K</t>
        </is>
      </c>
      <c r="O76" t="inlineStr">
        <is>
          <t>20230222</t>
        </is>
      </c>
      <c r="P76" t="inlineStr">
        <is>
          <t>Sumatera Utara</t>
        </is>
      </c>
      <c r="Q76" t="inlineStr"/>
    </row>
    <row r="77">
      <c r="A77" t="inlineStr">
        <is>
          <t>KARYA DITA PERSADA</t>
        </is>
      </c>
      <c r="B77" t="inlineStr">
        <is>
          <t>Kota Tomohon</t>
        </is>
      </c>
      <c r="C77" t="inlineStr">
        <is>
          <t>081340691971</t>
        </is>
      </c>
      <c r="D77" t="inlineStr">
        <is>
          <t>karyaditapersada@gmail.com</t>
        </is>
      </c>
      <c r="E77" t="inlineStr">
        <is>
          <t>https://lpjk.pu.go.id/search-badan-usaha-detail/WnFXclBQSncrQUpkeS9qOXpVdWhoUT09</t>
        </is>
      </c>
      <c r="F77" t="n">
        <v>1</v>
      </c>
      <c r="G77" t="inlineStr">
        <is>
          <t>BS005</t>
        </is>
      </c>
      <c r="H77" t="inlineStr">
        <is>
          <t>28 Maret 2009</t>
        </is>
      </c>
      <c r="I77" s="2" t="n">
        <v>46229</v>
      </c>
      <c r="J77" t="inlineStr">
        <is>
          <t>Pencabutan</t>
        </is>
      </c>
      <c r="K77" t="n">
        <v>30</v>
      </c>
      <c r="L77" t="inlineStr">
        <is>
          <t>26 Juli 2026</t>
        </is>
      </c>
      <c r="M77" t="inlineStr">
        <is>
          <t>Konstruksi Bangunan Sipil Pengolahan Air Bersih</t>
        </is>
      </c>
      <c r="N77" t="inlineStr">
        <is>
          <t>K</t>
        </is>
      </c>
      <c r="O77" t="inlineStr">
        <is>
          <t>20230726</t>
        </is>
      </c>
      <c r="P77" t="inlineStr">
        <is>
          <t>Sulawesi Utara</t>
        </is>
      </c>
      <c r="Q77" t="inlineStr"/>
    </row>
    <row r="78">
      <c r="A78" t="inlineStr">
        <is>
          <t>KARYA MUDA</t>
        </is>
      </c>
      <c r="B78" t="inlineStr">
        <is>
          <t>Kab. Tuban</t>
        </is>
      </c>
      <c r="C78" t="inlineStr">
        <is>
          <t>085230638989</t>
        </is>
      </c>
      <c r="D78" t="inlineStr">
        <is>
          <t>karyamuda_tuban@yahoo.com</t>
        </is>
      </c>
      <c r="E78" t="inlineStr">
        <is>
          <t>https://lpjk.pu.go.id/search-badan-usaha-detail/N1ZoYkNBemJKTUhzbUN3S3ZkSlI3QT09</t>
        </is>
      </c>
      <c r="F78" t="n">
        <v>1</v>
      </c>
      <c r="G78" t="inlineStr">
        <is>
          <t>BG001</t>
        </is>
      </c>
      <c r="H78" t="inlineStr">
        <is>
          <t>16 Januari 2007</t>
        </is>
      </c>
      <c r="I78" s="2" t="n">
        <v>46229</v>
      </c>
      <c r="J78" t="inlineStr">
        <is>
          <t>Disetujui</t>
        </is>
      </c>
      <c r="K78" t="n">
        <v>30</v>
      </c>
      <c r="L78" t="inlineStr">
        <is>
          <t>26 Juli 2026</t>
        </is>
      </c>
      <c r="M78" t="inlineStr">
        <is>
          <t>Konstruksi Gedung Hunian</t>
        </is>
      </c>
      <c r="N78" t="inlineStr">
        <is>
          <t>K</t>
        </is>
      </c>
      <c r="O78" t="inlineStr">
        <is>
          <t>20230723</t>
        </is>
      </c>
      <c r="P78" t="inlineStr">
        <is>
          <t>Jawa Timur</t>
        </is>
      </c>
      <c r="Q78" t="inlineStr"/>
    </row>
    <row r="79">
      <c r="A79" t="inlineStr">
        <is>
          <t>KARYA NUGRAHA ABADI SEJAHTERA</t>
        </is>
      </c>
      <c r="B79" t="inlineStr">
        <is>
          <t>Kab. Tuban</t>
        </is>
      </c>
      <c r="C79" t="inlineStr">
        <is>
          <t>082244333058</t>
        </is>
      </c>
      <c r="D79" t="inlineStr">
        <is>
          <t>pt.karyanugraha@yahoo.co.id</t>
        </is>
      </c>
      <c r="E79" t="inlineStr">
        <is>
          <t>https://lpjk.pu.go.id/search-badan-usaha-detail/SUxXVDd1Q0ZtNTdvYUlUdGNnT21YZz09</t>
        </is>
      </c>
      <c r="F79" t="n">
        <v>1</v>
      </c>
      <c r="G79" t="inlineStr">
        <is>
          <t>BG008</t>
        </is>
      </c>
      <c r="H79" t="inlineStr">
        <is>
          <t>14 November 2013</t>
        </is>
      </c>
      <c r="I79" s="2" t="n">
        <v>46229</v>
      </c>
      <c r="J79" t="inlineStr">
        <is>
          <t>Pencabutan</t>
        </is>
      </c>
      <c r="K79" t="n">
        <v>30</v>
      </c>
      <c r="L79" t="inlineStr">
        <is>
          <t>26 Juli 2026</t>
        </is>
      </c>
      <c r="M79" t="inlineStr">
        <is>
          <t>Konstruksi Gedung Tempat Hiburan dan Olahraga</t>
        </is>
      </c>
      <c r="N79" t="inlineStr">
        <is>
          <t>K</t>
        </is>
      </c>
      <c r="O79" t="inlineStr">
        <is>
          <t>20230724</t>
        </is>
      </c>
      <c r="P79" t="inlineStr">
        <is>
          <t>Jawa Timur</t>
        </is>
      </c>
      <c r="Q79" t="inlineStr"/>
    </row>
    <row r="80">
      <c r="A80" t="inlineStr">
        <is>
          <t>KARYA PERKASA KONSULTAN</t>
        </is>
      </c>
      <c r="B80" t="inlineStr">
        <is>
          <t>Kab. Madiun</t>
        </is>
      </c>
      <c r="C80" t="inlineStr">
        <is>
          <t>082139331069</t>
        </is>
      </c>
      <c r="D80" t="inlineStr">
        <is>
          <t>karyaperkasakonsultan@gmail.com</t>
        </is>
      </c>
      <c r="E80" t="inlineStr">
        <is>
          <t>https://lpjk.pu.go.id/search-badan-usaha-detail/S01GVWVZeUZ6ZS91czd1WGsvbVpjQT09</t>
        </is>
      </c>
      <c r="F80" t="n">
        <v>3</v>
      </c>
      <c r="G80" t="inlineStr">
        <is>
          <t>RK001, RK002, RK003</t>
        </is>
      </c>
      <c r="H80" t="inlineStr">
        <is>
          <t>17 Januari 2023</t>
        </is>
      </c>
      <c r="I80" s="2" t="n">
        <v>46229</v>
      </c>
      <c r="J80" t="inlineStr">
        <is>
          <t>Pencabutan</t>
        </is>
      </c>
      <c r="K80" t="n">
        <v>30</v>
      </c>
      <c r="L80" t="inlineStr">
        <is>
          <t>26 Juli 2026</t>
        </is>
      </c>
      <c r="M80" t="inlineStr">
        <is>
          <t>Jasa Rekayasa Konstruksi Bangunan Gedung Hunian dan Non Hunian, Jasa Rekayasa Pekerjaan Teknik Sipil Sumber Daya Air, Jasa Rekayasa Pekerjaan Teknik Sipil Transportasi</t>
        </is>
      </c>
      <c r="N80" t="inlineStr">
        <is>
          <t>K</t>
        </is>
      </c>
      <c r="O80" t="inlineStr">
        <is>
          <t>20230716</t>
        </is>
      </c>
      <c r="P80" t="inlineStr">
        <is>
          <t>Jawa Timur</t>
        </is>
      </c>
      <c r="Q80" t="inlineStr"/>
    </row>
    <row r="81">
      <c r="A81" t="inlineStr">
        <is>
          <t>KARYA SEJAHTERA</t>
        </is>
      </c>
      <c r="B81" t="inlineStr">
        <is>
          <t>Kota Gunungsitoli</t>
        </is>
      </c>
      <c r="C81" t="inlineStr">
        <is>
          <t>085270920123</t>
        </is>
      </c>
      <c r="D81" t="inlineStr">
        <is>
          <t>cv_karya.sejahtera@yahoo.com</t>
        </is>
      </c>
      <c r="E81" t="inlineStr">
        <is>
          <t>https://lpjk.pu.go.id/search-badan-usaha-detail/MXB4NmdRNjducm51MW1mU0VOMzl1UT09</t>
        </is>
      </c>
      <c r="F81" t="n">
        <v>1</v>
      </c>
      <c r="G81" t="inlineStr">
        <is>
          <t>BS010</t>
        </is>
      </c>
      <c r="H81" t="inlineStr">
        <is>
          <t>22 Juni 2012</t>
        </is>
      </c>
      <c r="I81" s="2" t="n">
        <v>46229</v>
      </c>
      <c r="J81" t="inlineStr">
        <is>
          <t>Disetujui</t>
        </is>
      </c>
      <c r="K81" t="n">
        <v>30</v>
      </c>
      <c r="L81" t="inlineStr">
        <is>
          <t>26 Juli 2026</t>
        </is>
      </c>
      <c r="M81" t="inlineStr">
        <is>
          <t>Konstruksi Bangunan Prasarana Sumber Daya Air</t>
        </is>
      </c>
      <c r="N81" t="inlineStr">
        <is>
          <t>K</t>
        </is>
      </c>
      <c r="O81" t="inlineStr">
        <is>
          <t>20230725</t>
        </is>
      </c>
      <c r="P81" t="inlineStr">
        <is>
          <t>Sumatera Utara</t>
        </is>
      </c>
      <c r="Q81" t="inlineStr"/>
    </row>
    <row r="82">
      <c r="A82" t="inlineStr">
        <is>
          <t>KARYA TAKSU HUTAMA</t>
        </is>
      </c>
      <c r="B82" t="inlineStr">
        <is>
          <t>Kab. Gianyar</t>
        </is>
      </c>
      <c r="C82" t="inlineStr">
        <is>
          <t>082146317687</t>
        </is>
      </c>
      <c r="D82" t="inlineStr">
        <is>
          <t>Karyataksuhutama@yahoo.com</t>
        </is>
      </c>
      <c r="E82" t="inlineStr">
        <is>
          <t>https://lpjk.pu.go.id/search-badan-usaha-detail/QlozVzlLVHJ3a3Z1ZXFjY0xHQ3ZqQT09</t>
        </is>
      </c>
      <c r="F82" t="n">
        <v>1</v>
      </c>
      <c r="G82" t="inlineStr">
        <is>
          <t>BG006</t>
        </is>
      </c>
      <c r="H82" t="inlineStr">
        <is>
          <t>3 Maret 2021</t>
        </is>
      </c>
      <c r="I82" s="2" t="n">
        <v>46229</v>
      </c>
      <c r="J82" t="inlineStr">
        <is>
          <t>Pencabutan</t>
        </is>
      </c>
      <c r="K82" t="n">
        <v>30</v>
      </c>
      <c r="L82" t="inlineStr">
        <is>
          <t>26 Juli 2026</t>
        </is>
      </c>
      <c r="M82" t="inlineStr">
        <is>
          <t>Konstruksi Gedung Pendidikan</t>
        </is>
      </c>
      <c r="N82" t="inlineStr">
        <is>
          <t>K</t>
        </is>
      </c>
      <c r="O82" t="inlineStr">
        <is>
          <t>20230717</t>
        </is>
      </c>
      <c r="P82" t="inlineStr">
        <is>
          <t>Bali</t>
        </is>
      </c>
      <c r="Q82" t="inlineStr"/>
    </row>
    <row r="83">
      <c r="A83" t="inlineStr">
        <is>
          <t>KAWAN KITA JUA</t>
        </is>
      </c>
      <c r="B83" t="inlineStr">
        <is>
          <t>Kab. Hulu Sungai Utara</t>
        </is>
      </c>
      <c r="C83" t="inlineStr">
        <is>
          <t>082250109699</t>
        </is>
      </c>
      <c r="D83" t="inlineStr">
        <is>
          <t>kawankitajua@yahoo.com</t>
        </is>
      </c>
      <c r="E83" t="inlineStr">
        <is>
          <t>https://lpjk.pu.go.id/search-badan-usaha-detail/SEU0dVBITjZ5UWlNdXE1RlhtS2J3UT09</t>
        </is>
      </c>
      <c r="F83" t="n">
        <v>8</v>
      </c>
      <c r="G83" t="inlineStr">
        <is>
          <t>BG005, BG006, BG009, BS001</t>
        </is>
      </c>
      <c r="H83" t="inlineStr">
        <is>
          <t>27 Juni 2023</t>
        </is>
      </c>
      <c r="I83" s="2" t="n">
        <v>46229</v>
      </c>
      <c r="J83" t="inlineStr">
        <is>
          <t>Disetujui</t>
        </is>
      </c>
      <c r="K83" t="n">
        <v>30</v>
      </c>
      <c r="L83" t="inlineStr">
        <is>
          <t>26 Juli 2026</t>
        </is>
      </c>
      <c r="M83" t="inlineStr">
        <is>
          <t>Konstruksi Bangunan Sipil Jalan, Konstruksi Gedung Kesehatan, Konstruksi Gedung Lainnya, Konstruksi Gedung Pendidikan</t>
        </is>
      </c>
      <c r="N83" t="inlineStr">
        <is>
          <t>K</t>
        </is>
      </c>
      <c r="O83" t="inlineStr">
        <is>
          <t>20230726</t>
        </is>
      </c>
      <c r="P83" t="inlineStr">
        <is>
          <t>Kalimantan Selatan</t>
        </is>
      </c>
      <c r="Q83" t="inlineStr"/>
    </row>
    <row r="84">
      <c r="A84" t="inlineStr">
        <is>
          <t>KHARISMA TEHNIK</t>
        </is>
      </c>
      <c r="B84" t="inlineStr">
        <is>
          <t>Kab. Jombang</t>
        </is>
      </c>
      <c r="C84" t="inlineStr">
        <is>
          <t>082140804173</t>
        </is>
      </c>
      <c r="D84" t="inlineStr">
        <is>
          <t>jonnylionodinata@gmail.com</t>
        </is>
      </c>
      <c r="E84" t="inlineStr">
        <is>
          <t>https://lpjk.pu.go.id/search-badan-usaha-detail/VEVMV0RScnhyWjlZUVpSYkdRdFU2QT09</t>
        </is>
      </c>
      <c r="F84" t="n">
        <v>2</v>
      </c>
      <c r="G84" t="inlineStr">
        <is>
          <t>BG006</t>
        </is>
      </c>
      <c r="H84" t="inlineStr">
        <is>
          <t>22 Maret 1990</t>
        </is>
      </c>
      <c r="I84" s="2" t="n">
        <v>46229</v>
      </c>
      <c r="J84" t="inlineStr">
        <is>
          <t>Disetujui</t>
        </is>
      </c>
      <c r="K84" t="n">
        <v>30</v>
      </c>
      <c r="L84" t="inlineStr">
        <is>
          <t>26 Juli 2026</t>
        </is>
      </c>
      <c r="M84" t="inlineStr">
        <is>
          <t>Konstruksi Gedung Pendidikan</t>
        </is>
      </c>
      <c r="N84" t="inlineStr">
        <is>
          <t>K</t>
        </is>
      </c>
      <c r="O84" t="inlineStr">
        <is>
          <t>20230724</t>
        </is>
      </c>
      <c r="P84" t="inlineStr">
        <is>
          <t>Jawa Timur</t>
        </is>
      </c>
      <c r="Q84" t="inlineStr"/>
    </row>
    <row r="85">
      <c r="A85" t="inlineStr">
        <is>
          <t>KIA ANUGRAH</t>
        </is>
      </c>
      <c r="B85" t="inlineStr">
        <is>
          <t>Kab. Lombok Tengah</t>
        </is>
      </c>
      <c r="C85" t="inlineStr">
        <is>
          <t>087865844463</t>
        </is>
      </c>
      <c r="D85" t="inlineStr">
        <is>
          <t>kiaanugerah64@gmail.com</t>
        </is>
      </c>
      <c r="E85" t="inlineStr">
        <is>
          <t>https://lpjk.pu.go.id/search-badan-usaha-detail/eVNuTzlPOEY5bms4U24yMXVpZndydz09</t>
        </is>
      </c>
      <c r="F85" t="n">
        <v>1</v>
      </c>
      <c r="G85" t="inlineStr">
        <is>
          <t>BS004</t>
        </is>
      </c>
      <c r="H85" t="inlineStr">
        <is>
          <t>22 Juni 2012</t>
        </is>
      </c>
      <c r="I85" s="2" t="n">
        <v>46229</v>
      </c>
      <c r="J85" t="inlineStr">
        <is>
          <t>Disetujui</t>
        </is>
      </c>
      <c r="K85" t="n">
        <v>30</v>
      </c>
      <c r="L85" t="inlineStr">
        <is>
          <t>26 Juli 2026</t>
        </is>
      </c>
      <c r="M85" t="inlineStr">
        <is>
          <t>Konstruksi Jaringan Irigasi dan Drainase</t>
        </is>
      </c>
      <c r="N85" t="inlineStr">
        <is>
          <t>K</t>
        </is>
      </c>
      <c r="O85" t="inlineStr">
        <is>
          <t>20230720</t>
        </is>
      </c>
      <c r="P85" t="inlineStr">
        <is>
          <t>Nusa Tenggara Barat</t>
        </is>
      </c>
      <c r="Q85" t="inlineStr"/>
    </row>
    <row r="86">
      <c r="A86" t="inlineStr">
        <is>
          <t>KIJANG EMAS</t>
        </is>
      </c>
      <c r="B86" t="inlineStr">
        <is>
          <t>Kab. Jepara</t>
        </is>
      </c>
      <c r="C86" t="inlineStr">
        <is>
          <t>085325856188</t>
        </is>
      </c>
      <c r="D86" t="inlineStr">
        <is>
          <t>kijang.emas3@gmail.com</t>
        </is>
      </c>
      <c r="E86" t="inlineStr">
        <is>
          <t>https://lpjk.pu.go.id/search-badan-usaha-detail/STYzUU1rS0R0bGtBNXlsTmJHUEM4dz09</t>
        </is>
      </c>
      <c r="F86" t="n">
        <v>1</v>
      </c>
      <c r="G86" t="inlineStr">
        <is>
          <t>BS004</t>
        </is>
      </c>
      <c r="H86" t="inlineStr">
        <is>
          <t>7 Juni 2013</t>
        </is>
      </c>
      <c r="I86" s="2" t="n">
        <v>46229</v>
      </c>
      <c r="J86" t="inlineStr">
        <is>
          <t>Disetujui</t>
        </is>
      </c>
      <c r="K86" t="n">
        <v>30</v>
      </c>
      <c r="L86" t="inlineStr">
        <is>
          <t>26 Juli 2026</t>
        </is>
      </c>
      <c r="M86" t="inlineStr">
        <is>
          <t>Konstruksi Jaringan Irigasi dan Drainase</t>
        </is>
      </c>
      <c r="N86" t="inlineStr">
        <is>
          <t>K</t>
        </is>
      </c>
      <c r="O86" t="inlineStr">
        <is>
          <t>20230720</t>
        </is>
      </c>
      <c r="P86" t="inlineStr">
        <is>
          <t>Jawa Tengah</t>
        </is>
      </c>
      <c r="Q86" t="inlineStr"/>
    </row>
    <row r="87">
      <c r="A87" t="inlineStr">
        <is>
          <t>KING DAVID</t>
        </is>
      </c>
      <c r="B87" t="inlineStr">
        <is>
          <t>Kab. Biak Numfor</t>
        </is>
      </c>
      <c r="C87" t="inlineStr">
        <is>
          <t>082246832399</t>
        </is>
      </c>
      <c r="D87" t="inlineStr">
        <is>
          <t>biakcvkingdavid@gmail.com</t>
        </is>
      </c>
      <c r="E87" t="inlineStr">
        <is>
          <t>https://lpjk.pu.go.id/search-badan-usaha-detail/NUlVRWpiWnlwTXJTS0pab0puY0ZaQT09</t>
        </is>
      </c>
      <c r="F87" t="n">
        <v>4</v>
      </c>
      <c r="G87" t="inlineStr">
        <is>
          <t>BG005, BG006, BG008, BG009</t>
        </is>
      </c>
      <c r="H87" t="inlineStr">
        <is>
          <t>2 Maret 2007</t>
        </is>
      </c>
      <c r="I87" s="2" t="n">
        <v>46229</v>
      </c>
      <c r="J87" t="inlineStr">
        <is>
          <t>Disetujui</t>
        </is>
      </c>
      <c r="K87" t="n">
        <v>30</v>
      </c>
      <c r="L87" t="inlineStr">
        <is>
          <t>26 Juli 2026</t>
        </is>
      </c>
      <c r="M87" t="inlineStr">
        <is>
          <t>Konstruksi Gedung Kesehatan, Konstruksi Gedung Lainnya, Konstruksi Gedung Pendidikan, Konstruksi Gedung Tempat Hiburan dan Olahraga</t>
        </is>
      </c>
      <c r="N87" t="inlineStr">
        <is>
          <t>K</t>
        </is>
      </c>
      <c r="O87" t="inlineStr">
        <is>
          <t>20230727</t>
        </is>
      </c>
      <c r="P87" t="inlineStr">
        <is>
          <t>Papua</t>
        </is>
      </c>
      <c r="Q87" t="inlineStr"/>
    </row>
    <row r="88">
      <c r="A88" t="inlineStr">
        <is>
          <t>LANGIT BIRU</t>
        </is>
      </c>
      <c r="B88" t="inlineStr">
        <is>
          <t>Kab. Kampar</t>
        </is>
      </c>
      <c r="C88" t="inlineStr">
        <is>
          <t>085265390288</t>
        </is>
      </c>
      <c r="D88" t="inlineStr">
        <is>
          <t>skhairus@yahoo.com</t>
        </is>
      </c>
      <c r="E88" t="inlineStr">
        <is>
          <t>https://lpjk.pu.go.id/search-badan-usaha-detail/ODJiSGNUNXNEZVNBZCtTb3B0amRadz09</t>
        </is>
      </c>
      <c r="F88" t="n">
        <v>1</v>
      </c>
      <c r="G88" t="inlineStr">
        <is>
          <t>BG009</t>
        </is>
      </c>
      <c r="H88" t="inlineStr">
        <is>
          <t>20 Januari 2012</t>
        </is>
      </c>
      <c r="I88" s="2" t="n">
        <v>46229</v>
      </c>
      <c r="J88" t="inlineStr">
        <is>
          <t>Disetujui</t>
        </is>
      </c>
      <c r="K88" t="n">
        <v>30</v>
      </c>
      <c r="L88" t="inlineStr">
        <is>
          <t>26 Juli 2026</t>
        </is>
      </c>
      <c r="M88" t="inlineStr">
        <is>
          <t>Konstruksi Gedung Lainnya</t>
        </is>
      </c>
      <c r="N88" t="inlineStr">
        <is>
          <t>K</t>
        </is>
      </c>
      <c r="O88" t="inlineStr">
        <is>
          <t>20230725</t>
        </is>
      </c>
      <c r="P88" t="inlineStr">
        <is>
          <t>Riau</t>
        </is>
      </c>
      <c r="Q88" t="inlineStr"/>
    </row>
    <row r="89">
      <c r="A89" t="inlineStr">
        <is>
          <t>LINTAS KAPUAS PERSADA</t>
        </is>
      </c>
      <c r="B89" t="inlineStr">
        <is>
          <t>Kab. Kapuas Hulu</t>
        </is>
      </c>
      <c r="C89" t="inlineStr">
        <is>
          <t>085245567116</t>
        </is>
      </c>
      <c r="D89" t="inlineStr">
        <is>
          <t>pt.lintaskapuaspersada123@gmail.com</t>
        </is>
      </c>
      <c r="E89" t="inlineStr">
        <is>
          <t>https://lpjk.pu.go.id/search-badan-usaha-detail/YWxqV2o4cy96K3BjN2xEWDJUaVpGZz09</t>
        </is>
      </c>
      <c r="F89" t="n">
        <v>1</v>
      </c>
      <c r="G89" t="inlineStr">
        <is>
          <t>BS002</t>
        </is>
      </c>
      <c r="H89" t="inlineStr">
        <is>
          <t>14 Maret 2003</t>
        </is>
      </c>
      <c r="I89" s="2" t="n">
        <v>46229</v>
      </c>
      <c r="J89" t="inlineStr">
        <is>
          <t>Disetujui</t>
        </is>
      </c>
      <c r="K89" t="n">
        <v>30</v>
      </c>
      <c r="L89" t="inlineStr">
        <is>
          <t>26 Juli 2026</t>
        </is>
      </c>
      <c r="M89" t="inlineStr">
        <is>
          <t>Bangunan Sipil Jembatan, Jalan Layang, Fly Over, dan Underpass</t>
        </is>
      </c>
      <c r="N89" t="inlineStr">
        <is>
          <t>M</t>
        </is>
      </c>
      <c r="O89" t="inlineStr">
        <is>
          <t>20230717</t>
        </is>
      </c>
      <c r="P89" t="inlineStr">
        <is>
          <t>Kalimantan Barat</t>
        </is>
      </c>
      <c r="Q89" t="inlineStr"/>
    </row>
    <row r="90">
      <c r="A90" t="inlineStr">
        <is>
          <t>LINTAS NUSANTARA PERMAI</t>
        </is>
      </c>
      <c r="B90" t="inlineStr">
        <is>
          <t>Kab. Merauke</t>
        </is>
      </c>
      <c r="C90" t="inlineStr">
        <is>
          <t>085354547047</t>
        </is>
      </c>
      <c r="D90" t="inlineStr">
        <is>
          <t>lintasnusantarapermai@yahoo.com</t>
        </is>
      </c>
      <c r="E90" t="inlineStr">
        <is>
          <t>https://lpjk.pu.go.id/search-badan-usaha-detail/V3pyYWtVQkQ2Yno1T2M3Z09OcGZrQT09</t>
        </is>
      </c>
      <c r="F90" t="n">
        <v>1</v>
      </c>
      <c r="G90" t="inlineStr">
        <is>
          <t>BS001</t>
        </is>
      </c>
      <c r="H90" t="inlineStr">
        <is>
          <t>1 Oktober 2005</t>
        </is>
      </c>
      <c r="I90" s="2" t="n">
        <v>46229</v>
      </c>
      <c r="J90" t="inlineStr">
        <is>
          <t>Pembekuan</t>
        </is>
      </c>
      <c r="K90" t="n">
        <v>30</v>
      </c>
      <c r="L90" t="inlineStr">
        <is>
          <t>26 Juli 2026</t>
        </is>
      </c>
      <c r="M90" t="inlineStr">
        <is>
          <t>Konstruksi Bangunan Sipil Jalan</t>
        </is>
      </c>
      <c r="N90" t="inlineStr">
        <is>
          <t>M</t>
        </is>
      </c>
      <c r="O90" t="inlineStr">
        <is>
          <t>20230725</t>
        </is>
      </c>
      <c r="P90" t="inlineStr">
        <is>
          <t>Papua Selatan</t>
        </is>
      </c>
      <c r="Q90" t="inlineStr"/>
    </row>
    <row r="91">
      <c r="A91" t="inlineStr">
        <is>
          <t>MABRUR KALIMUSYADA</t>
        </is>
      </c>
      <c r="B91" t="inlineStr">
        <is>
          <t>Kab. Garut</t>
        </is>
      </c>
      <c r="C91" t="inlineStr">
        <is>
          <t>085295914275</t>
        </is>
      </c>
      <c r="D91" t="inlineStr">
        <is>
          <t>perizinan.mabrur@gmail.com</t>
        </is>
      </c>
      <c r="E91" t="inlineStr">
        <is>
          <t>https://lpjk.pu.go.id/search-badan-usaha-detail/N0w2KzEvSHFCOXpzN0xPZXAyQ1hpQT09</t>
        </is>
      </c>
      <c r="F91" t="n">
        <v>1</v>
      </c>
      <c r="G91" t="inlineStr">
        <is>
          <t>BS001</t>
        </is>
      </c>
      <c r="H91" t="inlineStr">
        <is>
          <t>8 Juni 2023</t>
        </is>
      </c>
      <c r="I91" s="2" t="n">
        <v>46229</v>
      </c>
      <c r="J91" t="inlineStr">
        <is>
          <t>Disetujui</t>
        </is>
      </c>
      <c r="K91" t="n">
        <v>30</v>
      </c>
      <c r="L91" t="inlineStr">
        <is>
          <t>26 Juli 2026</t>
        </is>
      </c>
      <c r="M91" t="inlineStr">
        <is>
          <t>Konstruksi Bangunan Sipil Jalan</t>
        </is>
      </c>
      <c r="N91" t="inlineStr">
        <is>
          <t>K</t>
        </is>
      </c>
      <c r="O91" t="inlineStr">
        <is>
          <t>20230724</t>
        </is>
      </c>
      <c r="P91" t="inlineStr">
        <is>
          <t>Jawa Barat</t>
        </is>
      </c>
      <c r="Q91" t="inlineStr"/>
    </row>
    <row r="92">
      <c r="A92" t="inlineStr">
        <is>
          <t>MAHKOTA</t>
        </is>
      </c>
      <c r="B92" t="inlineStr">
        <is>
          <t>Kota Bima</t>
        </is>
      </c>
      <c r="C92" t="inlineStr">
        <is>
          <t>082164452799</t>
        </is>
      </c>
      <c r="D92" t="inlineStr">
        <is>
          <t>arkanwiratama096@gmail.com</t>
        </is>
      </c>
      <c r="E92" t="inlineStr">
        <is>
          <t>https://lpjk.pu.go.id/search-badan-usaha-detail/Y3RBZVI3L3BQSlVZZzVJR3FraWhWZz09</t>
        </is>
      </c>
      <c r="F92" t="n">
        <v>1</v>
      </c>
      <c r="G92" t="inlineStr">
        <is>
          <t>BS002</t>
        </is>
      </c>
      <c r="H92" t="inlineStr">
        <is>
          <t>16 Agustus 1999</t>
        </is>
      </c>
      <c r="I92" s="2" t="n">
        <v>46229</v>
      </c>
      <c r="J92" t="inlineStr">
        <is>
          <t>Pencabutan</t>
        </is>
      </c>
      <c r="K92" t="n">
        <v>30</v>
      </c>
      <c r="L92" t="inlineStr">
        <is>
          <t>26 Juli 2026</t>
        </is>
      </c>
      <c r="M92" t="inlineStr">
        <is>
          <t>Bangunan Sipil Jembatan, Jalan Layang, Fly Over, dan Underpass</t>
        </is>
      </c>
      <c r="N92" t="inlineStr">
        <is>
          <t>K</t>
        </is>
      </c>
      <c r="O92" t="inlineStr">
        <is>
          <t>20230727</t>
        </is>
      </c>
      <c r="P92" t="inlineStr">
        <is>
          <t>Nusa Tenggara Barat</t>
        </is>
      </c>
      <c r="Q92" t="inlineStr"/>
    </row>
    <row r="93">
      <c r="A93" t="inlineStr">
        <is>
          <t>MAJU JAYA</t>
        </is>
      </c>
      <c r="B93" t="inlineStr">
        <is>
          <t>Kab. Wonosobo</t>
        </is>
      </c>
      <c r="C93" t="inlineStr">
        <is>
          <t>082227111219</t>
        </is>
      </c>
      <c r="D93" t="inlineStr">
        <is>
          <t>majujayacv7@gmail.com</t>
        </is>
      </c>
      <c r="E93" t="inlineStr">
        <is>
          <t>https://lpjk.pu.go.id/search-badan-usaha-detail/N0x1OWRYTFpZSDdSczhXdkNMdk54UT09</t>
        </is>
      </c>
      <c r="F93" t="n">
        <v>3</v>
      </c>
      <c r="G93" t="inlineStr">
        <is>
          <t>BG006, BG009, BS001</t>
        </is>
      </c>
      <c r="H93" t="inlineStr">
        <is>
          <t>15 Januari 2016</t>
        </is>
      </c>
      <c r="I93" s="2" t="n">
        <v>46229</v>
      </c>
      <c r="J93" t="inlineStr">
        <is>
          <t>Disetujui</t>
        </is>
      </c>
      <c r="K93" t="n">
        <v>30</v>
      </c>
      <c r="L93" t="inlineStr">
        <is>
          <t>26 Juli 2026</t>
        </is>
      </c>
      <c r="M93" t="inlineStr">
        <is>
          <t>Konstruksi Bangunan Sipil Jalan, Konstruksi Gedung Lainnya, Konstruksi Gedung Pendidikan</t>
        </is>
      </c>
      <c r="N93" t="inlineStr">
        <is>
          <t>K</t>
        </is>
      </c>
      <c r="O93" t="inlineStr">
        <is>
          <t>20230711</t>
        </is>
      </c>
      <c r="P93" t="inlineStr">
        <is>
          <t>Jawa Tengah</t>
        </is>
      </c>
      <c r="Q93" t="inlineStr"/>
    </row>
    <row r="94">
      <c r="A94" t="inlineStr">
        <is>
          <t>MALINDO</t>
        </is>
      </c>
      <c r="B94" t="inlineStr">
        <is>
          <t>Kab. Bondowoso</t>
        </is>
      </c>
      <c r="C94" t="inlineStr">
        <is>
          <t>085253871456</t>
        </is>
      </c>
      <c r="D94" t="inlineStr">
        <is>
          <t>cheve_malindo@yahoo.com</t>
        </is>
      </c>
      <c r="E94" t="inlineStr">
        <is>
          <t>https://lpjk.pu.go.id/search-badan-usaha-detail/cTJpQ0NYWDEydUkwTHJuVHlGYlovQT09</t>
        </is>
      </c>
      <c r="F94" t="n">
        <v>2</v>
      </c>
      <c r="G94" t="inlineStr">
        <is>
          <t>BG005, BG009</t>
        </is>
      </c>
      <c r="H94" t="inlineStr">
        <is>
          <t>5 Januari 2009</t>
        </is>
      </c>
      <c r="I94" s="2" t="n">
        <v>46229</v>
      </c>
      <c r="J94" t="inlineStr">
        <is>
          <t>Disetujui</t>
        </is>
      </c>
      <c r="K94" t="n">
        <v>30</v>
      </c>
      <c r="L94" t="inlineStr">
        <is>
          <t>26 Juli 2026</t>
        </is>
      </c>
      <c r="M94" t="inlineStr">
        <is>
          <t>Konstruksi Gedung Kesehatan, Konstruksi Gedung Lainnya</t>
        </is>
      </c>
      <c r="N94" t="inlineStr">
        <is>
          <t>K</t>
        </is>
      </c>
      <c r="O94" t="inlineStr">
        <is>
          <t>20230726</t>
        </is>
      </c>
      <c r="P94" t="inlineStr">
        <is>
          <t>Jawa Timur</t>
        </is>
      </c>
      <c r="Q94" t="inlineStr"/>
    </row>
    <row r="95">
      <c r="A95" t="inlineStr">
        <is>
          <t>MANDIRI JAYA PRIBUMI</t>
        </is>
      </c>
      <c r="B95" t="inlineStr">
        <is>
          <t>Kab. Tuban</t>
        </is>
      </c>
      <c r="C95" t="inlineStr">
        <is>
          <t>082139486681</t>
        </is>
      </c>
      <c r="D95" t="inlineStr">
        <is>
          <t>mandirijayap@yahoo.com</t>
        </is>
      </c>
      <c r="E95" t="inlineStr">
        <is>
          <t>https://lpjk.pu.go.id/search-badan-usaha-detail/TE9ibVlUVkZXVDFST2NqRDRneUduQT09</t>
        </is>
      </c>
      <c r="F95" t="n">
        <v>1</v>
      </c>
      <c r="G95" t="inlineStr">
        <is>
          <t>IN001</t>
        </is>
      </c>
      <c r="H95" t="inlineStr">
        <is>
          <t>27 Agustus 2014</t>
        </is>
      </c>
      <c r="I95" s="2" t="n">
        <v>46229</v>
      </c>
      <c r="J95" t="inlineStr">
        <is>
          <t>Disetujui</t>
        </is>
      </c>
      <c r="K95" t="n">
        <v>30</v>
      </c>
      <c r="L95" t="inlineStr">
        <is>
          <t>26 Juli 2026</t>
        </is>
      </c>
      <c r="M95" t="inlineStr">
        <is>
          <t>Instalasi Mekanikal</t>
        </is>
      </c>
      <c r="N95" t="inlineStr">
        <is>
          <t>Spesialis</t>
        </is>
      </c>
      <c r="O95" t="inlineStr">
        <is>
          <t>20230722</t>
        </is>
      </c>
      <c r="P95" t="inlineStr">
        <is>
          <t>Jawa Timur</t>
        </is>
      </c>
      <c r="Q95" t="inlineStr"/>
    </row>
    <row r="96">
      <c r="A96" t="inlineStr">
        <is>
          <t>MANDIRI REZA PERSADA</t>
        </is>
      </c>
      <c r="B96" t="inlineStr">
        <is>
          <t>Kab. Kendal</t>
        </is>
      </c>
      <c r="C96" t="inlineStr">
        <is>
          <t>082261111091</t>
        </is>
      </c>
      <c r="D96" t="inlineStr">
        <is>
          <t>mandirirp@gmail.com</t>
        </is>
      </c>
      <c r="E96" t="inlineStr">
        <is>
          <t>https://lpjk.pu.go.id/search-badan-usaha-detail/OEljWWNEYnJqakdwWmduVHRNZUgvdz09</t>
        </is>
      </c>
      <c r="F96" t="n">
        <v>1</v>
      </c>
      <c r="G96" t="inlineStr">
        <is>
          <t>BG005</t>
        </is>
      </c>
      <c r="H96" t="inlineStr">
        <is>
          <t>18 Agustus 2022</t>
        </is>
      </c>
      <c r="I96" s="2" t="n">
        <v>46229</v>
      </c>
      <c r="J96" t="inlineStr">
        <is>
          <t>Disetujui</t>
        </is>
      </c>
      <c r="K96" t="n">
        <v>30</v>
      </c>
      <c r="L96" t="inlineStr">
        <is>
          <t>26 Juli 2026</t>
        </is>
      </c>
      <c r="M96" t="inlineStr">
        <is>
          <t>Konstruksi Gedung Kesehatan</t>
        </is>
      </c>
      <c r="N96" t="inlineStr">
        <is>
          <t>K</t>
        </is>
      </c>
      <c r="O96" t="inlineStr">
        <is>
          <t>20230726</t>
        </is>
      </c>
      <c r="P96" t="inlineStr">
        <is>
          <t>Jawa Tengah</t>
        </is>
      </c>
      <c r="Q96" t="inlineStr"/>
    </row>
    <row r="97">
      <c r="A97" t="inlineStr">
        <is>
          <t>MANUNGGAL I</t>
        </is>
      </c>
      <c r="B97" t="inlineStr">
        <is>
          <t>Kota Pekalongan</t>
        </is>
      </c>
      <c r="C97" t="inlineStr">
        <is>
          <t>087711572550</t>
        </is>
      </c>
      <c r="D97" t="inlineStr">
        <is>
          <t>manunggalcv7@gmail.com</t>
        </is>
      </c>
      <c r="E97" t="inlineStr">
        <is>
          <t>https://lpjk.pu.go.id/search-badan-usaha-detail/bjBhdTVRRVRiS3lkdjJIV1JMY1ZyZz09</t>
        </is>
      </c>
      <c r="F97" t="n">
        <v>2</v>
      </c>
      <c r="G97" t="inlineStr">
        <is>
          <t>BS010</t>
        </is>
      </c>
      <c r="H97" t="inlineStr">
        <is>
          <t>23 Januari 1984</t>
        </is>
      </c>
      <c r="I97" s="2" t="n">
        <v>46229</v>
      </c>
      <c r="J97" t="inlineStr">
        <is>
          <t>Disetujui</t>
        </is>
      </c>
      <c r="K97" t="n">
        <v>30</v>
      </c>
      <c r="L97" t="inlineStr">
        <is>
          <t>26 Juli 2026</t>
        </is>
      </c>
      <c r="M97" t="inlineStr">
        <is>
          <t>Konstruksi Bangunan Prasarana Sumber Daya Air</t>
        </is>
      </c>
      <c r="N97" t="inlineStr">
        <is>
          <t>K</t>
        </is>
      </c>
      <c r="O97" t="inlineStr">
        <is>
          <t>20230721</t>
        </is>
      </c>
      <c r="P97" t="inlineStr">
        <is>
          <t>Jawa Tengah</t>
        </is>
      </c>
      <c r="Q97" t="inlineStr"/>
    </row>
    <row r="98">
      <c r="A98" t="inlineStr">
        <is>
          <t>MEDIA KARYA UTAMA</t>
        </is>
      </c>
      <c r="B98" t="inlineStr">
        <is>
          <t>Kab. Pangandaran</t>
        </is>
      </c>
      <c r="C98" t="inlineStr">
        <is>
          <t>082216309286</t>
        </is>
      </c>
      <c r="D98" t="inlineStr">
        <is>
          <t>mediakaryautama3@gmail.com</t>
        </is>
      </c>
      <c r="E98" t="inlineStr">
        <is>
          <t>https://lpjk.pu.go.id/search-badan-usaha-detail/L083bzhyVXpPUk9MajF3aUtlUlRwQT09</t>
        </is>
      </c>
      <c r="F98" t="n">
        <v>1</v>
      </c>
      <c r="G98" t="inlineStr">
        <is>
          <t>BS004</t>
        </is>
      </c>
      <c r="H98" t="inlineStr">
        <is>
          <t>20 Februari 2019</t>
        </is>
      </c>
      <c r="I98" s="2" t="n">
        <v>46229</v>
      </c>
      <c r="J98" t="inlineStr">
        <is>
          <t>Pencabutan</t>
        </is>
      </c>
      <c r="K98" t="n">
        <v>30</v>
      </c>
      <c r="L98" t="inlineStr">
        <is>
          <t>26 Juli 2026</t>
        </is>
      </c>
      <c r="M98" t="inlineStr">
        <is>
          <t>Konstruksi Jaringan Irigasi dan Drainase</t>
        </is>
      </c>
      <c r="N98" t="inlineStr">
        <is>
          <t>K</t>
        </is>
      </c>
      <c r="O98" t="inlineStr">
        <is>
          <t>20230725</t>
        </is>
      </c>
      <c r="P98" t="inlineStr">
        <is>
          <t>Jawa Barat</t>
        </is>
      </c>
      <c r="Q98" t="inlineStr"/>
    </row>
    <row r="99">
      <c r="A99" t="inlineStr">
        <is>
          <t>MINAKO PUTRA</t>
        </is>
      </c>
      <c r="B99" t="inlineStr">
        <is>
          <t>Kab. Ogan Komering Ulu</t>
        </is>
      </c>
      <c r="C99" t="inlineStr">
        <is>
          <t>081367001155</t>
        </is>
      </c>
      <c r="D99" t="inlineStr">
        <is>
          <t>cvminakoputra2@gmail.com</t>
        </is>
      </c>
      <c r="E99" t="inlineStr">
        <is>
          <t>https://lpjk.pu.go.id/search-badan-usaha-detail/NkJHajVieENkNHJvZFlXMDBTdzFKdz09</t>
        </is>
      </c>
      <c r="F99" t="n">
        <v>2</v>
      </c>
      <c r="G99" t="inlineStr">
        <is>
          <t>BS001, BS004</t>
        </is>
      </c>
      <c r="H99" t="inlineStr">
        <is>
          <t>31 Maret 2006</t>
        </is>
      </c>
      <c r="I99" s="2" t="n">
        <v>46229</v>
      </c>
      <c r="J99" t="inlineStr">
        <is>
          <t>Disetujui</t>
        </is>
      </c>
      <c r="K99" t="n">
        <v>30</v>
      </c>
      <c r="L99" t="inlineStr">
        <is>
          <t>26 Juli 2026</t>
        </is>
      </c>
      <c r="M99" t="inlineStr">
        <is>
          <t>Konstruksi Bangunan Sipil Jalan, Konstruksi Jaringan Irigasi dan Drainase</t>
        </is>
      </c>
      <c r="N99" t="inlineStr">
        <is>
          <t>K</t>
        </is>
      </c>
      <c r="O99" t="inlineStr">
        <is>
          <t>20230726</t>
        </is>
      </c>
      <c r="P99" t="inlineStr">
        <is>
          <t>Sumatera Selatan</t>
        </is>
      </c>
      <c r="Q99" t="inlineStr"/>
    </row>
    <row r="100">
      <c r="A100" t="inlineStr">
        <is>
          <t>MITRA REKA PERDANA</t>
        </is>
      </c>
      <c r="B100" t="inlineStr">
        <is>
          <t>Kota Bandung</t>
        </is>
      </c>
      <c r="C100" t="inlineStr">
        <is>
          <t>0227100002</t>
        </is>
      </c>
      <c r="D100" t="inlineStr">
        <is>
          <t>pt.mitrarekaperdana@gmail.com</t>
        </is>
      </c>
      <c r="E100" t="inlineStr">
        <is>
          <t>https://lpjk.pu.go.id/search-badan-usaha-detail/bEFaRWM2Tnp1WWFnNEZnWkRqUlFidz09</t>
        </is>
      </c>
      <c r="F100" t="n">
        <v>1</v>
      </c>
      <c r="G100" t="inlineStr">
        <is>
          <t>RK002</t>
        </is>
      </c>
      <c r="H100" t="inlineStr">
        <is>
          <t>27 Juni 2023</t>
        </is>
      </c>
      <c r="I100" s="2" t="n">
        <v>46229</v>
      </c>
      <c r="J100" t="inlineStr">
        <is>
          <t>Pencabutan</t>
        </is>
      </c>
      <c r="K100" t="n">
        <v>30</v>
      </c>
      <c r="L100" t="inlineStr">
        <is>
          <t>26 Juli 2026</t>
        </is>
      </c>
      <c r="M100" t="inlineStr">
        <is>
          <t>Jasa Rekayasa Pekerjaan Teknik Sipil Sumber Daya Air</t>
        </is>
      </c>
      <c r="N100" t="inlineStr">
        <is>
          <t>K</t>
        </is>
      </c>
      <c r="O100" t="inlineStr">
        <is>
          <t>20230720</t>
        </is>
      </c>
      <c r="P100" t="inlineStr">
        <is>
          <t>Jawa Barat</t>
        </is>
      </c>
      <c r="Q100" t="inlineStr"/>
    </row>
    <row r="101">
      <c r="A101" t="inlineStr">
        <is>
          <t>MITRA REZEKI SEJAHTERA</t>
        </is>
      </c>
      <c r="B101" t="inlineStr">
        <is>
          <t>Kota Pekanbaru</t>
        </is>
      </c>
      <c r="C101" t="inlineStr">
        <is>
          <t>087893300366</t>
        </is>
      </c>
      <c r="D101" t="inlineStr">
        <is>
          <t>sejahterarezeki2021@gmail.com</t>
        </is>
      </c>
      <c r="E101" t="inlineStr">
        <is>
          <t>https://lpjk.pu.go.id/search-badan-usaha-detail/Q0NRdkkwSjd3Z2lEZzNibkhhei9tdz09</t>
        </is>
      </c>
      <c r="F101" t="n">
        <v>1</v>
      </c>
      <c r="G101" t="inlineStr">
        <is>
          <t>BG001</t>
        </is>
      </c>
      <c r="H101" t="inlineStr">
        <is>
          <t>3 November 2020</t>
        </is>
      </c>
      <c r="I101" s="2" t="n">
        <v>46229</v>
      </c>
      <c r="J101" t="inlineStr">
        <is>
          <t>Disetujui</t>
        </is>
      </c>
      <c r="K101" t="n">
        <v>30</v>
      </c>
      <c r="L101" t="inlineStr">
        <is>
          <t>26 Juli 2026</t>
        </is>
      </c>
      <c r="M101" t="inlineStr">
        <is>
          <t>Konstruksi Gedung Hunian</t>
        </is>
      </c>
      <c r="N101" t="inlineStr">
        <is>
          <t>K</t>
        </is>
      </c>
      <c r="O101" t="inlineStr">
        <is>
          <t>20230726</t>
        </is>
      </c>
      <c r="P101" t="inlineStr">
        <is>
          <t>Riau</t>
        </is>
      </c>
      <c r="Q101" t="inlineStr"/>
    </row>
    <row r="102">
      <c r="A102" t="inlineStr">
        <is>
          <t>MITRA SUMBER KARUNIA</t>
        </is>
      </c>
      <c r="B102" t="inlineStr">
        <is>
          <t>Kab. Tangerang</t>
        </is>
      </c>
      <c r="C102" t="inlineStr">
        <is>
          <t>0215471833</t>
        </is>
      </c>
      <c r="D102" t="inlineStr">
        <is>
          <t>mitrasumberkarunia@yahoo.com</t>
        </is>
      </c>
      <c r="E102" t="inlineStr">
        <is>
          <t>https://lpjk.pu.go.id/search-badan-usaha-detail/TFc3Sjd5UUZHaFRMU0RJdTlWVCtzUT09</t>
        </is>
      </c>
      <c r="F102" t="n">
        <v>2</v>
      </c>
      <c r="G102" t="inlineStr">
        <is>
          <t>BG003, BG009</t>
        </is>
      </c>
      <c r="H102" t="inlineStr">
        <is>
          <t>15 Desember 2011</t>
        </is>
      </c>
      <c r="I102" s="2" t="n">
        <v>46229</v>
      </c>
      <c r="J102" t="inlineStr">
        <is>
          <t>Disetujui</t>
        </is>
      </c>
      <c r="K102" t="n">
        <v>30</v>
      </c>
      <c r="L102" t="inlineStr">
        <is>
          <t>26 Juli 2026</t>
        </is>
      </c>
      <c r="M102" t="inlineStr">
        <is>
          <t>Konstruksi Gedung Industri, Konstruksi Gedung Lainnya</t>
        </is>
      </c>
      <c r="N102" t="inlineStr">
        <is>
          <t>K</t>
        </is>
      </c>
      <c r="O102" t="inlineStr">
        <is>
          <t>20230718</t>
        </is>
      </c>
      <c r="P102" t="inlineStr">
        <is>
          <t>Banten</t>
        </is>
      </c>
      <c r="Q102" t="inlineStr"/>
    </row>
    <row r="103">
      <c r="A103" t="inlineStr">
        <is>
          <t>MULTIMEDIA PROMOSINDO</t>
        </is>
      </c>
      <c r="B103" t="inlineStr">
        <is>
          <t>Kab. Demak</t>
        </is>
      </c>
      <c r="C103" t="inlineStr">
        <is>
          <t>081389582041</t>
        </is>
      </c>
      <c r="D103" t="inlineStr">
        <is>
          <t>mpro8818@gmail.com</t>
        </is>
      </c>
      <c r="E103" t="inlineStr">
        <is>
          <t>https://lpjk.pu.go.id/search-badan-usaha-detail/SGxwTS94NWFCNzJyVVNkNWlQNjY3QT09</t>
        </is>
      </c>
      <c r="F103" t="n">
        <v>2</v>
      </c>
      <c r="G103" t="inlineStr">
        <is>
          <t>BG005, BG006</t>
        </is>
      </c>
      <c r="H103" t="inlineStr">
        <is>
          <t>8 Agustus 2018</t>
        </is>
      </c>
      <c r="I103" s="2" t="n">
        <v>46229</v>
      </c>
      <c r="J103" t="inlineStr">
        <is>
          <t>Disetujui</t>
        </is>
      </c>
      <c r="K103" t="n">
        <v>30</v>
      </c>
      <c r="L103" t="inlineStr">
        <is>
          <t>26 Juli 2026</t>
        </is>
      </c>
      <c r="M103" t="inlineStr">
        <is>
          <t>Konstruksi Gedung Kesehatan, Konstruksi Gedung Pendidikan</t>
        </is>
      </c>
      <c r="N103" t="inlineStr">
        <is>
          <t>K</t>
        </is>
      </c>
      <c r="O103" t="inlineStr">
        <is>
          <t>20230721</t>
        </is>
      </c>
      <c r="P103" t="inlineStr">
        <is>
          <t>Jawa Tengah</t>
        </is>
      </c>
      <c r="Q103" t="inlineStr"/>
    </row>
    <row r="104">
      <c r="A104" t="inlineStr">
        <is>
          <t>NAGA RAYA GROUP</t>
        </is>
      </c>
      <c r="B104" t="inlineStr">
        <is>
          <t>Kab. Banyumas</t>
        </is>
      </c>
      <c r="C104" t="inlineStr">
        <is>
          <t>081391885269</t>
        </is>
      </c>
      <c r="D104" t="inlineStr">
        <is>
          <t>nagarayaya12@gmail.com</t>
        </is>
      </c>
      <c r="E104" t="inlineStr">
        <is>
          <t>https://lpjk.pu.go.id/search-badan-usaha-detail/VGlVYWhmOHRWTFM3WDFERTQ1QVJyQT09</t>
        </is>
      </c>
      <c r="F104" t="n">
        <v>2</v>
      </c>
      <c r="G104" t="inlineStr">
        <is>
          <t>BS002, BS004</t>
        </is>
      </c>
      <c r="H104" t="inlineStr">
        <is>
          <t>29 Desember 2018</t>
        </is>
      </c>
      <c r="I104" s="2" t="n">
        <v>46229</v>
      </c>
      <c r="J104" t="inlineStr">
        <is>
          <t>Disetujui, Pencabutan</t>
        </is>
      </c>
      <c r="K104" t="n">
        <v>30</v>
      </c>
      <c r="L104" t="inlineStr">
        <is>
          <t>26 Juli 2026</t>
        </is>
      </c>
      <c r="M104" t="inlineStr">
        <is>
          <t>Bangunan Sipil Jembatan, Jalan Layang, Fly Over, dan Underpass, Konstruksi Jaringan Irigasi dan Drainase</t>
        </is>
      </c>
      <c r="N104" t="inlineStr">
        <is>
          <t>K</t>
        </is>
      </c>
      <c r="O104" t="inlineStr">
        <is>
          <t>20230725</t>
        </is>
      </c>
      <c r="P104" t="inlineStr">
        <is>
          <t>Jawa Tengah</t>
        </is>
      </c>
      <c r="Q104" t="inlineStr"/>
    </row>
    <row r="105">
      <c r="A105" t="inlineStr">
        <is>
          <t>NUR AINI</t>
        </is>
      </c>
      <c r="B105" t="inlineStr">
        <is>
          <t>Kab. Kediri</t>
        </is>
      </c>
      <c r="C105" t="inlineStr">
        <is>
          <t>085733237617</t>
        </is>
      </c>
      <c r="D105" t="inlineStr">
        <is>
          <t>nuraini_cv@yahoo.com</t>
        </is>
      </c>
      <c r="E105" t="inlineStr">
        <is>
          <t>https://lpjk.pu.go.id/search-badan-usaha-detail/NWxRT25vOWhJcFRueTNpaWdmWUZNQT09</t>
        </is>
      </c>
      <c r="F105" t="n">
        <v>1</v>
      </c>
      <c r="G105" t="inlineStr">
        <is>
          <t>BS001</t>
        </is>
      </c>
      <c r="H105" t="inlineStr">
        <is>
          <t>5 Juli 2007</t>
        </is>
      </c>
      <c r="I105" s="2" t="n">
        <v>46229</v>
      </c>
      <c r="J105" t="inlineStr">
        <is>
          <t>Disetujui</t>
        </is>
      </c>
      <c r="K105" t="n">
        <v>30</v>
      </c>
      <c r="L105" t="inlineStr">
        <is>
          <t>26 Juli 2026</t>
        </is>
      </c>
      <c r="M105" t="inlineStr">
        <is>
          <t>Konstruksi Bangunan Sipil Jalan</t>
        </is>
      </c>
      <c r="N105" t="inlineStr">
        <is>
          <t>K</t>
        </is>
      </c>
      <c r="O105" t="inlineStr">
        <is>
          <t>20230724</t>
        </is>
      </c>
      <c r="P105" t="inlineStr">
        <is>
          <t>Jawa Timur</t>
        </is>
      </c>
      <c r="Q105" t="inlineStr"/>
    </row>
    <row r="106">
      <c r="A106" t="inlineStr">
        <is>
          <t>NURSADAH MANDIRI</t>
        </is>
      </c>
      <c r="B106" t="inlineStr">
        <is>
          <t>Kab. Cirebon</t>
        </is>
      </c>
      <c r="C106" t="inlineStr">
        <is>
          <t>082117206090</t>
        </is>
      </c>
      <c r="D106" t="inlineStr">
        <is>
          <t>cv.nursadahmandiri@yahoo.com</t>
        </is>
      </c>
      <c r="E106" t="inlineStr">
        <is>
          <t>https://lpjk.pu.go.id/search-badan-usaha-detail/WXBmanA2MTQ3ZytoNlVmREZrdDNQQT09</t>
        </is>
      </c>
      <c r="F106" t="n">
        <v>1</v>
      </c>
      <c r="G106" t="inlineStr">
        <is>
          <t>BS010</t>
        </is>
      </c>
      <c r="H106" t="inlineStr">
        <is>
          <t>9 April 2018</t>
        </is>
      </c>
      <c r="I106" s="2" t="n">
        <v>46229</v>
      </c>
      <c r="J106" t="inlineStr">
        <is>
          <t>Disetujui</t>
        </is>
      </c>
      <c r="K106" t="n">
        <v>30</v>
      </c>
      <c r="L106" t="inlineStr">
        <is>
          <t>26 Juli 2026</t>
        </is>
      </c>
      <c r="M106" t="inlineStr">
        <is>
          <t>Konstruksi Bangunan Prasarana Sumber Daya Air</t>
        </is>
      </c>
      <c r="N106" t="inlineStr">
        <is>
          <t>K</t>
        </is>
      </c>
      <c r="O106" t="inlineStr">
        <is>
          <t>20230725</t>
        </is>
      </c>
      <c r="P106" t="inlineStr">
        <is>
          <t>Jawa Barat</t>
        </is>
      </c>
      <c r="Q106" t="inlineStr"/>
    </row>
    <row r="107">
      <c r="A107" t="inlineStr">
        <is>
          <t>NUSAKURA KARYA MANDIRI</t>
        </is>
      </c>
      <c r="B107" t="inlineStr">
        <is>
          <t>Kota Ambon</t>
        </is>
      </c>
      <c r="C107" t="inlineStr">
        <is>
          <t>082248165320</t>
        </is>
      </c>
      <c r="D107" t="inlineStr">
        <is>
          <t>nusakurakaryamandiri@gmail.com</t>
        </is>
      </c>
      <c r="E107" t="inlineStr">
        <is>
          <t>https://lpjk.pu.go.id/search-badan-usaha-detail/SEZxbGtyM1dtZ2pnUk04MnFrR1p1dz09</t>
        </is>
      </c>
      <c r="F107" t="n">
        <v>1</v>
      </c>
      <c r="G107" t="inlineStr">
        <is>
          <t>BG009</t>
        </is>
      </c>
      <c r="H107" t="inlineStr">
        <is>
          <t>27 Oktober 2021</t>
        </is>
      </c>
      <c r="I107" s="2" t="n">
        <v>46229</v>
      </c>
      <c r="J107" t="inlineStr">
        <is>
          <t>Disetujui</t>
        </is>
      </c>
      <c r="K107" t="n">
        <v>30</v>
      </c>
      <c r="L107" t="inlineStr">
        <is>
          <t>26 Juli 2026</t>
        </is>
      </c>
      <c r="M107" t="inlineStr">
        <is>
          <t>Konstruksi Gedung Lainnya</t>
        </is>
      </c>
      <c r="N107" t="inlineStr">
        <is>
          <t>K</t>
        </is>
      </c>
      <c r="O107" t="inlineStr">
        <is>
          <t>20230517</t>
        </is>
      </c>
      <c r="P107" t="inlineStr">
        <is>
          <t>Maluku</t>
        </is>
      </c>
      <c r="Q107" t="inlineStr"/>
    </row>
    <row r="108">
      <c r="A108" t="inlineStr">
        <is>
          <t>PANDAWA</t>
        </is>
      </c>
      <c r="B108" t="inlineStr">
        <is>
          <t>Kota Palu</t>
        </is>
      </c>
      <c r="C108" t="inlineStr">
        <is>
          <t>082195960469</t>
        </is>
      </c>
      <c r="D108" t="inlineStr">
        <is>
          <t>cv.pandaw4@gmail.com</t>
        </is>
      </c>
      <c r="E108" t="inlineStr">
        <is>
          <t>https://lpjk.pu.go.id/search-badan-usaha-detail/b3hRQTVGT2pWMmNkMHMvMnIxVWUyQT09</t>
        </is>
      </c>
      <c r="F108" t="n">
        <v>2</v>
      </c>
      <c r="G108" t="inlineStr">
        <is>
          <t>BS004</t>
        </is>
      </c>
      <c r="H108" t="inlineStr">
        <is>
          <t>25 Januari 2011</t>
        </is>
      </c>
      <c r="I108" s="2" t="n">
        <v>46229</v>
      </c>
      <c r="J108" t="inlineStr">
        <is>
          <t>Disetujui</t>
        </is>
      </c>
      <c r="K108" t="n">
        <v>30</v>
      </c>
      <c r="L108" t="inlineStr">
        <is>
          <t>26 Juli 2026</t>
        </is>
      </c>
      <c r="M108" t="inlineStr">
        <is>
          <t>Konstruksi Jaringan Irigasi dan Drainase</t>
        </is>
      </c>
      <c r="N108" t="inlineStr">
        <is>
          <t>K</t>
        </is>
      </c>
      <c r="O108" t="inlineStr">
        <is>
          <t>20230629</t>
        </is>
      </c>
      <c r="P108" t="inlineStr">
        <is>
          <t>Sulawesi Tengah</t>
        </is>
      </c>
      <c r="Q108" t="inlineStr"/>
    </row>
    <row r="109">
      <c r="A109" t="inlineStr">
        <is>
          <t>PANDAWA BANGKIT SEJAHTERA</t>
        </is>
      </c>
      <c r="B109" t="inlineStr">
        <is>
          <t>Kota Palembang</t>
        </is>
      </c>
      <c r="C109" t="inlineStr">
        <is>
          <t>08117196561</t>
        </is>
      </c>
      <c r="D109" t="inlineStr">
        <is>
          <t>ptpandawabangkitsejahtera12@gmail.com</t>
        </is>
      </c>
      <c r="E109" t="inlineStr">
        <is>
          <t>https://lpjk.pu.go.id/search-badan-usaha-detail/K1g2ZStDZVJKKzkzSmUzb2lBSWpIZz09</t>
        </is>
      </c>
      <c r="F109" t="n">
        <v>2</v>
      </c>
      <c r="G109" t="inlineStr">
        <is>
          <t>BG004</t>
        </is>
      </c>
      <c r="H109" t="inlineStr">
        <is>
          <t>1 April 2023</t>
        </is>
      </c>
      <c r="I109" s="2" t="n">
        <v>46229</v>
      </c>
      <c r="J109" t="inlineStr">
        <is>
          <t>Disetujui</t>
        </is>
      </c>
      <c r="K109" t="n">
        <v>30</v>
      </c>
      <c r="L109" t="inlineStr">
        <is>
          <t>26 Juli 2026</t>
        </is>
      </c>
      <c r="M109" t="inlineStr">
        <is>
          <t>Konstruksi Gedung Perbelanjaan</t>
        </is>
      </c>
      <c r="N109" t="inlineStr">
        <is>
          <t>K</t>
        </is>
      </c>
      <c r="O109" t="inlineStr">
        <is>
          <t>20230726</t>
        </is>
      </c>
      <c r="P109" t="inlineStr">
        <is>
          <t>Sumatera Selatan</t>
        </is>
      </c>
      <c r="Q109" t="inlineStr"/>
    </row>
    <row r="110">
      <c r="A110" t="inlineStr">
        <is>
          <t>PARAMA GLOBAL MANDIRI</t>
        </is>
      </c>
      <c r="B110" t="inlineStr">
        <is>
          <t>Kab. Bandung Barat</t>
        </is>
      </c>
      <c r="C110" t="inlineStr">
        <is>
          <t>082118118440</t>
        </is>
      </c>
      <c r="D110" t="inlineStr">
        <is>
          <t>paramagm@gmail.com</t>
        </is>
      </c>
      <c r="E110" t="inlineStr">
        <is>
          <t>https://lpjk.pu.go.id/search-badan-usaha-detail/MEZhSU41aTJadDdMYkJaM3lTVkprZz09</t>
        </is>
      </c>
      <c r="F110" t="n">
        <v>1</v>
      </c>
      <c r="G110" t="inlineStr">
        <is>
          <t>BG002</t>
        </is>
      </c>
      <c r="H110" t="inlineStr">
        <is>
          <t>6 Juli 2023</t>
        </is>
      </c>
      <c r="I110" s="2" t="n">
        <v>46229</v>
      </c>
      <c r="J110" t="inlineStr">
        <is>
          <t>Pencabutan</t>
        </is>
      </c>
      <c r="K110" t="n">
        <v>30</v>
      </c>
      <c r="L110" t="inlineStr">
        <is>
          <t>26 Juli 2026</t>
        </is>
      </c>
      <c r="M110" t="inlineStr">
        <is>
          <t>Konstruksi Gedung Perkantoran</t>
        </is>
      </c>
      <c r="N110" t="inlineStr">
        <is>
          <t>K</t>
        </is>
      </c>
      <c r="O110" t="inlineStr">
        <is>
          <t>20230723</t>
        </is>
      </c>
      <c r="P110" t="inlineStr">
        <is>
          <t>Jawa Barat</t>
        </is>
      </c>
      <c r="Q110" t="inlineStr"/>
    </row>
    <row r="111">
      <c r="A111" t="inlineStr">
        <is>
          <t>PASUNDAN JAYA KONSTRUKSI</t>
        </is>
      </c>
      <c r="B111" t="inlineStr">
        <is>
          <t>Kab. Kutai Timur</t>
        </is>
      </c>
      <c r="C111" t="inlineStr">
        <is>
          <t>085250304990</t>
        </is>
      </c>
      <c r="D111" t="inlineStr">
        <is>
          <t>pasundanjaya.konstruksi@gmail.com</t>
        </is>
      </c>
      <c r="E111" t="inlineStr">
        <is>
          <t>https://lpjk.pu.go.id/search-badan-usaha-detail/Y0NLVWRxNSt6YXZQZUJuakJQUjc0dz09</t>
        </is>
      </c>
      <c r="F111" t="n">
        <v>4</v>
      </c>
      <c r="G111" t="inlineStr">
        <is>
          <t>BG009, BS004</t>
        </is>
      </c>
      <c r="H111" t="inlineStr">
        <is>
          <t>12 Juni 2012</t>
        </is>
      </c>
      <c r="I111" s="2" t="n">
        <v>46229</v>
      </c>
      <c r="J111" t="inlineStr">
        <is>
          <t>Pencabutan</t>
        </is>
      </c>
      <c r="K111" t="n">
        <v>30</v>
      </c>
      <c r="L111" t="inlineStr">
        <is>
          <t>26 Juli 2026</t>
        </is>
      </c>
      <c r="M111" t="inlineStr">
        <is>
          <t>Konstruksi Gedung Lainnya, Konstruksi Jaringan Irigasi dan Drainase</t>
        </is>
      </c>
      <c r="N111" t="inlineStr">
        <is>
          <t>K</t>
        </is>
      </c>
      <c r="O111" t="inlineStr">
        <is>
          <t>20230725</t>
        </is>
      </c>
      <c r="P111" t="inlineStr">
        <is>
          <t>Kalimantan Timur</t>
        </is>
      </c>
      <c r="Q111" t="inlineStr"/>
    </row>
    <row r="112">
      <c r="A112" t="inlineStr">
        <is>
          <t>PELANGI CARUBAN</t>
        </is>
      </c>
      <c r="B112" t="inlineStr">
        <is>
          <t>Kab. Madiun</t>
        </is>
      </c>
      <c r="C112" t="inlineStr">
        <is>
          <t>081359512220</t>
        </is>
      </c>
      <c r="D112" t="inlineStr">
        <is>
          <t>yonobudi11@yahoo.com</t>
        </is>
      </c>
      <c r="E112" t="inlineStr">
        <is>
          <t>https://lpjk.pu.go.id/search-badan-usaha-detail/M3RrbTlDb2lVOW5hRVpRRTQwU09Ndz09</t>
        </is>
      </c>
      <c r="F112" t="n">
        <v>1</v>
      </c>
      <c r="G112" t="inlineStr">
        <is>
          <t>IN011</t>
        </is>
      </c>
      <c r="H112" t="inlineStr">
        <is>
          <t>22 Juni 2012</t>
        </is>
      </c>
      <c r="I112" s="2" t="n">
        <v>46229</v>
      </c>
      <c r="J112" t="inlineStr">
        <is>
          <t>Pembekuan</t>
        </is>
      </c>
      <c r="K112" t="n">
        <v>30</v>
      </c>
      <c r="L112" t="inlineStr">
        <is>
          <t>26 Juli 2026</t>
        </is>
      </c>
      <c r="M112" t="inlineStr">
        <is>
          <t>Instalasi Sinyal dan Rambu-rambu Jalan Raya</t>
        </is>
      </c>
      <c r="N112" t="inlineStr">
        <is>
          <t>Spesialis</t>
        </is>
      </c>
      <c r="O112" t="inlineStr">
        <is>
          <t>20230726</t>
        </is>
      </c>
      <c r="P112" t="inlineStr">
        <is>
          <t>Jawa Timur</t>
        </is>
      </c>
      <c r="Q112" t="inlineStr"/>
    </row>
    <row r="113">
      <c r="A113" t="inlineStr">
        <is>
          <t>PERMATA BUNDA</t>
        </is>
      </c>
      <c r="B113" t="inlineStr">
        <is>
          <t>Kab. Flores Timur</t>
        </is>
      </c>
      <c r="C113" t="inlineStr">
        <is>
          <t>085232127512</t>
        </is>
      </c>
      <c r="D113" t="inlineStr">
        <is>
          <t>permatabundacv1@yahoo.co.id</t>
        </is>
      </c>
      <c r="E113" t="inlineStr">
        <is>
          <t>https://lpjk.pu.go.id/search-badan-usaha-detail/TTZwZ0VzN3QyR05pUFFDMEY1dEswdz09</t>
        </is>
      </c>
      <c r="F113" t="n">
        <v>1</v>
      </c>
      <c r="G113" t="inlineStr">
        <is>
          <t>BS010</t>
        </is>
      </c>
      <c r="H113" t="inlineStr">
        <is>
          <t>27 Agustus 2001</t>
        </is>
      </c>
      <c r="I113" s="2" t="n">
        <v>46229</v>
      </c>
      <c r="J113" t="inlineStr">
        <is>
          <t>Pencabutan</t>
        </is>
      </c>
      <c r="K113" t="n">
        <v>30</v>
      </c>
      <c r="L113" t="inlineStr">
        <is>
          <t>26 Juli 2026</t>
        </is>
      </c>
      <c r="M113" t="inlineStr">
        <is>
          <t>Konstruksi Bangunan Prasarana Sumber Daya Air</t>
        </is>
      </c>
      <c r="N113" t="inlineStr">
        <is>
          <t>K</t>
        </is>
      </c>
      <c r="O113" t="inlineStr">
        <is>
          <t>20230724</t>
        </is>
      </c>
      <c r="P113" t="inlineStr">
        <is>
          <t>Nusa Tenggara Timur</t>
        </is>
      </c>
      <c r="Q113" t="inlineStr"/>
    </row>
    <row r="114">
      <c r="A114" t="inlineStr">
        <is>
          <t>PRABU ANOM</t>
        </is>
      </c>
      <c r="B114" t="inlineStr">
        <is>
          <t>Kab. Trenggalek</t>
        </is>
      </c>
      <c r="C114" t="inlineStr">
        <is>
          <t>085259611109</t>
        </is>
      </c>
      <c r="D114" t="inlineStr">
        <is>
          <t>prabuanom.corp@gmail.com</t>
        </is>
      </c>
      <c r="E114" t="inlineStr">
        <is>
          <t>https://lpjk.pu.go.id/search-badan-usaha-detail/cG56VWwzUkIxYkRtRzNGY1R0Z1JBdz09</t>
        </is>
      </c>
      <c r="F114" t="n">
        <v>4</v>
      </c>
      <c r="G114" t="inlineStr">
        <is>
          <t>BG006, BG009, BS001, BS004</t>
        </is>
      </c>
      <c r="H114" t="inlineStr">
        <is>
          <t>30 Desember 2016</t>
        </is>
      </c>
      <c r="I114" s="2" t="n">
        <v>46229</v>
      </c>
      <c r="J114" t="inlineStr">
        <is>
          <t>Disetujui</t>
        </is>
      </c>
      <c r="K114" t="n">
        <v>30</v>
      </c>
      <c r="L114" t="inlineStr">
        <is>
          <t>26 Juli 2026</t>
        </is>
      </c>
      <c r="M114" t="inlineStr">
        <is>
          <t>Konstruksi Bangunan Sipil Jalan, Konstruksi Gedung Lainnya, Konstruksi Gedung Pendidikan, Konstruksi Jaringan Irigasi dan Drainase</t>
        </is>
      </c>
      <c r="N114" t="inlineStr">
        <is>
          <t>K</t>
        </is>
      </c>
      <c r="O114" t="inlineStr">
        <is>
          <t>20230721</t>
        </is>
      </c>
      <c r="P114" t="inlineStr">
        <is>
          <t>Jawa Timur</t>
        </is>
      </c>
      <c r="Q114" t="inlineStr"/>
    </row>
    <row r="115">
      <c r="A115" t="inlineStr">
        <is>
          <t>PRADIPTA WIJAYA</t>
        </is>
      </c>
      <c r="B115" t="inlineStr">
        <is>
          <t>Kab. Banyumas</t>
        </is>
      </c>
      <c r="C115" t="inlineStr">
        <is>
          <t>085747121034</t>
        </is>
      </c>
      <c r="D115" t="inlineStr">
        <is>
          <t>cv.pradiptawijaya@gmail.com</t>
        </is>
      </c>
      <c r="E115" t="inlineStr">
        <is>
          <t>https://lpjk.pu.go.id/search-badan-usaha-detail/dVdLNzVlcmkzbFUzT3JGdUJMRFVXODlLTml1Q29TT3dtdlhpMU5zNjVmQT0</t>
        </is>
      </c>
      <c r="F115" t="n">
        <v>1</v>
      </c>
      <c r="G115" t="inlineStr">
        <is>
          <t>BG005</t>
        </is>
      </c>
      <c r="H115" t="inlineStr">
        <is>
          <t>6 Januari 2025</t>
        </is>
      </c>
      <c r="I115" s="2" t="n">
        <v>46229</v>
      </c>
      <c r="J115" t="inlineStr">
        <is>
          <t>Disetujui</t>
        </is>
      </c>
      <c r="K115" t="n">
        <v>30</v>
      </c>
      <c r="L115" t="inlineStr">
        <is>
          <t>26 Juli 2026</t>
        </is>
      </c>
      <c r="M115" t="inlineStr">
        <is>
          <t>Konstruksi Gedung Kesehatan</t>
        </is>
      </c>
      <c r="N115" t="inlineStr">
        <is>
          <t>K</t>
        </is>
      </c>
      <c r="O115" t="inlineStr">
        <is>
          <t>20230727</t>
        </is>
      </c>
      <c r="P115" t="inlineStr">
        <is>
          <t>Jawa Tengah</t>
        </is>
      </c>
      <c r="Q115" t="inlineStr"/>
    </row>
    <row r="116">
      <c r="A116" t="inlineStr">
        <is>
          <t>PUTRA HASAN MANDIRI</t>
        </is>
      </c>
      <c r="B116" t="inlineStr">
        <is>
          <t>Kab. Kebumen</t>
        </is>
      </c>
      <c r="C116" t="inlineStr">
        <is>
          <t>085782365116</t>
        </is>
      </c>
      <c r="D116" t="inlineStr">
        <is>
          <t>putrahasanmandiri@gmail.com</t>
        </is>
      </c>
      <c r="E116" t="inlineStr">
        <is>
          <t>https://lpjk.pu.go.id/search-badan-usaha-detail/ZWRMTjU5QW50M29kSVJ4QzZKL2tRZz09</t>
        </is>
      </c>
      <c r="F116" t="n">
        <v>3</v>
      </c>
      <c r="G116" t="inlineStr">
        <is>
          <t>BG001, BG004, BS001</t>
        </is>
      </c>
      <c r="H116" t="inlineStr">
        <is>
          <t>1 Februari 2020</t>
        </is>
      </c>
      <c r="I116" s="2" t="n">
        <v>46229</v>
      </c>
      <c r="J116" t="inlineStr">
        <is>
          <t>Disetujui, Pencabutan</t>
        </is>
      </c>
      <c r="K116" t="n">
        <v>30</v>
      </c>
      <c r="L116" t="inlineStr">
        <is>
          <t>26 Juli 2026</t>
        </is>
      </c>
      <c r="M116" t="inlineStr">
        <is>
          <t>Konstruksi Bangunan Sipil Jalan, Konstruksi Gedung Hunian, Konstruksi Gedung Perbelanjaan</t>
        </is>
      </c>
      <c r="N116" t="inlineStr">
        <is>
          <t>K</t>
        </is>
      </c>
      <c r="O116" t="inlineStr">
        <is>
          <t>20230707, 20230725</t>
        </is>
      </c>
      <c r="P116" t="inlineStr">
        <is>
          <t>Jawa Tengah</t>
        </is>
      </c>
      <c r="Q116" t="inlineStr"/>
    </row>
    <row r="117">
      <c r="A117" t="inlineStr">
        <is>
          <t>PUTRA HENDRA</t>
        </is>
      </c>
      <c r="B117" t="inlineStr">
        <is>
          <t>Kab. Kutai Timur</t>
        </is>
      </c>
      <c r="C117" t="inlineStr">
        <is>
          <t>082253137173</t>
        </is>
      </c>
      <c r="D117" t="inlineStr">
        <is>
          <t>cv.putrahendra.kaltim@gmail.com</t>
        </is>
      </c>
      <c r="E117" t="inlineStr">
        <is>
          <t>https://lpjk.pu.go.id/search-badan-usaha-detail/SzZKZzVKSzQ4THBjVGI4V3FJbzBoQT09</t>
        </is>
      </c>
      <c r="F117" t="n">
        <v>3</v>
      </c>
      <c r="G117" t="inlineStr">
        <is>
          <t>BG005, BG006, BG009</t>
        </is>
      </c>
      <c r="H117" t="inlineStr">
        <is>
          <t>6 Februari 2023</t>
        </is>
      </c>
      <c r="I117" s="2" t="n">
        <v>46229</v>
      </c>
      <c r="J117" t="inlineStr">
        <is>
          <t>Disetujui</t>
        </is>
      </c>
      <c r="K117" t="n">
        <v>30</v>
      </c>
      <c r="L117" t="inlineStr">
        <is>
          <t>26 Juli 2026</t>
        </is>
      </c>
      <c r="M117" t="inlineStr">
        <is>
          <t>Konstruksi Gedung Kesehatan, Konstruksi Gedung Lainnya, Konstruksi Gedung Pendidikan</t>
        </is>
      </c>
      <c r="N117" t="inlineStr">
        <is>
          <t>K</t>
        </is>
      </c>
      <c r="O117" t="inlineStr">
        <is>
          <t>20230719, 20230720</t>
        </is>
      </c>
      <c r="P117" t="inlineStr">
        <is>
          <t>Kalimantan Timur</t>
        </is>
      </c>
      <c r="Q117" t="inlineStr"/>
    </row>
    <row r="118">
      <c r="A118" t="inlineStr">
        <is>
          <t>PUTRA RAHMAN GRESINDO</t>
        </is>
      </c>
      <c r="B118" t="inlineStr">
        <is>
          <t>Kab. Lombok Timur</t>
        </is>
      </c>
      <c r="C118" t="inlineStr">
        <is>
          <t>081779677459</t>
        </is>
      </c>
      <c r="D118" t="inlineStr">
        <is>
          <t>cvputrarahmangresindo@gmail.com</t>
        </is>
      </c>
      <c r="E118" t="inlineStr">
        <is>
          <t>https://lpjk.pu.go.id/search-badan-usaha-detail/SWx0RzhmVm9PSEtubUNqOXRXOU91Zz09</t>
        </is>
      </c>
      <c r="F118" t="n">
        <v>1</v>
      </c>
      <c r="G118" t="inlineStr">
        <is>
          <t>BG006</t>
        </is>
      </c>
      <c r="H118" t="inlineStr">
        <is>
          <t>2 April 2020</t>
        </is>
      </c>
      <c r="I118" s="2" t="n">
        <v>46229</v>
      </c>
      <c r="J118" t="inlineStr">
        <is>
          <t>Pencabutan</t>
        </is>
      </c>
      <c r="K118" t="n">
        <v>30</v>
      </c>
      <c r="L118" t="inlineStr">
        <is>
          <t>26 Juli 2026</t>
        </is>
      </c>
      <c r="M118" t="inlineStr">
        <is>
          <t>Konstruksi Gedung Pendidikan</t>
        </is>
      </c>
      <c r="N118" t="inlineStr">
        <is>
          <t>K</t>
        </is>
      </c>
      <c r="O118" t="inlineStr">
        <is>
          <t>20230726</t>
        </is>
      </c>
      <c r="P118" t="inlineStr">
        <is>
          <t>Nusa Tenggara Barat</t>
        </is>
      </c>
      <c r="Q118" t="inlineStr"/>
    </row>
    <row r="119">
      <c r="A119" t="inlineStr">
        <is>
          <t>PUTRA SIATAS BARITA</t>
        </is>
      </c>
      <c r="B119" t="inlineStr">
        <is>
          <t>Kota Medan</t>
        </is>
      </c>
      <c r="C119" t="inlineStr">
        <is>
          <t>06180026631</t>
        </is>
      </c>
      <c r="D119" t="inlineStr">
        <is>
          <t>ptputrasiatasbarita@gmail.com</t>
        </is>
      </c>
      <c r="E119" t="inlineStr">
        <is>
          <t>https://lpjk.pu.go.id/search-badan-usaha-detail/d01CS3oxUTMxVGxkTzg4NFdlRlNDUT09</t>
        </is>
      </c>
      <c r="F119" t="n">
        <v>1</v>
      </c>
      <c r="G119" t="inlineStr">
        <is>
          <t>IN007</t>
        </is>
      </c>
      <c r="H119" t="inlineStr">
        <is>
          <t>20 Januari 2021</t>
        </is>
      </c>
      <c r="I119" s="2" t="n">
        <v>46229</v>
      </c>
      <c r="J119" t="inlineStr">
        <is>
          <t>Pembekuan</t>
        </is>
      </c>
      <c r="K119" t="n">
        <v>30</v>
      </c>
      <c r="L119" t="inlineStr">
        <is>
          <t>26 Juli 2026</t>
        </is>
      </c>
      <c r="M119" t="inlineStr">
        <is>
          <t>Instalasi Saluran Air (Plambing)</t>
        </is>
      </c>
      <c r="N119" t="inlineStr">
        <is>
          <t>Spesialis</t>
        </is>
      </c>
      <c r="O119" t="inlineStr">
        <is>
          <t>20230726</t>
        </is>
      </c>
      <c r="P119" t="inlineStr">
        <is>
          <t>Sumatera Utara</t>
        </is>
      </c>
      <c r="Q119" t="inlineStr"/>
    </row>
    <row r="120">
      <c r="A120" t="inlineStr">
        <is>
          <t>PUTRA TUNGGAL MANDIRI</t>
        </is>
      </c>
      <c r="B120" t="inlineStr">
        <is>
          <t>Kota Surabaya</t>
        </is>
      </c>
      <c r="C120" t="inlineStr">
        <is>
          <t>0317491967</t>
        </is>
      </c>
      <c r="D120" t="inlineStr">
        <is>
          <t>ptm.sby@gmail.com</t>
        </is>
      </c>
      <c r="E120" t="inlineStr">
        <is>
          <t>https://lpjk.pu.go.id/search-badan-usaha-detail/RGtsNFBvencybW1LYVd2emZmZWRrQT09</t>
        </is>
      </c>
      <c r="F120" t="n">
        <v>1</v>
      </c>
      <c r="G120" t="inlineStr">
        <is>
          <t>BG004</t>
        </is>
      </c>
      <c r="H120" t="inlineStr">
        <is>
          <t>17 September 2002</t>
        </is>
      </c>
      <c r="I120" s="2" t="n">
        <v>46229</v>
      </c>
      <c r="J120" t="inlineStr">
        <is>
          <t>Disetujui</t>
        </is>
      </c>
      <c r="K120" t="n">
        <v>30</v>
      </c>
      <c r="L120" t="inlineStr">
        <is>
          <t>26 Juli 2026</t>
        </is>
      </c>
      <c r="M120" t="inlineStr">
        <is>
          <t>Konstruksi Gedung Perbelanjaan</t>
        </is>
      </c>
      <c r="N120" t="inlineStr">
        <is>
          <t>K</t>
        </is>
      </c>
      <c r="O120" t="inlineStr">
        <is>
          <t>20230726</t>
        </is>
      </c>
      <c r="P120" t="inlineStr">
        <is>
          <t>Jawa Timur</t>
        </is>
      </c>
      <c r="Q120" t="inlineStr"/>
    </row>
    <row r="121">
      <c r="A121" t="inlineStr">
        <is>
          <t>PUTRI LINGGA</t>
        </is>
      </c>
      <c r="B121" t="inlineStr">
        <is>
          <t>Kab. Lamandau</t>
        </is>
      </c>
      <c r="C121" t="inlineStr">
        <is>
          <t>085318579999</t>
        </is>
      </c>
      <c r="D121" t="inlineStr">
        <is>
          <t>cvputri_lingga@yahoo.com</t>
        </is>
      </c>
      <c r="E121" t="inlineStr">
        <is>
          <t>https://lpjk.pu.go.id/search-badan-usaha-detail/diswazMzUmhUVlNNMTUzZUVucW5QUT09</t>
        </is>
      </c>
      <c r="F121" t="n">
        <v>1</v>
      </c>
      <c r="G121" t="inlineStr">
        <is>
          <t>BG001</t>
        </is>
      </c>
      <c r="H121" t="inlineStr">
        <is>
          <t>30 Juni 2015</t>
        </is>
      </c>
      <c r="I121" s="2" t="n">
        <v>46229</v>
      </c>
      <c r="J121" t="inlineStr">
        <is>
          <t>Disetujui</t>
        </is>
      </c>
      <c r="K121" t="n">
        <v>30</v>
      </c>
      <c r="L121" t="inlineStr">
        <is>
          <t>26 Juli 2026</t>
        </is>
      </c>
      <c r="M121" t="inlineStr">
        <is>
          <t>Konstruksi Gedung Hunian</t>
        </is>
      </c>
      <c r="N121" t="inlineStr">
        <is>
          <t>K</t>
        </is>
      </c>
      <c r="O121" t="inlineStr">
        <is>
          <t>20230719</t>
        </is>
      </c>
      <c r="P121" t="inlineStr">
        <is>
          <t>Kalimantan Tengah</t>
        </is>
      </c>
      <c r="Q121" t="inlineStr"/>
    </row>
    <row r="122">
      <c r="A122" t="inlineStr">
        <is>
          <t>PUTROE FIRA PERMATA</t>
        </is>
      </c>
      <c r="B122" t="inlineStr">
        <is>
          <t>Kab. Nagan Raya</t>
        </is>
      </c>
      <c r="C122" t="inlineStr">
        <is>
          <t>085210983510</t>
        </is>
      </c>
      <c r="D122" t="inlineStr">
        <is>
          <t>cvputroefirapermata@gmail.com</t>
        </is>
      </c>
      <c r="E122" t="inlineStr">
        <is>
          <t>https://lpjk.pu.go.id/search-badan-usaha-detail/bnpyYjdjSmJ4Ukg4azJmT2VQOGVyZz09</t>
        </is>
      </c>
      <c r="F122" t="n">
        <v>2</v>
      </c>
      <c r="G122" t="inlineStr">
        <is>
          <t>BG006, BG009</t>
        </is>
      </c>
      <c r="H122" t="inlineStr">
        <is>
          <t>12 April 2021</t>
        </is>
      </c>
      <c r="I122" s="2" t="n">
        <v>46229</v>
      </c>
      <c r="J122" t="inlineStr">
        <is>
          <t>Disetujui</t>
        </is>
      </c>
      <c r="K122" t="n">
        <v>30</v>
      </c>
      <c r="L122" t="inlineStr">
        <is>
          <t>26 Juli 2026</t>
        </is>
      </c>
      <c r="M122" t="inlineStr">
        <is>
          <t>Konstruksi Gedung Lainnya, Konstruksi Gedung Pendidikan</t>
        </is>
      </c>
      <c r="N122" t="inlineStr">
        <is>
          <t>K</t>
        </is>
      </c>
      <c r="O122" t="inlineStr">
        <is>
          <t>20230724</t>
        </is>
      </c>
      <c r="P122" t="inlineStr">
        <is>
          <t>Aceh</t>
        </is>
      </c>
      <c r="Q122" t="inlineStr"/>
    </row>
    <row r="123">
      <c r="A123" t="inlineStr">
        <is>
          <t>QANITA DEWI</t>
        </is>
      </c>
      <c r="B123" t="inlineStr">
        <is>
          <t>Kab. Cirebon</t>
        </is>
      </c>
      <c r="C123" t="inlineStr">
        <is>
          <t>08112444542</t>
        </is>
      </c>
      <c r="D123" t="inlineStr">
        <is>
          <t>qanitadewi3@gmail.com</t>
        </is>
      </c>
      <c r="E123" t="inlineStr">
        <is>
          <t>https://lpjk.pu.go.id/search-badan-usaha-detail/K2FBdkxaQk9uTHh1TDlqTW9COGkydz09</t>
        </is>
      </c>
      <c r="F123" t="n">
        <v>1</v>
      </c>
      <c r="G123" t="inlineStr">
        <is>
          <t>BG004</t>
        </is>
      </c>
      <c r="H123" t="inlineStr">
        <is>
          <t>10 Januari 2015</t>
        </is>
      </c>
      <c r="I123" s="2" t="n">
        <v>46229</v>
      </c>
      <c r="J123" t="inlineStr">
        <is>
          <t>Disetujui</t>
        </is>
      </c>
      <c r="K123" t="n">
        <v>30</v>
      </c>
      <c r="L123" t="inlineStr">
        <is>
          <t>26 Juli 2026</t>
        </is>
      </c>
      <c r="M123" t="inlineStr">
        <is>
          <t>Konstruksi Gedung Perbelanjaan</t>
        </is>
      </c>
      <c r="N123" t="inlineStr">
        <is>
          <t>K</t>
        </is>
      </c>
      <c r="O123" t="inlineStr">
        <is>
          <t>20230725</t>
        </is>
      </c>
      <c r="P123" t="inlineStr">
        <is>
          <t>Jawa Barat</t>
        </is>
      </c>
      <c r="Q123" t="inlineStr"/>
    </row>
    <row r="124">
      <c r="A124" t="inlineStr">
        <is>
          <t>RAHMANI</t>
        </is>
      </c>
      <c r="B124" t="inlineStr">
        <is>
          <t>Kab. Bandung</t>
        </is>
      </c>
      <c r="C124" t="inlineStr">
        <is>
          <t>089515093076</t>
        </is>
      </c>
      <c r="D124" t="inlineStr">
        <is>
          <t>cvrahmani2017@gmail.com</t>
        </is>
      </c>
      <c r="E124" t="inlineStr">
        <is>
          <t>https://lpjk.pu.go.id/search-badan-usaha-detail/ZTJ5ZlYwU0JkRGhBWVhybHZpZ0VIZz09</t>
        </is>
      </c>
      <c r="F124" t="n">
        <v>3</v>
      </c>
      <c r="G124" t="inlineStr">
        <is>
          <t>BS004</t>
        </is>
      </c>
      <c r="H124" t="inlineStr">
        <is>
          <t>22 April 2016</t>
        </is>
      </c>
      <c r="I124" s="2" t="n">
        <v>46229</v>
      </c>
      <c r="J124" t="inlineStr">
        <is>
          <t>Disetujui</t>
        </is>
      </c>
      <c r="K124" t="n">
        <v>30</v>
      </c>
      <c r="L124" t="inlineStr">
        <is>
          <t>26 Juli 2026</t>
        </is>
      </c>
      <c r="M124" t="inlineStr">
        <is>
          <t>Konstruksi Jaringan Irigasi dan Drainase</t>
        </is>
      </c>
      <c r="N124" t="inlineStr">
        <is>
          <t>K</t>
        </is>
      </c>
      <c r="O124" t="inlineStr">
        <is>
          <t>20230727</t>
        </is>
      </c>
      <c r="P124" t="inlineStr">
        <is>
          <t>Jawa Barat</t>
        </is>
      </c>
      <c r="Q124" t="inlineStr"/>
    </row>
    <row r="125">
      <c r="A125" t="inlineStr">
        <is>
          <t>RAMA OKSIBIL SEJAHTERA</t>
        </is>
      </c>
      <c r="B125" t="inlineStr">
        <is>
          <t>Kab Pegunungan Bintang</t>
        </is>
      </c>
      <c r="C125" t="inlineStr">
        <is>
          <t>082337195698</t>
        </is>
      </c>
      <c r="D125" t="inlineStr">
        <is>
          <t>cvramaoks@gmail.com</t>
        </is>
      </c>
      <c r="E125" t="inlineStr">
        <is>
          <t>https://lpjk.pu.go.id/search-badan-usaha-detail/enVSTUw0NGZNR2pEblBBQnQrakJDZz09</t>
        </is>
      </c>
      <c r="F125" t="n">
        <v>1</v>
      </c>
      <c r="G125" t="inlineStr">
        <is>
          <t>BG006</t>
        </is>
      </c>
      <c r="H125" t="inlineStr">
        <is>
          <t>15 Januari 2020</t>
        </is>
      </c>
      <c r="I125" s="2" t="n">
        <v>46229</v>
      </c>
      <c r="J125" t="inlineStr">
        <is>
          <t>Disetujui</t>
        </is>
      </c>
      <c r="K125" t="n">
        <v>30</v>
      </c>
      <c r="L125" t="inlineStr">
        <is>
          <t>26 Juli 2026</t>
        </is>
      </c>
      <c r="M125" t="inlineStr">
        <is>
          <t>Konstruksi Gedung Pendidikan</t>
        </is>
      </c>
      <c r="N125" t="inlineStr">
        <is>
          <t>K</t>
        </is>
      </c>
      <c r="O125" t="inlineStr">
        <is>
          <t>20230721</t>
        </is>
      </c>
      <c r="P125" t="inlineStr">
        <is>
          <t>Papua</t>
        </is>
      </c>
      <c r="Q125" t="inlineStr"/>
    </row>
    <row r="126">
      <c r="A126" t="inlineStr">
        <is>
          <t>RANCANG BANGUN PUNDINUSA</t>
        </is>
      </c>
      <c r="B126" t="inlineStr">
        <is>
          <t>Kota Adm. Jakarta Selatan</t>
        </is>
      </c>
      <c r="C126" t="inlineStr">
        <is>
          <t>081318791966</t>
        </is>
      </c>
      <c r="D126" t="inlineStr">
        <is>
          <t>ptrancangbangunpundinusa@gmail.com</t>
        </is>
      </c>
      <c r="E126" t="inlineStr">
        <is>
          <t>https://lpjk.pu.go.id/search-badan-usaha-detail/N2tIcVhzVnBwNVpuTXV4bE5aTllNUT09</t>
        </is>
      </c>
      <c r="F126" t="n">
        <v>2</v>
      </c>
      <c r="G126" t="inlineStr">
        <is>
          <t>BG001</t>
        </is>
      </c>
      <c r="H126" t="inlineStr">
        <is>
          <t>3 Mei 2017</t>
        </is>
      </c>
      <c r="I126" s="2" t="n">
        <v>46229</v>
      </c>
      <c r="J126" t="inlineStr">
        <is>
          <t>Disetujui</t>
        </is>
      </c>
      <c r="K126" t="n">
        <v>30</v>
      </c>
      <c r="L126" t="inlineStr">
        <is>
          <t>26 Juli 2026</t>
        </is>
      </c>
      <c r="M126" t="inlineStr">
        <is>
          <t>Konstruksi Gedung Hunian</t>
        </is>
      </c>
      <c r="N126" t="inlineStr">
        <is>
          <t>K</t>
        </is>
      </c>
      <c r="O126" t="inlineStr">
        <is>
          <t>20230726</t>
        </is>
      </c>
      <c r="P126" t="inlineStr">
        <is>
          <t>DKI Jakarta</t>
        </is>
      </c>
      <c r="Q126" t="inlineStr"/>
    </row>
    <row r="127">
      <c r="A127" t="inlineStr">
        <is>
          <t>RIDHO BANUA</t>
        </is>
      </c>
      <c r="B127" t="inlineStr">
        <is>
          <t>Kota Banjarmasin</t>
        </is>
      </c>
      <c r="C127" t="inlineStr">
        <is>
          <t>081351840463</t>
        </is>
      </c>
      <c r="D127" t="inlineStr">
        <is>
          <t>cv.ridhobanua@gmail.com</t>
        </is>
      </c>
      <c r="E127" t="inlineStr">
        <is>
          <t>https://lpjk.pu.go.id/search-badan-usaha-detail/RGRGb01HVmJFNnV6dVYrRjRYWHBMQT09</t>
        </is>
      </c>
      <c r="F127" t="n">
        <v>3</v>
      </c>
      <c r="G127" t="inlineStr">
        <is>
          <t>RK001, RK002, RK003</t>
        </is>
      </c>
      <c r="H127" t="inlineStr">
        <is>
          <t>23 Maret 2019</t>
        </is>
      </c>
      <c r="I127" s="2" t="n">
        <v>46229</v>
      </c>
      <c r="J127" t="inlineStr">
        <is>
          <t>Disetujui</t>
        </is>
      </c>
      <c r="K127" t="n">
        <v>30</v>
      </c>
      <c r="L127" t="inlineStr">
        <is>
          <t>26 Juli 2026</t>
        </is>
      </c>
      <c r="M127" t="inlineStr">
        <is>
          <t>Jasa Rekayasa Konstruksi Bangunan Gedung Hunian dan Non Hunian, Jasa Rekayasa Pekerjaan Teknik Sipil Sumber Daya Air, Jasa Rekayasa Pekerjaan Teknik Sipil Transportasi</t>
        </is>
      </c>
      <c r="N127" t="inlineStr">
        <is>
          <t>K</t>
        </is>
      </c>
      <c r="O127" t="inlineStr">
        <is>
          <t>20230724</t>
        </is>
      </c>
      <c r="P127" t="inlineStr">
        <is>
          <t>Kalimantan Selatan</t>
        </is>
      </c>
      <c r="Q127" t="inlineStr"/>
    </row>
    <row r="128">
      <c r="A128" t="inlineStr">
        <is>
          <t>RIZKI BERKAH CIPTA ABADI</t>
        </is>
      </c>
      <c r="B128" t="inlineStr">
        <is>
          <t>Kab. Kutai Timur</t>
        </is>
      </c>
      <c r="C128" t="inlineStr">
        <is>
          <t>081347282039</t>
        </is>
      </c>
      <c r="D128" t="inlineStr">
        <is>
          <t>cvrizkiberkahciptaabadi23@gmail.com</t>
        </is>
      </c>
      <c r="E128" t="inlineStr">
        <is>
          <t>https://lpjk.pu.go.id/search-badan-usaha-detail/MDBtVzZpempraXdTNUU2V1YxVXR3UT09</t>
        </is>
      </c>
      <c r="F128" t="n">
        <v>4</v>
      </c>
      <c r="G128" t="inlineStr">
        <is>
          <t>BG006, BG009, BS001, BS004</t>
        </is>
      </c>
      <c r="H128" t="inlineStr">
        <is>
          <t>20 Februari 2023</t>
        </is>
      </c>
      <c r="I128" s="2" t="n">
        <v>46229</v>
      </c>
      <c r="J128" t="inlineStr">
        <is>
          <t>Disetujui</t>
        </is>
      </c>
      <c r="K128" t="n">
        <v>30</v>
      </c>
      <c r="L128" t="inlineStr">
        <is>
          <t>26 Juli 2026</t>
        </is>
      </c>
      <c r="M128" t="inlineStr">
        <is>
          <t>Konstruksi Bangunan Sipil Jalan, Konstruksi Gedung Lainnya, Konstruksi Gedung Pendidikan, Konstruksi Jaringan Irigasi dan Drainase</t>
        </is>
      </c>
      <c r="N128" t="inlineStr">
        <is>
          <t>K</t>
        </is>
      </c>
      <c r="O128" t="inlineStr">
        <is>
          <t>20230726, 20230727</t>
        </is>
      </c>
      <c r="P128" t="inlineStr">
        <is>
          <t>Kalimantan Timur</t>
        </is>
      </c>
      <c r="Q128" t="inlineStr"/>
    </row>
    <row r="129">
      <c r="A129" t="inlineStr">
        <is>
          <t>RIZKI UTAMA</t>
        </is>
      </c>
      <c r="B129" t="inlineStr">
        <is>
          <t>Kab. Bondowoso</t>
        </is>
      </c>
      <c r="C129" t="inlineStr">
        <is>
          <t>085231377788</t>
        </is>
      </c>
      <c r="D129" t="inlineStr">
        <is>
          <t>djajuscv@gmail.com</t>
        </is>
      </c>
      <c r="E129" t="inlineStr">
        <is>
          <t>https://lpjk.pu.go.id/search-badan-usaha-detail/QlpMajMyU2JMOVYxR1VEQytpQ3FkZz09</t>
        </is>
      </c>
      <c r="F129" t="n">
        <v>1</v>
      </c>
      <c r="G129" t="inlineStr">
        <is>
          <t>BG005</t>
        </is>
      </c>
      <c r="H129" t="inlineStr">
        <is>
          <t>30 Desember 2002</t>
        </is>
      </c>
      <c r="I129" s="2" t="n">
        <v>46229</v>
      </c>
      <c r="J129" t="inlineStr">
        <is>
          <t>Disetujui</t>
        </is>
      </c>
      <c r="K129" t="n">
        <v>30</v>
      </c>
      <c r="L129" t="inlineStr">
        <is>
          <t>26 Juli 2026</t>
        </is>
      </c>
      <c r="M129" t="inlineStr">
        <is>
          <t>Konstruksi Gedung Kesehatan</t>
        </is>
      </c>
      <c r="N129" t="inlineStr">
        <is>
          <t>K</t>
        </is>
      </c>
      <c r="O129" t="inlineStr">
        <is>
          <t>20230726</t>
        </is>
      </c>
      <c r="P129" t="inlineStr">
        <is>
          <t>Jawa Timur</t>
        </is>
      </c>
      <c r="Q129" t="inlineStr"/>
    </row>
    <row r="130">
      <c r="A130" t="inlineStr">
        <is>
          <t>SAE JAYA ABADI</t>
        </is>
      </c>
      <c r="B130" t="inlineStr">
        <is>
          <t>Kab. Grobogan</t>
        </is>
      </c>
      <c r="C130" t="inlineStr">
        <is>
          <t>085292725232</t>
        </is>
      </c>
      <c r="D130" t="inlineStr">
        <is>
          <t>cv.saejayaabadi@gmail.com</t>
        </is>
      </c>
      <c r="E130" t="inlineStr">
        <is>
          <t>https://lpjk.pu.go.id/search-badan-usaha-detail/QUl2ZGk5L09CSFFYd2h0RGxaMkhFdz09</t>
        </is>
      </c>
      <c r="F130" t="n">
        <v>1</v>
      </c>
      <c r="G130" t="inlineStr">
        <is>
          <t>BS004</t>
        </is>
      </c>
      <c r="H130" t="inlineStr">
        <is>
          <t>21 Januari 2016</t>
        </is>
      </c>
      <c r="I130" s="2" t="n">
        <v>46229</v>
      </c>
      <c r="J130" t="inlineStr">
        <is>
          <t>Disetujui</t>
        </is>
      </c>
      <c r="K130" t="n">
        <v>30</v>
      </c>
      <c r="L130" t="inlineStr">
        <is>
          <t>26 Juli 2026</t>
        </is>
      </c>
      <c r="M130" t="inlineStr">
        <is>
          <t>Konstruksi Jaringan Irigasi dan Drainase</t>
        </is>
      </c>
      <c r="N130" t="inlineStr">
        <is>
          <t>K</t>
        </is>
      </c>
      <c r="O130" t="inlineStr">
        <is>
          <t>20230710</t>
        </is>
      </c>
      <c r="P130" t="inlineStr">
        <is>
          <t>Jawa Tengah</t>
        </is>
      </c>
      <c r="Q130" t="inlineStr"/>
    </row>
    <row r="131">
      <c r="A131" t="inlineStr">
        <is>
          <t>SAKA RAYA TEKNIK</t>
        </is>
      </c>
      <c r="B131" t="inlineStr">
        <is>
          <t>Kota Adm. Jakarta Selatan</t>
        </is>
      </c>
      <c r="C131" t="inlineStr">
        <is>
          <t>085777777301</t>
        </is>
      </c>
      <c r="D131" t="inlineStr">
        <is>
          <t>infoteknik.sakarayaindo@gmail.com</t>
        </is>
      </c>
      <c r="E131" t="inlineStr">
        <is>
          <t>https://lpjk.pu.go.id/search-badan-usaha-detail/V3JBY0h2K1dHMlNRZFhHNWdBWGpYUT09</t>
        </is>
      </c>
      <c r="F131" t="n">
        <v>1</v>
      </c>
      <c r="G131" t="inlineStr">
        <is>
          <t>RK003</t>
        </is>
      </c>
      <c r="H131" t="inlineStr">
        <is>
          <t>15 Agustus 2019</t>
        </is>
      </c>
      <c r="I131" s="2" t="n">
        <v>46229</v>
      </c>
      <c r="J131" t="inlineStr">
        <is>
          <t>Disetujui</t>
        </is>
      </c>
      <c r="K131" t="n">
        <v>30</v>
      </c>
      <c r="L131" t="inlineStr">
        <is>
          <t>26 Juli 2026</t>
        </is>
      </c>
      <c r="M131" t="inlineStr">
        <is>
          <t>Jasa Rekayasa Pekerjaan Teknik Sipil Transportasi</t>
        </is>
      </c>
      <c r="N131" t="inlineStr">
        <is>
          <t>K</t>
        </is>
      </c>
      <c r="O131" t="inlineStr">
        <is>
          <t>20230721</t>
        </is>
      </c>
      <c r="P131" t="inlineStr">
        <is>
          <t>DKI Jakarta</t>
        </is>
      </c>
      <c r="Q131" t="inlineStr"/>
    </row>
    <row r="132">
      <c r="A132" t="inlineStr">
        <is>
          <t>SAKATA</t>
        </is>
      </c>
      <c r="B132" t="inlineStr">
        <is>
          <t>Kab. Purwakarta</t>
        </is>
      </c>
      <c r="C132" t="inlineStr">
        <is>
          <t>087737363600</t>
        </is>
      </c>
      <c r="D132" t="inlineStr">
        <is>
          <t>sakata_cv@yahoo.com</t>
        </is>
      </c>
      <c r="E132" t="inlineStr">
        <is>
          <t>https://lpjk.pu.go.id/search-badan-usaha-detail/eG1LQ2RLczFEd1BFNTcxZU83SjNtQT09</t>
        </is>
      </c>
      <c r="F132" t="n">
        <v>8</v>
      </c>
      <c r="G132" t="inlineStr">
        <is>
          <t>BG002, BG005, BS001, BS004</t>
        </is>
      </c>
      <c r="H132" t="inlineStr">
        <is>
          <t>9 Juli 2007</t>
        </is>
      </c>
      <c r="I132" s="2" t="n">
        <v>46229</v>
      </c>
      <c r="J132" t="inlineStr">
        <is>
          <t>Disetujui</t>
        </is>
      </c>
      <c r="K132" t="n">
        <v>30</v>
      </c>
      <c r="L132" t="inlineStr">
        <is>
          <t>26 Juli 2026</t>
        </is>
      </c>
      <c r="M132" t="inlineStr">
        <is>
          <t>Konstruksi Bangunan Sipil Jalan, Konstruksi Gedung Kesehatan, Konstruksi Gedung Perkantoran, Konstruksi Jaringan Irigasi dan Drainase</t>
        </is>
      </c>
      <c r="N132" t="inlineStr">
        <is>
          <t>K</t>
        </is>
      </c>
      <c r="O132" t="inlineStr">
        <is>
          <t>20230724</t>
        </is>
      </c>
      <c r="P132" t="inlineStr">
        <is>
          <t>Jawa Barat</t>
        </is>
      </c>
      <c r="Q132" t="inlineStr"/>
    </row>
    <row r="133">
      <c r="A133" t="inlineStr">
        <is>
          <t>SAMPURNA PUTRA ABADI</t>
        </is>
      </c>
      <c r="B133" t="inlineStr">
        <is>
          <t>Kota Adm. Jakarta Utara</t>
        </is>
      </c>
      <c r="C133" t="inlineStr">
        <is>
          <t>02145847811</t>
        </is>
      </c>
      <c r="D133" t="inlineStr">
        <is>
          <t>sampurnaputraabadi@gmail.com</t>
        </is>
      </c>
      <c r="E133" t="inlineStr">
        <is>
          <t>https://lpjk.pu.go.id/search-badan-usaha-detail/aExHNlRGcjhIbHpRZkZMaW00UEdEQT09</t>
        </is>
      </c>
      <c r="F133" t="n">
        <v>1</v>
      </c>
      <c r="G133" t="inlineStr">
        <is>
          <t>BG006</t>
        </is>
      </c>
      <c r="H133" t="inlineStr">
        <is>
          <t>1 Januari 2018</t>
        </is>
      </c>
      <c r="I133" s="2" t="n">
        <v>46229</v>
      </c>
      <c r="J133" t="inlineStr">
        <is>
          <t>Disetujui</t>
        </is>
      </c>
      <c r="K133" t="n">
        <v>30</v>
      </c>
      <c r="L133" t="inlineStr">
        <is>
          <t>26 Juli 2026</t>
        </is>
      </c>
      <c r="M133" t="inlineStr">
        <is>
          <t>Konstruksi Gedung Pendidikan</t>
        </is>
      </c>
      <c r="N133" t="inlineStr">
        <is>
          <t>K</t>
        </is>
      </c>
      <c r="O133" t="inlineStr">
        <is>
          <t>20230619</t>
        </is>
      </c>
      <c r="P133" t="inlineStr">
        <is>
          <t>DKI Jakarta</t>
        </is>
      </c>
      <c r="Q133" t="inlineStr"/>
    </row>
    <row r="134">
      <c r="A134" t="inlineStr">
        <is>
          <t>SASANA CITRA MANDIRI</t>
        </is>
      </c>
      <c r="B134" t="inlineStr">
        <is>
          <t>Kota Palembang</t>
        </is>
      </c>
      <c r="C134" t="inlineStr">
        <is>
          <t>0811730509</t>
        </is>
      </c>
      <c r="D134" t="inlineStr">
        <is>
          <t>sasanacitra975@gmail.com</t>
        </is>
      </c>
      <c r="E134" t="inlineStr">
        <is>
          <t>https://lpjk.pu.go.id/search-badan-usaha-detail/YlJjNUxGTEliV245NWQ4RlI5VHduUkd1Qk1xUkxLblprYzM2Y2pVNTgxUT0</t>
        </is>
      </c>
      <c r="F134" t="n">
        <v>1</v>
      </c>
      <c r="G134" t="inlineStr">
        <is>
          <t>AR001</t>
        </is>
      </c>
      <c r="H134" t="inlineStr">
        <is>
          <t>2 Agustus 2021</t>
        </is>
      </c>
      <c r="I134" s="2" t="n">
        <v>46229</v>
      </c>
      <c r="J134" t="inlineStr">
        <is>
          <t>Disetujui</t>
        </is>
      </c>
      <c r="K134" t="n">
        <v>30</v>
      </c>
      <c r="L134" t="inlineStr">
        <is>
          <t>26 Juli 2026</t>
        </is>
      </c>
      <c r="M134" t="inlineStr">
        <is>
          <t>Jasa Arsitektural Bangunan Gedung Hunian dan Non Hunian</t>
        </is>
      </c>
      <c r="N134" t="inlineStr">
        <is>
          <t>K</t>
        </is>
      </c>
      <c r="O134" t="inlineStr">
        <is>
          <t>20230720</t>
        </is>
      </c>
      <c r="P134" t="inlineStr">
        <is>
          <t>Sumatera Selatan</t>
        </is>
      </c>
      <c r="Q134" t="inlineStr"/>
    </row>
    <row r="135">
      <c r="A135" t="inlineStr">
        <is>
          <t>SAUNG PERADABAN</t>
        </is>
      </c>
      <c r="B135" t="inlineStr">
        <is>
          <t>Kab. Bandung</t>
        </is>
      </c>
      <c r="C135" t="inlineStr">
        <is>
          <t>085794300738</t>
        </is>
      </c>
      <c r="D135" t="inlineStr">
        <is>
          <t>saungperadaban.cv@gmail.com</t>
        </is>
      </c>
      <c r="E135" t="inlineStr">
        <is>
          <t>https://lpjk.pu.go.id/search-badan-usaha-detail/Ky9pWUduem9saUNibStESm1yMTJxZz09</t>
        </is>
      </c>
      <c r="F135" t="n">
        <v>2</v>
      </c>
      <c r="G135" t="inlineStr">
        <is>
          <t>BG002, BG009</t>
        </is>
      </c>
      <c r="H135" t="inlineStr">
        <is>
          <t>12 Oktober 2022</t>
        </is>
      </c>
      <c r="I135" s="2" t="n">
        <v>46229</v>
      </c>
      <c r="J135" t="inlineStr">
        <is>
          <t>Disetujui</t>
        </is>
      </c>
      <c r="K135" t="n">
        <v>30</v>
      </c>
      <c r="L135" t="inlineStr">
        <is>
          <t>26 Juli 2026</t>
        </is>
      </c>
      <c r="M135" t="inlineStr">
        <is>
          <t>Konstruksi Gedung Lainnya, Konstruksi Gedung Perkantoran</t>
        </is>
      </c>
      <c r="N135" t="inlineStr">
        <is>
          <t>K</t>
        </is>
      </c>
      <c r="O135" t="inlineStr">
        <is>
          <t>20230725</t>
        </is>
      </c>
      <c r="P135" t="inlineStr">
        <is>
          <t>Jawa Barat</t>
        </is>
      </c>
      <c r="Q135" t="inlineStr"/>
    </row>
    <row r="136">
      <c r="A136" t="inlineStr">
        <is>
          <t>SENTOSA KARYA</t>
        </is>
      </c>
      <c r="B136" t="inlineStr">
        <is>
          <t>Kab. Banyumas</t>
        </is>
      </c>
      <c r="C136" t="inlineStr">
        <is>
          <t>02816840995</t>
        </is>
      </c>
      <c r="D136" t="inlineStr">
        <is>
          <t>sentosakarya89@yahoo.co.id</t>
        </is>
      </c>
      <c r="E136" t="inlineStr">
        <is>
          <t>https://lpjk.pu.go.id/search-badan-usaha-detail/UzUvdDFkZDlFUVp1NEswZUVKN2V1Zz09</t>
        </is>
      </c>
      <c r="F136" t="n">
        <v>1</v>
      </c>
      <c r="G136" t="inlineStr">
        <is>
          <t>BS001</t>
        </is>
      </c>
      <c r="H136" t="inlineStr">
        <is>
          <t>12 April 2012</t>
        </is>
      </c>
      <c r="I136" s="2" t="n">
        <v>46229</v>
      </c>
      <c r="J136" t="inlineStr">
        <is>
          <t>Disetujui</t>
        </is>
      </c>
      <c r="K136" t="n">
        <v>30</v>
      </c>
      <c r="L136" t="inlineStr">
        <is>
          <t>26 Juli 2026</t>
        </is>
      </c>
      <c r="M136" t="inlineStr">
        <is>
          <t>Konstruksi Bangunan Sipil Jalan</t>
        </is>
      </c>
      <c r="N136" t="inlineStr">
        <is>
          <t>K</t>
        </is>
      </c>
      <c r="O136" t="inlineStr">
        <is>
          <t>20230727</t>
        </is>
      </c>
      <c r="P136" t="inlineStr">
        <is>
          <t>Jawa Tengah</t>
        </is>
      </c>
      <c r="Q136" t="inlineStr"/>
    </row>
    <row r="137">
      <c r="A137" t="inlineStr">
        <is>
          <t>SINAR BINTANG FAJAR</t>
        </is>
      </c>
      <c r="B137" t="inlineStr">
        <is>
          <t>Kab. Biak Numfor</t>
        </is>
      </c>
      <c r="C137" t="inlineStr">
        <is>
          <t>081344434619</t>
        </is>
      </c>
      <c r="D137" t="inlineStr">
        <is>
          <t>sinarbintangfajarcv@gmail.com</t>
        </is>
      </c>
      <c r="E137" t="inlineStr">
        <is>
          <t>https://lpjk.pu.go.id/search-badan-usaha-detail/anVFcjFRcHVNYVpXdWpUeGRhTnZUdz09</t>
        </is>
      </c>
      <c r="F137" t="n">
        <v>1</v>
      </c>
      <c r="G137" t="inlineStr">
        <is>
          <t>BG002</t>
        </is>
      </c>
      <c r="H137" t="inlineStr">
        <is>
          <t>20 April 2007</t>
        </is>
      </c>
      <c r="I137" s="2" t="n">
        <v>46229</v>
      </c>
      <c r="J137" t="inlineStr">
        <is>
          <t>Disetujui</t>
        </is>
      </c>
      <c r="K137" t="n">
        <v>30</v>
      </c>
      <c r="L137" t="inlineStr">
        <is>
          <t>26 Juli 2026</t>
        </is>
      </c>
      <c r="M137" t="inlineStr">
        <is>
          <t>Konstruksi Gedung Perkantoran</t>
        </is>
      </c>
      <c r="N137" t="inlineStr">
        <is>
          <t>K</t>
        </is>
      </c>
      <c r="O137" t="inlineStr">
        <is>
          <t>20230726</t>
        </is>
      </c>
      <c r="P137" t="inlineStr">
        <is>
          <t>Papua</t>
        </is>
      </c>
      <c r="Q137" t="inlineStr"/>
    </row>
    <row r="138">
      <c r="A138" t="inlineStr">
        <is>
          <t>SINAR HARAPAN MARUNSU</t>
        </is>
      </c>
      <c r="B138" t="inlineStr">
        <is>
          <t>Kab. Bengkayang</t>
        </is>
      </c>
      <c r="C138" t="inlineStr">
        <is>
          <t>085828054906</t>
        </is>
      </c>
      <c r="D138" t="inlineStr">
        <is>
          <t>sinarharapanmarunsu67@gmail.com</t>
        </is>
      </c>
      <c r="E138" t="inlineStr">
        <is>
          <t>https://lpjk.pu.go.id/search-badan-usaha-detail/Um94eEI2QVBqQkhEa3orYWp3M0h3UT09</t>
        </is>
      </c>
      <c r="F138" t="n">
        <v>1</v>
      </c>
      <c r="G138" t="inlineStr">
        <is>
          <t>BS002</t>
        </is>
      </c>
      <c r="H138" t="inlineStr">
        <is>
          <t>15 Juni 2023</t>
        </is>
      </c>
      <c r="I138" s="2" t="n">
        <v>46229</v>
      </c>
      <c r="J138" t="inlineStr">
        <is>
          <t>Disetujui</t>
        </is>
      </c>
      <c r="K138" t="n">
        <v>30</v>
      </c>
      <c r="L138" t="inlineStr">
        <is>
          <t>26 Juli 2026</t>
        </is>
      </c>
      <c r="M138" t="inlineStr">
        <is>
          <t>Bangunan Sipil Jembatan, Jalan Layang, Fly Over, dan Underpass</t>
        </is>
      </c>
      <c r="N138" t="inlineStr">
        <is>
          <t>K</t>
        </is>
      </c>
      <c r="O138" t="inlineStr">
        <is>
          <t>20230725</t>
        </is>
      </c>
      <c r="P138" t="inlineStr">
        <is>
          <t>Kalimantan Barat</t>
        </is>
      </c>
      <c r="Q138" t="inlineStr"/>
    </row>
    <row r="139">
      <c r="A139" t="inlineStr">
        <is>
          <t>SINAR NAGA EMAS</t>
        </is>
      </c>
      <c r="B139" t="inlineStr">
        <is>
          <t>Kota Kupang</t>
        </is>
      </c>
      <c r="C139" t="inlineStr">
        <is>
          <t>081239421011</t>
        </is>
      </c>
      <c r="D139" t="inlineStr">
        <is>
          <t>sinarnagaemas@gmail.com</t>
        </is>
      </c>
      <c r="E139" t="inlineStr">
        <is>
          <t>https://lpjk.pu.go.id/search-badan-usaha-detail/bzk1bjBacWs0Q3R4NXVCemZGMUhsZz09</t>
        </is>
      </c>
      <c r="F139" t="n">
        <v>1</v>
      </c>
      <c r="G139" t="inlineStr">
        <is>
          <t>BS004</t>
        </is>
      </c>
      <c r="H139" t="inlineStr">
        <is>
          <t>15 Mei 2012</t>
        </is>
      </c>
      <c r="I139" s="2" t="n">
        <v>46229</v>
      </c>
      <c r="J139" t="inlineStr">
        <is>
          <t>Disetujui</t>
        </is>
      </c>
      <c r="K139" t="n">
        <v>30</v>
      </c>
      <c r="L139" t="inlineStr">
        <is>
          <t>26 Juli 2026</t>
        </is>
      </c>
      <c r="M139" t="inlineStr">
        <is>
          <t>Konstruksi Jaringan Irigasi dan Drainase</t>
        </is>
      </c>
      <c r="N139" t="inlineStr">
        <is>
          <t>K</t>
        </is>
      </c>
      <c r="O139" t="inlineStr">
        <is>
          <t>20230720</t>
        </is>
      </c>
      <c r="P139" t="inlineStr">
        <is>
          <t>Nusa Tenggara Timur</t>
        </is>
      </c>
      <c r="Q139" t="inlineStr"/>
    </row>
    <row r="140">
      <c r="A140" t="inlineStr">
        <is>
          <t>SINAR SETIA</t>
        </is>
      </c>
      <c r="B140" t="inlineStr">
        <is>
          <t>Kab. Jombang</t>
        </is>
      </c>
      <c r="C140" t="inlineStr">
        <is>
          <t>08125298091</t>
        </is>
      </c>
      <c r="D140" t="inlineStr">
        <is>
          <t>cvsinarsetiajombang@yahoo.com</t>
        </is>
      </c>
      <c r="E140" t="inlineStr">
        <is>
          <t>https://lpjk.pu.go.id/search-badan-usaha-detail/Nk5pb0lYWWZPcTBJTDg2Q2ttYzNDUT09</t>
        </is>
      </c>
      <c r="F140" t="n">
        <v>1</v>
      </c>
      <c r="G140" t="inlineStr">
        <is>
          <t>BS001</t>
        </is>
      </c>
      <c r="H140" t="inlineStr">
        <is>
          <t>23 Mei 2013</t>
        </is>
      </c>
      <c r="I140" s="2" t="n">
        <v>46229</v>
      </c>
      <c r="J140" t="inlineStr">
        <is>
          <t>Disetujui</t>
        </is>
      </c>
      <c r="K140" t="n">
        <v>30</v>
      </c>
      <c r="L140" t="inlineStr">
        <is>
          <t>26 Juli 2026</t>
        </is>
      </c>
      <c r="M140" t="inlineStr">
        <is>
          <t>Konstruksi Bangunan Sipil Jalan</t>
        </is>
      </c>
      <c r="N140" t="inlineStr">
        <is>
          <t>K</t>
        </is>
      </c>
      <c r="O140" t="inlineStr">
        <is>
          <t>20230711</t>
        </is>
      </c>
      <c r="P140" t="inlineStr">
        <is>
          <t>Jawa Timur</t>
        </is>
      </c>
      <c r="Q140" t="inlineStr"/>
    </row>
    <row r="141">
      <c r="A141" t="inlineStr">
        <is>
          <t>SINDANGKASIH MULTI USAHA KABUPATEN MAJALENGKA</t>
        </is>
      </c>
      <c r="B141" t="inlineStr">
        <is>
          <t>Kab. Majalengka</t>
        </is>
      </c>
      <c r="C141" t="inlineStr">
        <is>
          <t>02338287118</t>
        </is>
      </c>
      <c r="D141" t="inlineStr">
        <is>
          <t>info@ptsmu.co.id</t>
        </is>
      </c>
      <c r="E141" t="inlineStr">
        <is>
          <t>https://lpjk.pu.go.id/search-badan-usaha-detail/Qlk1Y0JqK1lXNHF2U2FySzdqM0NIZz09</t>
        </is>
      </c>
      <c r="F141" t="n">
        <v>2</v>
      </c>
      <c r="G141" t="inlineStr">
        <is>
          <t>BS001</t>
        </is>
      </c>
      <c r="H141" t="inlineStr">
        <is>
          <t>5 April 2022</t>
        </is>
      </c>
      <c r="I141" s="2" t="n">
        <v>46229</v>
      </c>
      <c r="J141" t="inlineStr">
        <is>
          <t>Pencabutan</t>
        </is>
      </c>
      <c r="K141" t="n">
        <v>30</v>
      </c>
      <c r="L141" t="inlineStr">
        <is>
          <t>26 Juli 2026</t>
        </is>
      </c>
      <c r="M141" t="inlineStr">
        <is>
          <t>Konstruksi Bangunan Sipil Jalan</t>
        </is>
      </c>
      <c r="N141" t="inlineStr">
        <is>
          <t>K</t>
        </is>
      </c>
      <c r="O141" t="inlineStr">
        <is>
          <t>20230626</t>
        </is>
      </c>
      <c r="P141" t="inlineStr">
        <is>
          <t>Jawa Barat</t>
        </is>
      </c>
      <c r="Q141" t="inlineStr"/>
    </row>
    <row r="142">
      <c r="A142" t="inlineStr">
        <is>
          <t>SOKOGI REKSACIPTA</t>
        </is>
      </c>
      <c r="B142" t="inlineStr">
        <is>
          <t>Kab. Wonogiri</t>
        </is>
      </c>
      <c r="C142" t="inlineStr">
        <is>
          <t>081329424629</t>
        </is>
      </c>
      <c r="D142" t="inlineStr">
        <is>
          <t>sokogireksacipta@gmail.com</t>
        </is>
      </c>
      <c r="E142" t="inlineStr">
        <is>
          <t>https://lpjk.pu.go.id/search-badan-usaha-detail/VlVoSWtGVjN6c05RYWFqanhPTXdDdz09</t>
        </is>
      </c>
      <c r="F142" t="n">
        <v>4</v>
      </c>
      <c r="G142" t="inlineStr">
        <is>
          <t>AR001, RK001, RK002, RK003</t>
        </is>
      </c>
      <c r="H142" t="inlineStr">
        <is>
          <t>3 Maret 2010</t>
        </is>
      </c>
      <c r="I142" s="2" t="n">
        <v>46229</v>
      </c>
      <c r="J142" t="inlineStr">
        <is>
          <t>Disetujui, Pencabutan</t>
        </is>
      </c>
      <c r="K142" t="n">
        <v>30</v>
      </c>
      <c r="L142" t="inlineStr">
        <is>
          <t>26 Juli 2026</t>
        </is>
      </c>
      <c r="M142" t="inlineStr">
        <is>
          <t>Jasa Arsitektural Bangunan Gedung Hunian dan Non Hunian, Jasa Rekayasa Konstruksi Bangunan Gedung Hunian dan Non Hunian, Jasa Rekayasa Pekerjaan Teknik Sipil Sumber Daya Air, Jasa Rekayasa Pekerjaan Teknik Sipil Transportasi</t>
        </is>
      </c>
      <c r="N142" t="inlineStr">
        <is>
          <t>K</t>
        </is>
      </c>
      <c r="O142" t="inlineStr">
        <is>
          <t>20230703, 20230724</t>
        </is>
      </c>
      <c r="P142" t="inlineStr">
        <is>
          <t>Jawa Tengah</t>
        </is>
      </c>
      <c r="Q142" t="inlineStr"/>
    </row>
    <row r="143">
      <c r="A143" t="inlineStr">
        <is>
          <t>SUMBER AGUNG</t>
        </is>
      </c>
      <c r="B143" t="inlineStr">
        <is>
          <t>Kota Metro</t>
        </is>
      </c>
      <c r="C143" t="inlineStr">
        <is>
          <t>08127914500</t>
        </is>
      </c>
      <c r="D143" t="inlineStr">
        <is>
          <t>sumberagung17cv@gmail.com</t>
        </is>
      </c>
      <c r="E143" t="inlineStr">
        <is>
          <t>https://lpjk.pu.go.id/search-badan-usaha-detail/Wjh5anVkanBuUDViYnJybGxiaFJZZz09</t>
        </is>
      </c>
      <c r="F143" t="n">
        <v>1</v>
      </c>
      <c r="G143" t="inlineStr">
        <is>
          <t>BG009</t>
        </is>
      </c>
      <c r="H143" t="inlineStr">
        <is>
          <t>5 September 2017</t>
        </is>
      </c>
      <c r="I143" s="2" t="n">
        <v>46229</v>
      </c>
      <c r="J143" t="inlineStr">
        <is>
          <t>Disetujui</t>
        </is>
      </c>
      <c r="K143" t="n">
        <v>30</v>
      </c>
      <c r="L143" t="inlineStr">
        <is>
          <t>26 Juli 2026</t>
        </is>
      </c>
      <c r="M143" t="inlineStr">
        <is>
          <t>Konstruksi Gedung Lainnya</t>
        </is>
      </c>
      <c r="N143" t="inlineStr">
        <is>
          <t>K</t>
        </is>
      </c>
      <c r="O143" t="inlineStr">
        <is>
          <t>20230718</t>
        </is>
      </c>
      <c r="P143" t="inlineStr">
        <is>
          <t>Lampung</t>
        </is>
      </c>
      <c r="Q143" t="inlineStr"/>
    </row>
    <row r="144">
      <c r="A144" t="inlineStr">
        <is>
          <t>SUMBER REJEKI</t>
        </is>
      </c>
      <c r="B144" t="inlineStr">
        <is>
          <t>Kab. Banyuwangi</t>
        </is>
      </c>
      <c r="C144" t="inlineStr">
        <is>
          <t>082236049205</t>
        </is>
      </c>
      <c r="D144" t="inlineStr">
        <is>
          <t>sumberrejekicv05@gmail.com</t>
        </is>
      </c>
      <c r="E144" t="inlineStr">
        <is>
          <t>https://lpjk.pu.go.id/search-badan-usaha-detail/bTFmMDlkOXR6a3dwM0cxbnJkdFpDQT09</t>
        </is>
      </c>
      <c r="F144" t="n">
        <v>1</v>
      </c>
      <c r="G144" t="inlineStr">
        <is>
          <t>BS001</t>
        </is>
      </c>
      <c r="H144" t="inlineStr">
        <is>
          <t>5 Juli 2013</t>
        </is>
      </c>
      <c r="I144" s="2" t="n">
        <v>46229</v>
      </c>
      <c r="J144" t="inlineStr">
        <is>
          <t>Disetujui</t>
        </is>
      </c>
      <c r="K144" t="n">
        <v>30</v>
      </c>
      <c r="L144" t="inlineStr">
        <is>
          <t>26 Juli 2026</t>
        </is>
      </c>
      <c r="M144" t="inlineStr">
        <is>
          <t>Konstruksi Bangunan Sipil Jalan</t>
        </is>
      </c>
      <c r="N144" t="inlineStr">
        <is>
          <t>K</t>
        </is>
      </c>
      <c r="O144" t="inlineStr">
        <is>
          <t>20230721</t>
        </is>
      </c>
      <c r="P144" t="inlineStr">
        <is>
          <t>Jawa Timur</t>
        </is>
      </c>
      <c r="Q144" t="inlineStr"/>
    </row>
    <row r="145">
      <c r="A145" t="inlineStr">
        <is>
          <t>SUMBER RESKY ABADI</t>
        </is>
      </c>
      <c r="B145" t="inlineStr">
        <is>
          <t>Kab. Soppeng</t>
        </is>
      </c>
      <c r="C145" t="inlineStr">
        <is>
          <t>081355846777</t>
        </is>
      </c>
      <c r="D145" t="inlineStr">
        <is>
          <t>sumber_resky_abadi@yahoo.co.id</t>
        </is>
      </c>
      <c r="E145" t="inlineStr">
        <is>
          <t>https://lpjk.pu.go.id/search-badan-usaha-detail/bW1sVW1mNjdtTkJEZXNOS1R0Rm9iUT09</t>
        </is>
      </c>
      <c r="F145" t="n">
        <v>1</v>
      </c>
      <c r="G145" t="inlineStr">
        <is>
          <t>BS010</t>
        </is>
      </c>
      <c r="H145" t="inlineStr">
        <is>
          <t>4 Juni 2012</t>
        </is>
      </c>
      <c r="I145" s="2" t="n">
        <v>46229</v>
      </c>
      <c r="J145" t="inlineStr">
        <is>
          <t>Disetujui</t>
        </is>
      </c>
      <c r="K145" t="n">
        <v>30</v>
      </c>
      <c r="L145" t="inlineStr">
        <is>
          <t>26 Juli 2026</t>
        </is>
      </c>
      <c r="M145" t="inlineStr">
        <is>
          <t>Konstruksi Bangunan Prasarana Sumber Daya Air</t>
        </is>
      </c>
      <c r="N145" t="inlineStr">
        <is>
          <t>K</t>
        </is>
      </c>
      <c r="O145" t="inlineStr">
        <is>
          <t>20230727</t>
        </is>
      </c>
      <c r="P145" t="inlineStr">
        <is>
          <t>Sulawesi Selatan</t>
        </is>
      </c>
      <c r="Q145" t="inlineStr"/>
    </row>
    <row r="146">
      <c r="A146" t="inlineStr">
        <is>
          <t>SWARNA CINDE RAYA</t>
        </is>
      </c>
      <c r="B146" t="inlineStr">
        <is>
          <t>Kota Palembang</t>
        </is>
      </c>
      <c r="C146" t="inlineStr">
        <is>
          <t>0811711714</t>
        </is>
      </c>
      <c r="D146" t="inlineStr">
        <is>
          <t>admin@swarnacinderaya.com</t>
        </is>
      </c>
      <c r="E146" t="inlineStr">
        <is>
          <t>https://lpjk.pu.go.id/search-badan-usaha-detail/akRPYXRFTnB2OS94RTZXTjRhNXBWZz09</t>
        </is>
      </c>
      <c r="F146" t="n">
        <v>4</v>
      </c>
      <c r="G146" t="inlineStr">
        <is>
          <t>BS001, BS002, BS011, KK001</t>
        </is>
      </c>
      <c r="H146" t="inlineStr">
        <is>
          <t>23 Maret 2004</t>
        </is>
      </c>
      <c r="I146" s="2" t="n">
        <v>46229</v>
      </c>
      <c r="J146" t="inlineStr">
        <is>
          <t>Disetujui</t>
        </is>
      </c>
      <c r="K146" t="n">
        <v>30</v>
      </c>
      <c r="L146" t="inlineStr">
        <is>
          <t>26 Juli 2026</t>
        </is>
      </c>
      <c r="M146" t="inlineStr">
        <is>
          <t>Bangunan Sipil Jembatan, Jalan Layang, Fly Over, dan Underpass, Konstruksi Bangunan Pelabuhan Bukan Perikanan, Konstruksi Bangunan Sipil Jalan, Pondasi Konstruksi</t>
        </is>
      </c>
      <c r="N146" t="inlineStr">
        <is>
          <t>M, Spesialis</t>
        </is>
      </c>
      <c r="O146" t="inlineStr">
        <is>
          <t>20230723</t>
        </is>
      </c>
      <c r="P146" t="inlineStr">
        <is>
          <t>Sumatera Selatan</t>
        </is>
      </c>
      <c r="Q146" t="inlineStr"/>
    </row>
    <row r="147">
      <c r="A147" t="inlineStr">
        <is>
          <t>TEKNO FLUIDA INDONESIA</t>
        </is>
      </c>
      <c r="B147" t="inlineStr">
        <is>
          <t>Kota Tangerang Selatan</t>
        </is>
      </c>
      <c r="C147" t="inlineStr">
        <is>
          <t>02175876582</t>
        </is>
      </c>
      <c r="D147" t="inlineStr">
        <is>
          <t>info@teknofluida.id</t>
        </is>
      </c>
      <c r="E147" t="inlineStr">
        <is>
          <t>https://lpjk.pu.go.id/search-badan-usaha-detail/ckF4Skk3TnlkK1FyaEdZQWcvRzdrUT09</t>
        </is>
      </c>
      <c r="F147" t="n">
        <v>1</v>
      </c>
      <c r="G147" t="inlineStr">
        <is>
          <t>IN006</t>
        </is>
      </c>
      <c r="H147" t="inlineStr">
        <is>
          <t>22 November 2011</t>
        </is>
      </c>
      <c r="I147" s="2" t="n">
        <v>46229</v>
      </c>
      <c r="J147" t="inlineStr">
        <is>
          <t>Disetujui</t>
        </is>
      </c>
      <c r="K147" t="n">
        <v>30</v>
      </c>
      <c r="L147" t="inlineStr">
        <is>
          <t>26 Juli 2026</t>
        </is>
      </c>
      <c r="M147" t="inlineStr">
        <is>
          <t>Instalasi Elektronika</t>
        </is>
      </c>
      <c r="N147" t="inlineStr">
        <is>
          <t>Spesialis</t>
        </is>
      </c>
      <c r="O147" t="inlineStr">
        <is>
          <t>20230714</t>
        </is>
      </c>
      <c r="P147" t="inlineStr">
        <is>
          <t>Banten</t>
        </is>
      </c>
      <c r="Q147" t="inlineStr"/>
    </row>
    <row r="148">
      <c r="A148" t="inlineStr">
        <is>
          <t>TELU KONCO MANDIRI</t>
        </is>
      </c>
      <c r="B148" t="inlineStr">
        <is>
          <t>Kab. Mempawah</t>
        </is>
      </c>
      <c r="C148" t="inlineStr">
        <is>
          <t>089632236236</t>
        </is>
      </c>
      <c r="D148" t="inlineStr">
        <is>
          <t>koncomandiri@yahoo.co.id</t>
        </is>
      </c>
      <c r="E148" t="inlineStr">
        <is>
          <t>https://lpjk.pu.go.id/search-badan-usaha-detail/ZFpZWHJDSFpUanBqaWdkcTlWRWFVdz09</t>
        </is>
      </c>
      <c r="F148" t="n">
        <v>4</v>
      </c>
      <c r="G148" t="inlineStr">
        <is>
          <t>BG005, BG006, BS001, BS005</t>
        </is>
      </c>
      <c r="H148" t="inlineStr">
        <is>
          <t>9 April 2007</t>
        </is>
      </c>
      <c r="I148" s="2" t="n">
        <v>46229</v>
      </c>
      <c r="J148" t="inlineStr">
        <is>
          <t>Disetujui</t>
        </is>
      </c>
      <c r="K148" t="n">
        <v>30</v>
      </c>
      <c r="L148" t="inlineStr">
        <is>
          <t>26 Juli 2026</t>
        </is>
      </c>
      <c r="M148" t="inlineStr">
        <is>
          <t>Konstruksi Bangunan Sipil Jalan, Konstruksi Bangunan Sipil Pengolahan Air Bersih, Konstruksi Gedung Kesehatan, Konstruksi Gedung Pendidikan</t>
        </is>
      </c>
      <c r="N148" t="inlineStr">
        <is>
          <t>K</t>
        </is>
      </c>
      <c r="O148" t="inlineStr">
        <is>
          <t>20230724, 20230725</t>
        </is>
      </c>
      <c r="P148" t="inlineStr">
        <is>
          <t>Kalimantan Barat</t>
        </is>
      </c>
      <c r="Q148" t="inlineStr"/>
    </row>
    <row r="149">
      <c r="A149" t="inlineStr">
        <is>
          <t>TERATAI INDAH MAKMUR</t>
        </is>
      </c>
      <c r="B149" t="inlineStr">
        <is>
          <t>Kab. Sumbawa Barat</t>
        </is>
      </c>
      <c r="C149" t="inlineStr">
        <is>
          <t>082145581293</t>
        </is>
      </c>
      <c r="D149" t="inlineStr">
        <is>
          <t>terataiindahmakmur23@gmail.com</t>
        </is>
      </c>
      <c r="E149" t="inlineStr">
        <is>
          <t>https://lpjk.pu.go.id/search-badan-usaha-detail/RGhzZzY4b1JkSkFPWmxPc0w2UkNNUT09</t>
        </is>
      </c>
      <c r="F149" t="n">
        <v>1</v>
      </c>
      <c r="G149" t="inlineStr">
        <is>
          <t>BS001</t>
        </is>
      </c>
      <c r="H149" t="inlineStr">
        <is>
          <t>17 Januari 2023</t>
        </is>
      </c>
      <c r="I149" s="2" t="n">
        <v>46229</v>
      </c>
      <c r="J149" t="inlineStr">
        <is>
          <t>Disetujui</t>
        </is>
      </c>
      <c r="K149" t="n">
        <v>30</v>
      </c>
      <c r="L149" t="inlineStr">
        <is>
          <t>26 Juli 2026</t>
        </is>
      </c>
      <c r="M149" t="inlineStr">
        <is>
          <t>Konstruksi Bangunan Sipil Jalan</t>
        </is>
      </c>
      <c r="N149" t="inlineStr">
        <is>
          <t>K</t>
        </is>
      </c>
      <c r="O149" t="inlineStr">
        <is>
          <t>20230713</t>
        </is>
      </c>
      <c r="P149" t="inlineStr">
        <is>
          <t>Nusa Tenggara Barat</t>
        </is>
      </c>
      <c r="Q149" t="inlineStr"/>
    </row>
    <row r="150">
      <c r="A150" t="inlineStr">
        <is>
          <t>TIGA MITRA KARYA</t>
        </is>
      </c>
      <c r="B150" t="inlineStr">
        <is>
          <t>Kab. Kutai Timur</t>
        </is>
      </c>
      <c r="C150" t="inlineStr">
        <is>
          <t>081289821414</t>
        </is>
      </c>
      <c r="D150" t="inlineStr">
        <is>
          <t>tigamitrakarya.cv@gmail.com</t>
        </is>
      </c>
      <c r="E150" t="inlineStr">
        <is>
          <t>https://lpjk.pu.go.id/search-badan-usaha-detail/SU5tbVpGMHJhRjZKeEVOZE5vOTFCQT09</t>
        </is>
      </c>
      <c r="F150" t="n">
        <v>1</v>
      </c>
      <c r="G150" t="inlineStr">
        <is>
          <t>BS004</t>
        </is>
      </c>
      <c r="H150" t="inlineStr">
        <is>
          <t>26 November 2019</t>
        </is>
      </c>
      <c r="I150" s="2" t="n">
        <v>46229</v>
      </c>
      <c r="J150" t="inlineStr">
        <is>
          <t>Pencabutan</t>
        </is>
      </c>
      <c r="K150" t="n">
        <v>30</v>
      </c>
      <c r="L150" t="inlineStr">
        <is>
          <t>26 Juli 2026</t>
        </is>
      </c>
      <c r="M150" t="inlineStr">
        <is>
          <t>Konstruksi Jaringan Irigasi dan Drainase</t>
        </is>
      </c>
      <c r="N150" t="inlineStr">
        <is>
          <t>K</t>
        </is>
      </c>
      <c r="O150" t="inlineStr">
        <is>
          <t>20230726</t>
        </is>
      </c>
      <c r="P150" t="inlineStr">
        <is>
          <t>Kalimantan Timur</t>
        </is>
      </c>
      <c r="Q150" t="inlineStr"/>
    </row>
    <row r="151">
      <c r="A151" t="inlineStr">
        <is>
          <t>TOYA ARTA</t>
        </is>
      </c>
      <c r="B151" t="inlineStr">
        <is>
          <t>Kab. Ciamis</t>
        </is>
      </c>
      <c r="C151" t="inlineStr">
        <is>
          <t>081283169596</t>
        </is>
      </c>
      <c r="D151" t="inlineStr">
        <is>
          <t>toyaarta.cv@gmail.com</t>
        </is>
      </c>
      <c r="E151" t="inlineStr">
        <is>
          <t>https://lpjk.pu.go.id/search-badan-usaha-detail/alppMEVTVTBrZFlJcDhxaTJJOEY4UT09</t>
        </is>
      </c>
      <c r="F151" t="n">
        <v>1</v>
      </c>
      <c r="G151" t="inlineStr">
        <is>
          <t>BG008</t>
        </is>
      </c>
      <c r="H151" t="inlineStr">
        <is>
          <t>25 November 2022</t>
        </is>
      </c>
      <c r="I151" s="2" t="n">
        <v>46229</v>
      </c>
      <c r="J151" t="inlineStr">
        <is>
          <t>Disetujui</t>
        </is>
      </c>
      <c r="K151" t="n">
        <v>30</v>
      </c>
      <c r="L151" t="inlineStr">
        <is>
          <t>26 Juli 2026</t>
        </is>
      </c>
      <c r="M151" t="inlineStr">
        <is>
          <t>Konstruksi Gedung Tempat Hiburan dan Olahraga</t>
        </is>
      </c>
      <c r="N151" t="inlineStr">
        <is>
          <t>K</t>
        </is>
      </c>
      <c r="O151" t="inlineStr">
        <is>
          <t>20230725</t>
        </is>
      </c>
      <c r="P151" t="inlineStr">
        <is>
          <t>Jawa Barat</t>
        </is>
      </c>
      <c r="Q151" t="inlineStr"/>
    </row>
    <row r="152">
      <c r="A152" t="inlineStr">
        <is>
          <t>TRI ABADI JAYA</t>
        </is>
      </c>
      <c r="B152" t="inlineStr">
        <is>
          <t>Kab. Muara Enim</t>
        </is>
      </c>
      <c r="C152" t="inlineStr">
        <is>
          <t>08127896844</t>
        </is>
      </c>
      <c r="D152" t="inlineStr">
        <is>
          <t>cv.trijayaabadi687@gmail.com</t>
        </is>
      </c>
      <c r="E152" t="inlineStr">
        <is>
          <t>https://lpjk.pu.go.id/search-badan-usaha-detail/RnVIL212Smt3MTNPM3l2NjNSRDcyZz09</t>
        </is>
      </c>
      <c r="F152" t="n">
        <v>1</v>
      </c>
      <c r="G152" t="inlineStr">
        <is>
          <t>BG006</t>
        </is>
      </c>
      <c r="H152" t="inlineStr">
        <is>
          <t>10 September 2021</t>
        </is>
      </c>
      <c r="I152" s="2" t="n">
        <v>46229</v>
      </c>
      <c r="J152" t="inlineStr">
        <is>
          <t>Disetujui</t>
        </is>
      </c>
      <c r="K152" t="n">
        <v>30</v>
      </c>
      <c r="L152" t="inlineStr">
        <is>
          <t>26 Juli 2026</t>
        </is>
      </c>
      <c r="M152" t="inlineStr">
        <is>
          <t>Konstruksi Gedung Pendidikan</t>
        </is>
      </c>
      <c r="N152" t="inlineStr">
        <is>
          <t>K</t>
        </is>
      </c>
      <c r="O152" t="inlineStr">
        <is>
          <t>20230627</t>
        </is>
      </c>
      <c r="P152" t="inlineStr">
        <is>
          <t>Sumatera Selatan</t>
        </is>
      </c>
      <c r="Q152" t="inlineStr"/>
    </row>
    <row r="153">
      <c r="A153" t="inlineStr">
        <is>
          <t>TRI ASA CITRA ABADI</t>
        </is>
      </c>
      <c r="B153" t="inlineStr">
        <is>
          <t>Kab. Badung</t>
        </is>
      </c>
      <c r="C153" t="inlineStr">
        <is>
          <t>08123970925</t>
        </is>
      </c>
      <c r="D153" t="inlineStr">
        <is>
          <t>pt.triasacitraabadi@yahoo.co.id</t>
        </is>
      </c>
      <c r="E153" t="inlineStr">
        <is>
          <t>https://lpjk.pu.go.id/search-badan-usaha-detail/NEE1Vm9KMGFKY1BWSzhSUzRjUEFzQT09</t>
        </is>
      </c>
      <c r="F153" t="n">
        <v>1</v>
      </c>
      <c r="G153" t="inlineStr">
        <is>
          <t>BS001</t>
        </is>
      </c>
      <c r="H153" t="inlineStr">
        <is>
          <t>2 Juli 1999</t>
        </is>
      </c>
      <c r="I153" s="2" t="n">
        <v>46229</v>
      </c>
      <c r="J153" t="inlineStr">
        <is>
          <t>Disetujui</t>
        </is>
      </c>
      <c r="K153" t="n">
        <v>30</v>
      </c>
      <c r="L153" t="inlineStr">
        <is>
          <t>26 Juli 2026</t>
        </is>
      </c>
      <c r="M153" t="inlineStr">
        <is>
          <t>Konstruksi Bangunan Sipil Jalan</t>
        </is>
      </c>
      <c r="N153" t="inlineStr">
        <is>
          <t>K</t>
        </is>
      </c>
      <c r="O153" t="inlineStr">
        <is>
          <t>20230721</t>
        </is>
      </c>
      <c r="P153" t="inlineStr">
        <is>
          <t>Bali</t>
        </is>
      </c>
      <c r="Q153" t="inlineStr"/>
    </row>
    <row r="154">
      <c r="A154" t="inlineStr">
        <is>
          <t>TRI SANDYA DESAIN ARSITEKTUR</t>
        </is>
      </c>
      <c r="B154" t="inlineStr">
        <is>
          <t>Kota Adm. Jakarta Selatan</t>
        </is>
      </c>
      <c r="C154" t="inlineStr">
        <is>
          <t>082194060606</t>
        </is>
      </c>
      <c r="D154" t="inlineStr">
        <is>
          <t>pt.trisandyadesainarsitektur@gmail.com</t>
        </is>
      </c>
      <c r="E154" t="inlineStr">
        <is>
          <t>https://lpjk.pu.go.id/search-badan-usaha-detail/eFhkVU1DbDRkbWtJZHZPZ0tLUG04QT09</t>
        </is>
      </c>
      <c r="F154" t="n">
        <v>1</v>
      </c>
      <c r="G154" t="inlineStr">
        <is>
          <t>BG005</t>
        </is>
      </c>
      <c r="H154" t="inlineStr">
        <is>
          <t>30 Mei 2023</t>
        </is>
      </c>
      <c r="I154" s="2" t="n">
        <v>46229</v>
      </c>
      <c r="J154" t="inlineStr">
        <is>
          <t>Disetujui</t>
        </is>
      </c>
      <c r="K154" t="n">
        <v>30</v>
      </c>
      <c r="L154" t="inlineStr">
        <is>
          <t>26 Juli 2026</t>
        </is>
      </c>
      <c r="M154" t="inlineStr">
        <is>
          <t>Konstruksi Gedung Kesehatan</t>
        </is>
      </c>
      <c r="N154" t="inlineStr">
        <is>
          <t>K</t>
        </is>
      </c>
      <c r="O154" t="inlineStr">
        <is>
          <t>20230726</t>
        </is>
      </c>
      <c r="P154" t="inlineStr">
        <is>
          <t>DKI Jakarta</t>
        </is>
      </c>
      <c r="Q154" t="inlineStr"/>
    </row>
    <row r="155">
      <c r="A155" t="inlineStr">
        <is>
          <t>TRIADHI PUTRA</t>
        </is>
      </c>
      <c r="B155" t="inlineStr">
        <is>
          <t>Kab. Tojo Una Una</t>
        </is>
      </c>
      <c r="C155" t="inlineStr">
        <is>
          <t>083892342682</t>
        </is>
      </c>
      <c r="D155" t="inlineStr">
        <is>
          <t>tradhiputra86@gmail.com</t>
        </is>
      </c>
      <c r="E155" t="inlineStr">
        <is>
          <t>https://lpjk.pu.go.id/search-badan-usaha-detail/MkVldlArb0pnbm4vNlpEeUVRcFdBZz09</t>
        </is>
      </c>
      <c r="F155" t="n">
        <v>1</v>
      </c>
      <c r="G155" t="inlineStr">
        <is>
          <t>BG006</t>
        </is>
      </c>
      <c r="H155" t="inlineStr">
        <is>
          <t>2 Februari 2007</t>
        </is>
      </c>
      <c r="I155" s="2" t="n">
        <v>46229</v>
      </c>
      <c r="J155" t="inlineStr">
        <is>
          <t>Pencabutan</t>
        </is>
      </c>
      <c r="K155" t="n">
        <v>30</v>
      </c>
      <c r="L155" t="inlineStr">
        <is>
          <t>26 Juli 2026</t>
        </is>
      </c>
      <c r="M155" t="inlineStr">
        <is>
          <t>Konstruksi Gedung Pendidikan</t>
        </is>
      </c>
      <c r="N155" t="inlineStr">
        <is>
          <t>K</t>
        </is>
      </c>
      <c r="O155" t="inlineStr">
        <is>
          <t>20230628</t>
        </is>
      </c>
      <c r="P155" t="inlineStr">
        <is>
          <t>Sulawesi Tengah</t>
        </is>
      </c>
      <c r="Q155" t="inlineStr"/>
    </row>
    <row r="156">
      <c r="A156" t="inlineStr">
        <is>
          <t>TRIPLE ASEJAHTERA</t>
        </is>
      </c>
      <c r="B156" t="inlineStr">
        <is>
          <t>Kab. Lamongan</t>
        </is>
      </c>
      <c r="C156" t="inlineStr">
        <is>
          <t>0895378792255</t>
        </is>
      </c>
      <c r="D156" t="inlineStr">
        <is>
          <t>hj.musjrifah@gmail.com</t>
        </is>
      </c>
      <c r="E156" t="inlineStr">
        <is>
          <t>https://lpjk.pu.go.id/search-badan-usaha-detail/TWNqS0VUYUZMaW02TWRhdFJOR3ZwQT09</t>
        </is>
      </c>
      <c r="F156" t="n">
        <v>1</v>
      </c>
      <c r="G156" t="inlineStr">
        <is>
          <t>BG009</t>
        </is>
      </c>
      <c r="H156" t="inlineStr">
        <is>
          <t>23 Juli 2018</t>
        </is>
      </c>
      <c r="I156" s="2" t="n">
        <v>46229</v>
      </c>
      <c r="J156" t="inlineStr">
        <is>
          <t>Disetujui</t>
        </is>
      </c>
      <c r="K156" t="n">
        <v>30</v>
      </c>
      <c r="L156" t="inlineStr">
        <is>
          <t>26 Juli 2026</t>
        </is>
      </c>
      <c r="M156" t="inlineStr">
        <is>
          <t>Konstruksi Gedung Lainnya</t>
        </is>
      </c>
      <c r="N156" t="inlineStr">
        <is>
          <t>K</t>
        </is>
      </c>
      <c r="O156" t="inlineStr">
        <is>
          <t>20230626</t>
        </is>
      </c>
      <c r="P156" t="inlineStr">
        <is>
          <t>Jawa Timur</t>
        </is>
      </c>
      <c r="Q156" t="inlineStr"/>
    </row>
    <row r="157">
      <c r="A157" t="inlineStr">
        <is>
          <t>TUJUH LANGIT UTARA</t>
        </is>
      </c>
      <c r="B157" t="inlineStr">
        <is>
          <t>Kab. Tanah Bumbu</t>
        </is>
      </c>
      <c r="C157" t="inlineStr">
        <is>
          <t>085251325002</t>
        </is>
      </c>
      <c r="D157" t="inlineStr">
        <is>
          <t>cv.7langit.utara@gmail.com</t>
        </is>
      </c>
      <c r="E157" t="inlineStr">
        <is>
          <t>https://lpjk.pu.go.id/search-badan-usaha-detail/MTcwMkJSMXdPd2V2ZWFOS2tVMmNQQT09</t>
        </is>
      </c>
      <c r="F157" t="n">
        <v>1</v>
      </c>
      <c r="G157" t="inlineStr">
        <is>
          <t>BG005</t>
        </is>
      </c>
      <c r="H157" t="inlineStr">
        <is>
          <t>25 November 2019</t>
        </is>
      </c>
      <c r="I157" s="2" t="n">
        <v>46229</v>
      </c>
      <c r="J157" t="inlineStr">
        <is>
          <t>Disetujui</t>
        </is>
      </c>
      <c r="K157" t="n">
        <v>30</v>
      </c>
      <c r="L157" t="inlineStr">
        <is>
          <t>26 Juli 2026</t>
        </is>
      </c>
      <c r="M157" t="inlineStr">
        <is>
          <t>Konstruksi Gedung Kesehatan</t>
        </is>
      </c>
      <c r="N157" t="inlineStr">
        <is>
          <t>K</t>
        </is>
      </c>
      <c r="O157" t="inlineStr">
        <is>
          <t>20230722</t>
        </is>
      </c>
      <c r="P157" t="inlineStr">
        <is>
          <t>Kalimantan Selatan</t>
        </is>
      </c>
      <c r="Q157" t="inlineStr"/>
    </row>
    <row r="158">
      <c r="A158" t="inlineStr">
        <is>
          <t>TUNAS CIPTA INDAH</t>
        </is>
      </c>
      <c r="B158" t="inlineStr">
        <is>
          <t>Kab. Tangerang</t>
        </is>
      </c>
      <c r="C158" t="inlineStr">
        <is>
          <t>081297286805</t>
        </is>
      </c>
      <c r="D158" t="inlineStr">
        <is>
          <t>tunasciptaindah@gmail.com</t>
        </is>
      </c>
      <c r="E158" t="inlineStr">
        <is>
          <t>https://lpjk.pu.go.id/search-badan-usaha-detail/YkZxMFNFdGRFZTcyU0lWSVM5VzYrQT09</t>
        </is>
      </c>
      <c r="F158" t="n">
        <v>1</v>
      </c>
      <c r="G158" t="inlineStr">
        <is>
          <t>BG004</t>
        </is>
      </c>
      <c r="H158" t="inlineStr">
        <is>
          <t>23 Februari 2023</t>
        </is>
      </c>
      <c r="I158" s="2" t="n">
        <v>46229</v>
      </c>
      <c r="J158" t="inlineStr">
        <is>
          <t>Disetujui</t>
        </is>
      </c>
      <c r="K158" t="n">
        <v>30</v>
      </c>
      <c r="L158" t="inlineStr">
        <is>
          <t>26 Juli 2026</t>
        </is>
      </c>
      <c r="M158" t="inlineStr">
        <is>
          <t>Konstruksi Gedung Perbelanjaan</t>
        </is>
      </c>
      <c r="N158" t="inlineStr">
        <is>
          <t>K</t>
        </is>
      </c>
      <c r="O158" t="inlineStr">
        <is>
          <t>20230726</t>
        </is>
      </c>
      <c r="P158" t="inlineStr">
        <is>
          <t>Banten</t>
        </is>
      </c>
      <c r="Q158" t="inlineStr"/>
    </row>
    <row r="159">
      <c r="A159" t="inlineStr">
        <is>
          <t>TUNAS KALIANDA INDAH</t>
        </is>
      </c>
      <c r="B159" t="inlineStr">
        <is>
          <t>Kota Bandar Lampung</t>
        </is>
      </c>
      <c r="C159" t="inlineStr">
        <is>
          <t>0721256183</t>
        </is>
      </c>
      <c r="D159" t="inlineStr">
        <is>
          <t>tunaskaliandaindah.cv@gmail.com</t>
        </is>
      </c>
      <c r="E159" t="inlineStr">
        <is>
          <t>https://lpjk.pu.go.id/search-badan-usaha-detail/V2RvMTJRdTA2VzNiRTZ5cUh0Smx3QT09</t>
        </is>
      </c>
      <c r="F159" t="n">
        <v>2</v>
      </c>
      <c r="G159" t="inlineStr">
        <is>
          <t>BG006, BG009</t>
        </is>
      </c>
      <c r="H159" t="inlineStr">
        <is>
          <t>30 September 1998</t>
        </is>
      </c>
      <c r="I159" s="2" t="n">
        <v>46229</v>
      </c>
      <c r="J159" t="inlineStr">
        <is>
          <t>Disetujui</t>
        </is>
      </c>
      <c r="K159" t="n">
        <v>30</v>
      </c>
      <c r="L159" t="inlineStr">
        <is>
          <t>26 Juli 2026</t>
        </is>
      </c>
      <c r="M159" t="inlineStr">
        <is>
          <t>Konstruksi Gedung Lainnya, Konstruksi Gedung Pendidikan</t>
        </is>
      </c>
      <c r="N159" t="inlineStr">
        <is>
          <t>K</t>
        </is>
      </c>
      <c r="O159" t="inlineStr">
        <is>
          <t>20230719</t>
        </is>
      </c>
      <c r="P159" t="inlineStr">
        <is>
          <t>Lampung</t>
        </is>
      </c>
      <c r="Q159" t="inlineStr"/>
    </row>
    <row r="160">
      <c r="A160" t="inlineStr">
        <is>
          <t>TUNAS MANDIRI</t>
        </is>
      </c>
      <c r="B160" t="inlineStr">
        <is>
          <t>Kab. Sumenep</t>
        </is>
      </c>
      <c r="C160" t="inlineStr">
        <is>
          <t>087850170017</t>
        </is>
      </c>
      <c r="D160" t="inlineStr">
        <is>
          <t>cvtunasmandiri63@gmail.com</t>
        </is>
      </c>
      <c r="E160" t="inlineStr">
        <is>
          <t>https://lpjk.pu.go.id/search-badan-usaha-detail/TnRNbmFtdWxjeGNJMWN2UG9XK01UUT09</t>
        </is>
      </c>
      <c r="F160" t="n">
        <v>1</v>
      </c>
      <c r="G160" t="inlineStr">
        <is>
          <t>BS004</t>
        </is>
      </c>
      <c r="H160" t="inlineStr">
        <is>
          <t>11 Maret 2002</t>
        </is>
      </c>
      <c r="I160" s="2" t="n">
        <v>46229</v>
      </c>
      <c r="J160" t="inlineStr">
        <is>
          <t>Disetujui</t>
        </is>
      </c>
      <c r="K160" t="n">
        <v>30</v>
      </c>
      <c r="L160" t="inlineStr">
        <is>
          <t>26 Juli 2026</t>
        </is>
      </c>
      <c r="M160" t="inlineStr">
        <is>
          <t>Konstruksi Jaringan Irigasi dan Drainase</t>
        </is>
      </c>
      <c r="N160" t="inlineStr">
        <is>
          <t>K</t>
        </is>
      </c>
      <c r="O160" t="inlineStr">
        <is>
          <t>20230725</t>
        </is>
      </c>
      <c r="P160" t="inlineStr">
        <is>
          <t>Jawa Timur</t>
        </is>
      </c>
      <c r="Q160" t="inlineStr"/>
    </row>
    <row r="161">
      <c r="A161" t="inlineStr">
        <is>
          <t>USAHA MAJU KALIMANTAN</t>
        </is>
      </c>
      <c r="B161" t="inlineStr">
        <is>
          <t>Kab. Hulu Sungai Tengah</t>
        </is>
      </c>
      <c r="C161" t="inlineStr">
        <is>
          <t>085821180519</t>
        </is>
      </c>
      <c r="D161" t="inlineStr">
        <is>
          <t>usahamajukalimantan@gmail.com</t>
        </is>
      </c>
      <c r="E161" t="inlineStr">
        <is>
          <t>https://lpjk.pu.go.id/search-badan-usaha-detail/VHd0TDVGdXdiY01BakFqWHJPb05vZz09</t>
        </is>
      </c>
      <c r="F161" t="n">
        <v>1</v>
      </c>
      <c r="G161" t="inlineStr">
        <is>
          <t>BS001</t>
        </is>
      </c>
      <c r="H161" t="inlineStr">
        <is>
          <t>14 Februari 2023</t>
        </is>
      </c>
      <c r="I161" s="2" t="n">
        <v>46229</v>
      </c>
      <c r="J161" t="inlineStr">
        <is>
          <t>Disetujui</t>
        </is>
      </c>
      <c r="K161" t="n">
        <v>30</v>
      </c>
      <c r="L161" t="inlineStr">
        <is>
          <t>26 Juli 2026</t>
        </is>
      </c>
      <c r="M161" t="inlineStr">
        <is>
          <t>Konstruksi Bangunan Sipil Jalan</t>
        </is>
      </c>
      <c r="N161" t="inlineStr">
        <is>
          <t>K</t>
        </is>
      </c>
      <c r="O161" t="inlineStr">
        <is>
          <t>20230617</t>
        </is>
      </c>
      <c r="P161" t="inlineStr">
        <is>
          <t>Kalimantan Selatan</t>
        </is>
      </c>
      <c r="Q161" t="inlineStr"/>
    </row>
    <row r="162">
      <c r="A162" t="inlineStr">
        <is>
          <t>WAHYU LESTARI</t>
        </is>
      </c>
      <c r="B162" t="inlineStr">
        <is>
          <t>Kab. Ketapang</t>
        </is>
      </c>
      <c r="C162" t="inlineStr">
        <is>
          <t>081345913391</t>
        </is>
      </c>
      <c r="D162" t="inlineStr">
        <is>
          <t>wahyulestari_cv@yahoo.com</t>
        </is>
      </c>
      <c r="E162" t="inlineStr">
        <is>
          <t>https://lpjk.pu.go.id/search-badan-usaha-detail/Ri9VemF1ZDc1NStoeEZ3cEtmTHFCUT09</t>
        </is>
      </c>
      <c r="F162" t="n">
        <v>1</v>
      </c>
      <c r="G162" t="inlineStr">
        <is>
          <t>BG001</t>
        </is>
      </c>
      <c r="H162" t="inlineStr">
        <is>
          <t>12 Agustus 1999</t>
        </is>
      </c>
      <c r="I162" s="2" t="n">
        <v>46229</v>
      </c>
      <c r="J162" t="inlineStr">
        <is>
          <t>Disetujui</t>
        </is>
      </c>
      <c r="K162" t="n">
        <v>30</v>
      </c>
      <c r="L162" t="inlineStr">
        <is>
          <t>26 Juli 2026</t>
        </is>
      </c>
      <c r="M162" t="inlineStr">
        <is>
          <t>Konstruksi Gedung Hunian</t>
        </is>
      </c>
      <c r="N162" t="inlineStr">
        <is>
          <t>K</t>
        </is>
      </c>
      <c r="O162" t="inlineStr">
        <is>
          <t>20230725</t>
        </is>
      </c>
      <c r="P162" t="inlineStr">
        <is>
          <t>Kalimantan Barat</t>
        </is>
      </c>
      <c r="Q162" t="inlineStr"/>
    </row>
    <row r="163">
      <c r="A163" t="inlineStr">
        <is>
          <t>WILLY KARYA</t>
        </is>
      </c>
      <c r="B163" t="inlineStr">
        <is>
          <t>Kota Kupang</t>
        </is>
      </c>
      <c r="C163" t="inlineStr">
        <is>
          <t>081338466777</t>
        </is>
      </c>
      <c r="D163" t="inlineStr">
        <is>
          <t>karya.willy@gmail.com</t>
        </is>
      </c>
      <c r="E163" t="inlineStr">
        <is>
          <t>https://lpjk.pu.go.id/search-badan-usaha-detail/eDFDSGEzVEJ2dFRDbFFrYXJaS0wyZz09</t>
        </is>
      </c>
      <c r="F163" t="n">
        <v>4</v>
      </c>
      <c r="G163" t="inlineStr">
        <is>
          <t>BG002, BG003, BG006, BG009</t>
        </is>
      </c>
      <c r="H163" t="inlineStr">
        <is>
          <t>5 Januari 2015</t>
        </is>
      </c>
      <c r="I163" s="2" t="n">
        <v>46229</v>
      </c>
      <c r="J163" t="inlineStr">
        <is>
          <t>Disetujui</t>
        </is>
      </c>
      <c r="K163" t="n">
        <v>30</v>
      </c>
      <c r="L163" t="inlineStr">
        <is>
          <t>26 Juli 2026</t>
        </is>
      </c>
      <c r="M163" t="inlineStr">
        <is>
          <t>Konstruksi Gedung Industri, Konstruksi Gedung Lainnya, Konstruksi Gedung Pendidikan, Konstruksi Gedung Perkantoran</t>
        </is>
      </c>
      <c r="N163" t="inlineStr">
        <is>
          <t>K</t>
        </is>
      </c>
      <c r="O163" t="inlineStr">
        <is>
          <t>20230427, 20230714</t>
        </is>
      </c>
      <c r="P163" t="inlineStr">
        <is>
          <t>Nusa Tenggara Timur</t>
        </is>
      </c>
      <c r="Q163" t="inlineStr"/>
    </row>
    <row r="164">
      <c r="A164" t="inlineStr">
        <is>
          <t>WINOV</t>
        </is>
      </c>
      <c r="B164" t="inlineStr">
        <is>
          <t>Kab. Bandung</t>
        </is>
      </c>
      <c r="C164" t="inlineStr">
        <is>
          <t>081312137994</t>
        </is>
      </c>
      <c r="D164" t="inlineStr">
        <is>
          <t>cvwinovgroup@gmail.com</t>
        </is>
      </c>
      <c r="E164" t="inlineStr">
        <is>
          <t>https://lpjk.pu.go.id/search-badan-usaha-detail/Z3RFUStJM3VLSEhDbWlrZVRNdTdtZz09</t>
        </is>
      </c>
      <c r="F164" t="n">
        <v>1</v>
      </c>
      <c r="G164" t="inlineStr">
        <is>
          <t>BS005</t>
        </is>
      </c>
      <c r="H164" t="inlineStr">
        <is>
          <t>9 September 2019</t>
        </is>
      </c>
      <c r="I164" s="2" t="n">
        <v>46229</v>
      </c>
      <c r="J164" t="inlineStr">
        <is>
          <t>Disetujui</t>
        </is>
      </c>
      <c r="K164" t="n">
        <v>30</v>
      </c>
      <c r="L164" t="inlineStr">
        <is>
          <t>26 Juli 2026</t>
        </is>
      </c>
      <c r="M164" t="inlineStr">
        <is>
          <t>Konstruksi Bangunan Sipil Pengolahan Air Bersih</t>
        </is>
      </c>
      <c r="N164" t="inlineStr">
        <is>
          <t>K</t>
        </is>
      </c>
      <c r="O164" t="inlineStr">
        <is>
          <t>20230704</t>
        </is>
      </c>
      <c r="P164" t="inlineStr">
        <is>
          <t>Jawa Barat</t>
        </is>
      </c>
      <c r="Q164" t="inlineStr"/>
    </row>
    <row r="165">
      <c r="A165" t="inlineStr">
        <is>
          <t>WIRYA KARYA PUTRA</t>
        </is>
      </c>
      <c r="B165" t="inlineStr">
        <is>
          <t>Kota Sukabumi</t>
        </is>
      </c>
      <c r="C165" t="inlineStr">
        <is>
          <t>081291235556</t>
        </is>
      </c>
      <c r="D165" t="inlineStr">
        <is>
          <t>wiryakaryaputra@gmail.com</t>
        </is>
      </c>
      <c r="E165" t="inlineStr">
        <is>
          <t>https://lpjk.pu.go.id/search-badan-usaha-detail/ekRVOEtFaEUycTlWSlhDa21NUWtwQT09</t>
        </is>
      </c>
      <c r="F165" t="n">
        <v>1</v>
      </c>
      <c r="G165" t="inlineStr">
        <is>
          <t>BS001</t>
        </is>
      </c>
      <c r="H165" t="inlineStr">
        <is>
          <t>10 Maret 2020</t>
        </is>
      </c>
      <c r="I165" s="2" t="n">
        <v>46229</v>
      </c>
      <c r="J165" t="inlineStr">
        <is>
          <t>Disetujui</t>
        </is>
      </c>
      <c r="K165" t="n">
        <v>30</v>
      </c>
      <c r="L165" t="inlineStr">
        <is>
          <t>26 Juli 2026</t>
        </is>
      </c>
      <c r="M165" t="inlineStr">
        <is>
          <t>Konstruksi Bangunan Sipil Jalan</t>
        </is>
      </c>
      <c r="N165" t="inlineStr">
        <is>
          <t>K</t>
        </is>
      </c>
      <c r="O165" t="inlineStr">
        <is>
          <t>20230724</t>
        </is>
      </c>
      <c r="P165" t="inlineStr">
        <is>
          <t>Jawa Barat</t>
        </is>
      </c>
      <c r="Q165" t="inlineStr"/>
    </row>
    <row r="166">
      <c r="A166" t="inlineStr">
        <is>
          <t>ZAHRA SYAHNAL</t>
        </is>
      </c>
      <c r="B166" t="inlineStr">
        <is>
          <t>Kota Medan</t>
        </is>
      </c>
      <c r="C166" t="inlineStr">
        <is>
          <t>08126576325</t>
        </is>
      </c>
      <c r="D166" t="inlineStr">
        <is>
          <t>zahrasyahnalcv@yahoo.com</t>
        </is>
      </c>
      <c r="E166" t="inlineStr">
        <is>
          <t>https://lpjk.pu.go.id/search-badan-usaha-detail/My9FTC96cU1lbGlrQlhSMmVIbFl3UT09</t>
        </is>
      </c>
      <c r="F166" t="n">
        <v>2</v>
      </c>
      <c r="G166" t="inlineStr">
        <is>
          <t>BS005</t>
        </is>
      </c>
      <c r="H166" t="inlineStr">
        <is>
          <t>18 Maret 2014</t>
        </is>
      </c>
      <c r="I166" s="2" t="n">
        <v>46229</v>
      </c>
      <c r="J166" t="inlineStr">
        <is>
          <t>Disetujui</t>
        </is>
      </c>
      <c r="K166" t="n">
        <v>30</v>
      </c>
      <c r="L166" t="inlineStr">
        <is>
          <t>26 Juli 2026</t>
        </is>
      </c>
      <c r="M166" t="inlineStr">
        <is>
          <t>Konstruksi Bangunan Sipil Pengolahan Air Bersih</t>
        </is>
      </c>
      <c r="N166" t="inlineStr">
        <is>
          <t>K</t>
        </is>
      </c>
      <c r="O166" t="inlineStr">
        <is>
          <t>20230726</t>
        </is>
      </c>
      <c r="P166" t="inlineStr">
        <is>
          <t>Sumatera Utara</t>
        </is>
      </c>
      <c r="Q1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2026-06-26T02:42:55Z</dcterms:created>
  <dcterms:modified xsi:type="dcterms:W3CDTF">2026-06-26T02:42:55Z</dcterms:modified>
</cp:coreProperties>
</file>