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
  <sheetViews>
    <sheetView workbookViewId="0">
      <selection activeCell="A1" sqref="A1"/>
    </sheetView>
  </sheetViews>
  <sheetFormatPr baseColWidth="8" defaultRowHeight="15"/>
  <cols>
    <col width="44" customWidth="1" min="1" max="1"/>
    <col width="27" customWidth="1" min="2" max="2"/>
    <col width="15" customWidth="1" min="3" max="3"/>
    <col width="40" customWidth="1" min="4" max="4"/>
    <col width="50" customWidth="1" min="5" max="5"/>
    <col width="18" customWidth="1" min="6" max="6"/>
    <col width="50" customWidth="1" min="7" max="7"/>
    <col width="20" customWidth="1" min="8" max="8"/>
    <col width="28" customWidth="1" min="9" max="9"/>
    <col width="12" customWidth="1" min="10" max="10"/>
    <col width="11" customWidth="1" min="11" max="11"/>
    <col width="18"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AIKO NEGARA DAHA</t>
        </is>
      </c>
      <c r="B2" t="inlineStr">
        <is>
          <t>Kab. Bekasi</t>
        </is>
      </c>
      <c r="C2" t="inlineStr">
        <is>
          <t>02182622305</t>
        </is>
      </c>
      <c r="D2" t="inlineStr">
        <is>
          <t>diny.aikond@gmail.com</t>
        </is>
      </c>
      <c r="E2" t="inlineStr">
        <is>
          <t>https://lpjk.pu.go.id/search-badan-usaha-detail/Nno5SnJwZy9HSmlVS0Zsb3FPeXNWZz09</t>
        </is>
      </c>
      <c r="F2" t="n">
        <v>1</v>
      </c>
      <c r="G2" t="inlineStr">
        <is>
          <t>BG003</t>
        </is>
      </c>
      <c r="H2" t="inlineStr">
        <is>
          <t>18 Maret 2015</t>
        </is>
      </c>
      <c r="I2" s="2" t="n">
        <v>46383</v>
      </c>
      <c r="J2" t="inlineStr">
        <is>
          <t>Pencabutan</t>
        </is>
      </c>
      <c r="K2" t="n">
        <v>87</v>
      </c>
      <c r="L2" t="inlineStr">
        <is>
          <t>27 Desember 2026</t>
        </is>
      </c>
      <c r="M2" t="inlineStr">
        <is>
          <t>Konstruksi Gedung Industri</t>
        </is>
      </c>
      <c r="N2" t="inlineStr">
        <is>
          <t>K</t>
        </is>
      </c>
      <c r="O2" t="inlineStr">
        <is>
          <t>20231228</t>
        </is>
      </c>
      <c r="P2" t="inlineStr">
        <is>
          <t>Jawa Barat</t>
        </is>
      </c>
      <c r="Q2" t="inlineStr"/>
    </row>
    <row r="3">
      <c r="A3" t="inlineStr">
        <is>
          <t>AMAR PUTRA BAROKAH</t>
        </is>
      </c>
      <c r="B3" t="inlineStr">
        <is>
          <t>Kota Adm. Jakarta Timur</t>
        </is>
      </c>
      <c r="C3" t="inlineStr">
        <is>
          <t>085237459788</t>
        </is>
      </c>
      <c r="D3" t="inlineStr">
        <is>
          <t>amarputrabarokah@gmail.com</t>
        </is>
      </c>
      <c r="E3" t="inlineStr">
        <is>
          <t>https://lpjk.pu.go.id/search-badan-usaha-detail/ZG5HaVlXL0ZNVkhEUTlZQzBnVG1QZz09</t>
        </is>
      </c>
      <c r="F3" t="n">
        <v>2</v>
      </c>
      <c r="G3" t="inlineStr">
        <is>
          <t>BG003, BG009</t>
        </is>
      </c>
      <c r="H3" t="inlineStr">
        <is>
          <t>27 September 2021</t>
        </is>
      </c>
      <c r="I3" s="2" t="n">
        <v>46383</v>
      </c>
      <c r="J3" t="inlineStr">
        <is>
          <t>Disetujui</t>
        </is>
      </c>
      <c r="K3" t="n">
        <v>87</v>
      </c>
      <c r="L3" t="inlineStr">
        <is>
          <t>27 Desember 2026</t>
        </is>
      </c>
      <c r="M3" t="inlineStr">
        <is>
          <t>Konstruksi Gedung Industri, Konstruksi Gedung Lainnya</t>
        </is>
      </c>
      <c r="N3" t="inlineStr">
        <is>
          <t>K</t>
        </is>
      </c>
      <c r="O3" t="inlineStr">
        <is>
          <t>20231222, 20231223</t>
        </is>
      </c>
      <c r="P3" t="inlineStr">
        <is>
          <t>DKI Jakarta</t>
        </is>
      </c>
      <c r="Q3" s="3">
        <f>HYPERLINK("https://wa.me/6285237459788?text=Selamat siang Bapak/Ibu pimpinan AMAR PUTRA BAROKAH,%0A%0ASemoga Bapak/Ibu dalam keadaan baik.%0ABerdasarkan data LPJK, masa berlaku SBU perusahaan Bapak/Ibu akan berakhir sekitar 3 bulan lagi (pada 27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ANGKASA MEDIA BERSAUDARA</t>
        </is>
      </c>
      <c r="B4" t="inlineStr">
        <is>
          <t>Kota Adm. Jakarta Timur</t>
        </is>
      </c>
      <c r="C4" t="inlineStr">
        <is>
          <t>087840248169</t>
        </is>
      </c>
      <c r="D4" t="inlineStr">
        <is>
          <t>cvangkasamediabersaudara@gmail.com</t>
        </is>
      </c>
      <c r="E4" t="inlineStr">
        <is>
          <t>https://lpjk.pu.go.id/search-badan-usaha-detail/SlgyUTVaQjZET3ptT1FJYjZzSWt6dz09</t>
        </is>
      </c>
      <c r="F4" t="n">
        <v>2</v>
      </c>
      <c r="G4" t="inlineStr">
        <is>
          <t>BG001</t>
        </is>
      </c>
      <c r="H4" t="inlineStr">
        <is>
          <t>20 Maret 2023</t>
        </is>
      </c>
      <c r="I4" s="2" t="n">
        <v>46383</v>
      </c>
      <c r="J4" t="inlineStr">
        <is>
          <t>Disetujui</t>
        </is>
      </c>
      <c r="K4" t="n">
        <v>87</v>
      </c>
      <c r="L4" t="inlineStr">
        <is>
          <t>27 Desember 2026</t>
        </is>
      </c>
      <c r="M4" t="inlineStr">
        <is>
          <t>Konstruksi Gedung Hunian</t>
        </is>
      </c>
      <c r="N4" t="inlineStr">
        <is>
          <t>K</t>
        </is>
      </c>
      <c r="O4" t="inlineStr">
        <is>
          <t>20231227</t>
        </is>
      </c>
      <c r="P4" t="inlineStr">
        <is>
          <t>DKI Jakarta</t>
        </is>
      </c>
      <c r="Q4" s="3">
        <f>HYPERLINK("https://wa.me/6287840248169?text=Selamat siang Bapak/Ibu pimpinan ANGKASA MEDIA BERSAUDARA,%0A%0ASemoga Bapak/Ibu dalam keadaan baik.%0ABerdasarkan data LPJK, masa berlaku SBU perusahaan Bapak/Ibu akan berakhir sekitar 3 bulan lagi (pada 27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BANGUN JAYA MANDIRI</t>
        </is>
      </c>
      <c r="B5" t="inlineStr">
        <is>
          <t>Kota Depok</t>
        </is>
      </c>
      <c r="C5" t="inlineStr">
        <is>
          <t>02184308819</t>
        </is>
      </c>
      <c r="D5" t="inlineStr">
        <is>
          <t>Bangunjayamandiri.bjm@gmail.com</t>
        </is>
      </c>
      <c r="E5" t="inlineStr">
        <is>
          <t>https://lpjk.pu.go.id/search-badan-usaha-detail/bkRhYU9zaDlXQ0VzeU5aNnJHYmNiQT09</t>
        </is>
      </c>
      <c r="F5" t="n">
        <v>1</v>
      </c>
      <c r="G5" t="inlineStr">
        <is>
          <t>BG001</t>
        </is>
      </c>
      <c r="H5" t="inlineStr">
        <is>
          <t>13 Desember 2021</t>
        </is>
      </c>
      <c r="I5" s="2" t="n">
        <v>46383</v>
      </c>
      <c r="J5" t="inlineStr">
        <is>
          <t>Disetujui</t>
        </is>
      </c>
      <c r="K5" t="n">
        <v>87</v>
      </c>
      <c r="L5" t="inlineStr">
        <is>
          <t>27 Desember 2026</t>
        </is>
      </c>
      <c r="M5" t="inlineStr">
        <is>
          <t>Konstruksi Gedung Hunian</t>
        </is>
      </c>
      <c r="N5" t="inlineStr">
        <is>
          <t>K</t>
        </is>
      </c>
      <c r="O5" t="inlineStr">
        <is>
          <t>20231227</t>
        </is>
      </c>
      <c r="P5" t="inlineStr">
        <is>
          <t>Jawa Barat</t>
        </is>
      </c>
      <c r="Q5" t="inlineStr"/>
    </row>
    <row r="6">
      <c r="A6" t="inlineStr">
        <is>
          <t>BANGUN LELUASA KARYA</t>
        </is>
      </c>
      <c r="B6" t="inlineStr">
        <is>
          <t>Kota Bekasi</t>
        </is>
      </c>
      <c r="C6" t="inlineStr">
        <is>
          <t>081387394399</t>
        </is>
      </c>
      <c r="D6" t="inlineStr">
        <is>
          <t>bangunleluasakarya@gmail.com</t>
        </is>
      </c>
      <c r="E6" t="inlineStr">
        <is>
          <t>https://lpjk.pu.go.id/search-badan-usaha-detail/SGxSU2hFZkRDdFFPSlNmdlExVFpuUT09</t>
        </is>
      </c>
      <c r="F6" t="n">
        <v>4</v>
      </c>
      <c r="G6" t="inlineStr">
        <is>
          <t>BS001, BS002, BS004</t>
        </is>
      </c>
      <c r="H6" t="inlineStr">
        <is>
          <t>7 Juni 2023</t>
        </is>
      </c>
      <c r="I6" s="2" t="n">
        <v>46383</v>
      </c>
      <c r="J6" t="inlineStr">
        <is>
          <t>Disetujui</t>
        </is>
      </c>
      <c r="K6" t="n">
        <v>87</v>
      </c>
      <c r="L6" t="inlineStr">
        <is>
          <t>27 Desember 2026</t>
        </is>
      </c>
      <c r="M6" t="inlineStr">
        <is>
          <t>Bangunan Sipil Jembatan, Jalan Layang, Fly Over, dan Underpass, Konstruksi Bangunan Sipil Jalan, Konstruksi Jaringan Irigasi dan Drainase</t>
        </is>
      </c>
      <c r="N6" t="inlineStr">
        <is>
          <t>K</t>
        </is>
      </c>
      <c r="O6" t="inlineStr">
        <is>
          <t>20231222</t>
        </is>
      </c>
      <c r="P6" t="inlineStr">
        <is>
          <t>Jawa Barat</t>
        </is>
      </c>
      <c r="Q6" s="3">
        <f>HYPERLINK("https://wa.me/6281387394399?text=Selamat siang Bapak/Ibu pimpinan BANGUN LELUASA KARYA,%0A%0ASemoga Bapak/Ibu dalam keadaan baik.%0ABerdasarkan data LPJK, masa berlaku SBU perusahaan Bapak/Ibu akan berakhir sekitar 3 bulan lagi (pada 27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BINA INFRA ANTARNUSA</t>
        </is>
      </c>
      <c r="B7" t="inlineStr">
        <is>
          <t>Kota Bekasi</t>
        </is>
      </c>
      <c r="C7" t="inlineStr">
        <is>
          <t>081322484065</t>
        </is>
      </c>
      <c r="D7" t="inlineStr">
        <is>
          <t>tedy2629@gmail.com</t>
        </is>
      </c>
      <c r="E7" t="inlineStr">
        <is>
          <t>https://lpjk.pu.go.id/search-badan-usaha-detail/UnY5UkdGRnRLZzN0aTdEQytQeXMvUT09</t>
        </is>
      </c>
      <c r="F7" t="n">
        <v>3</v>
      </c>
      <c r="G7" t="inlineStr">
        <is>
          <t>RK001, RK002, RK005</t>
        </is>
      </c>
      <c r="H7" t="inlineStr">
        <is>
          <t>7 Oktober 2016</t>
        </is>
      </c>
      <c r="I7" s="2" t="n">
        <v>46383</v>
      </c>
      <c r="J7" t="inlineStr">
        <is>
          <t>Disetujui</t>
        </is>
      </c>
      <c r="K7" t="n">
        <v>87</v>
      </c>
      <c r="L7" t="inlineStr">
        <is>
          <t>27 Desember 2026</t>
        </is>
      </c>
      <c r="M7" t="inlineStr">
        <is>
          <t>Jasa Rekayasa Konstruksi Bangunan Gedung Hunian dan Non Hunian, Jasa Rekayasa Lainnya, Jasa Rekayasa Pekerjaan Teknik Sipil Sumber Daya Air</t>
        </is>
      </c>
      <c r="N7" t="inlineStr">
        <is>
          <t>K</t>
        </is>
      </c>
      <c r="O7" t="inlineStr">
        <is>
          <t>20231206, 20231207</t>
        </is>
      </c>
      <c r="P7" t="inlineStr">
        <is>
          <t>Jawa Barat</t>
        </is>
      </c>
      <c r="Q7" s="3">
        <f>HYPERLINK("https://wa.me/6281322484065?text=Selamat siang Bapak/Ibu pimpinan BINA INFRA ANTARNUSA,%0A%0ASemoga Bapak/Ibu dalam keadaan baik.%0ABerdasarkan data LPJK, masa berlaku SBU perusahaan Bapak/Ibu akan berakhir sekitar 3 bulan lagi (pada 27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ENCLE BERKAH JAYA</t>
        </is>
      </c>
      <c r="B8" t="inlineStr">
        <is>
          <t>Kota Bekasi</t>
        </is>
      </c>
      <c r="C8" t="inlineStr">
        <is>
          <t>081260895070</t>
        </is>
      </c>
      <c r="D8" t="inlineStr">
        <is>
          <t>ptencleberkahjaya@gmail.com</t>
        </is>
      </c>
      <c r="E8" t="inlineStr">
        <is>
          <t>https://lpjk.pu.go.id/search-badan-usaha-detail/UGhzNlpBbnJEN0RpZW4yWExKOHBFUT09</t>
        </is>
      </c>
      <c r="F8" t="n">
        <v>1</v>
      </c>
      <c r="G8" t="inlineStr">
        <is>
          <t>BG002</t>
        </is>
      </c>
      <c r="H8" t="inlineStr">
        <is>
          <t>12 Januari 2023</t>
        </is>
      </c>
      <c r="I8" s="2" t="n">
        <v>46383</v>
      </c>
      <c r="J8" t="inlineStr">
        <is>
          <t>Disetujui</t>
        </is>
      </c>
      <c r="K8" t="n">
        <v>87</v>
      </c>
      <c r="L8" t="inlineStr">
        <is>
          <t>27 Desember 2026</t>
        </is>
      </c>
      <c r="M8" t="inlineStr">
        <is>
          <t>Konstruksi Gedung Perkantoran</t>
        </is>
      </c>
      <c r="N8" t="inlineStr">
        <is>
          <t>K</t>
        </is>
      </c>
      <c r="O8" t="inlineStr">
        <is>
          <t>20231222</t>
        </is>
      </c>
      <c r="P8" t="inlineStr">
        <is>
          <t>Jawa Barat</t>
        </is>
      </c>
      <c r="Q8" s="3">
        <f>HYPERLINK("https://wa.me/6281260895070?text=Selamat siang Bapak/Ibu pimpinan ENCLE BERKAH JAYA,%0A%0ASemoga Bapak/Ibu dalam keadaan baik.%0ABerdasarkan data LPJK, masa berlaku SBU perusahaan Bapak/Ibu akan berakhir sekitar 3 bulan lagi (pada 27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FATIHA ALAM SEMESTA</t>
        </is>
      </c>
      <c r="B9" t="inlineStr">
        <is>
          <t>Kota Bekasi</t>
        </is>
      </c>
      <c r="C9" t="inlineStr">
        <is>
          <t>0218849999</t>
        </is>
      </c>
      <c r="D9" t="inlineStr">
        <is>
          <t>sales@fatiha.co.id</t>
        </is>
      </c>
      <c r="E9" t="inlineStr">
        <is>
          <t>https://lpjk.pu.go.id/search-badan-usaha-detail/U3NWSUx4Zksxa0JmVFYyWkZLTWJ0UT09</t>
        </is>
      </c>
      <c r="F9" t="n">
        <v>2</v>
      </c>
      <c r="G9" t="inlineStr">
        <is>
          <t>BG009</t>
        </is>
      </c>
      <c r="H9" t="inlineStr">
        <is>
          <t>17 November 2014</t>
        </is>
      </c>
      <c r="I9" s="2" t="n">
        <v>46383</v>
      </c>
      <c r="J9" t="inlineStr">
        <is>
          <t>Pencabutan</t>
        </is>
      </c>
      <c r="K9" t="n">
        <v>87</v>
      </c>
      <c r="L9" t="inlineStr">
        <is>
          <t>27 Desember 2026</t>
        </is>
      </c>
      <c r="M9" t="inlineStr">
        <is>
          <t>Konstruksi Gedung Lainnya</t>
        </is>
      </c>
      <c r="N9" t="inlineStr">
        <is>
          <t>M</t>
        </is>
      </c>
      <c r="O9" t="inlineStr">
        <is>
          <t>20231219</t>
        </is>
      </c>
      <c r="P9" t="inlineStr">
        <is>
          <t>Jawa Barat</t>
        </is>
      </c>
      <c r="Q9" t="inlineStr"/>
    </row>
    <row r="10">
      <c r="A10" t="inlineStr">
        <is>
          <t>HASEA BENEDICT</t>
        </is>
      </c>
      <c r="B10" t="inlineStr">
        <is>
          <t>Kota Bekasi</t>
        </is>
      </c>
      <c r="C10" t="inlineStr">
        <is>
          <t>081314592913</t>
        </is>
      </c>
      <c r="D10" t="inlineStr">
        <is>
          <t>haseabenedict@gmail.com</t>
        </is>
      </c>
      <c r="E10" t="inlineStr">
        <is>
          <t>https://lpjk.pu.go.id/search-badan-usaha-detail/SlZwSXhFb3h3QnVRVVJVRWp5emxiQT09</t>
        </is>
      </c>
      <c r="F10" t="n">
        <v>1</v>
      </c>
      <c r="G10" t="inlineStr">
        <is>
          <t>BG002</t>
        </is>
      </c>
      <c r="H10" t="inlineStr">
        <is>
          <t>5 September 2022</t>
        </is>
      </c>
      <c r="I10" s="2" t="n">
        <v>46383</v>
      </c>
      <c r="J10" t="inlineStr">
        <is>
          <t>Disetujui</t>
        </is>
      </c>
      <c r="K10" t="n">
        <v>87</v>
      </c>
      <c r="L10" t="inlineStr">
        <is>
          <t>27 Desember 2026</t>
        </is>
      </c>
      <c r="M10" t="inlineStr">
        <is>
          <t>Konstruksi Gedung Perkantoran</t>
        </is>
      </c>
      <c r="N10" t="inlineStr">
        <is>
          <t>K</t>
        </is>
      </c>
      <c r="O10" t="inlineStr">
        <is>
          <t>20231218</t>
        </is>
      </c>
      <c r="P10" t="inlineStr">
        <is>
          <t>Jawa Barat</t>
        </is>
      </c>
      <c r="Q10" s="3">
        <f>HYPERLINK("https://wa.me/6281314592913?text=Selamat siang Bapak/Ibu pimpinan HASEA BENEDICT,%0A%0ASemoga Bapak/Ibu dalam keadaan baik.%0ABerdasarkan data LPJK, masa berlaku SBU perusahaan Bapak/Ibu akan berakhir sekitar 3 bulan lagi (pada 27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INDAH BUKIT NUSATAMA</t>
        </is>
      </c>
      <c r="B11" t="inlineStr">
        <is>
          <t>Kota Adm. Jakarta Timur</t>
        </is>
      </c>
      <c r="C11" t="inlineStr">
        <is>
          <t>02182409753</t>
        </is>
      </c>
      <c r="D11" t="inlineStr">
        <is>
          <t>ibnnusatama@gmail.com</t>
        </is>
      </c>
      <c r="E11" t="inlineStr">
        <is>
          <t>https://lpjk.pu.go.id/search-badan-usaha-detail/YW1lYStrR0hXTDNvODg0WWFuU1kxUT09</t>
        </is>
      </c>
      <c r="F11" t="n">
        <v>1</v>
      </c>
      <c r="G11" t="inlineStr">
        <is>
          <t>IN003</t>
        </is>
      </c>
      <c r="H11" t="inlineStr">
        <is>
          <t>18 Februari 1998</t>
        </is>
      </c>
      <c r="I11" s="2" t="n">
        <v>46383</v>
      </c>
      <c r="J11" t="inlineStr">
        <is>
          <t>Pembekuan</t>
        </is>
      </c>
      <c r="K11" t="n">
        <v>87</v>
      </c>
      <c r="L11" t="inlineStr">
        <is>
          <t>27 Desember 2026</t>
        </is>
      </c>
      <c r="M11" t="inlineStr">
        <is>
          <t>Instalasi Peralatan Infrastruktur Pertambangan dan Manufaktur</t>
        </is>
      </c>
      <c r="N11" t="inlineStr">
        <is>
          <t>Spesialis</t>
        </is>
      </c>
      <c r="O11" t="inlineStr">
        <is>
          <t>20231221</t>
        </is>
      </c>
      <c r="P11" t="inlineStr">
        <is>
          <t>DKI Jakarta</t>
        </is>
      </c>
      <c r="Q11" t="inlineStr"/>
    </row>
    <row r="12">
      <c r="A12" t="inlineStr">
        <is>
          <t>KREASINDO RAYA UTAMA</t>
        </is>
      </c>
      <c r="B12" t="inlineStr">
        <is>
          <t>Kota Depok</t>
        </is>
      </c>
      <c r="C12" t="inlineStr">
        <is>
          <t>081383305709</t>
        </is>
      </c>
      <c r="D12" t="inlineStr">
        <is>
          <t>kreasindorayautama@gmail.com</t>
        </is>
      </c>
      <c r="E12" t="inlineStr">
        <is>
          <t>https://lpjk.pu.go.id/search-badan-usaha-detail/cVZKcjdsVXR5RmsvMjcrVFFFcXN0Zz09</t>
        </is>
      </c>
      <c r="F12" t="n">
        <v>10</v>
      </c>
      <c r="G12" t="inlineStr">
        <is>
          <t>BG001, BG002, BG005, BG006, BG009</t>
        </is>
      </c>
      <c r="H12" t="inlineStr">
        <is>
          <t>26 September 2023</t>
        </is>
      </c>
      <c r="I12" s="2" t="n">
        <v>46383</v>
      </c>
      <c r="J12" t="inlineStr">
        <is>
          <t>Disetujui</t>
        </is>
      </c>
      <c r="K12" t="n">
        <v>87</v>
      </c>
      <c r="L12" t="inlineStr">
        <is>
          <t>27 Desember 2026</t>
        </is>
      </c>
      <c r="M12" t="inlineStr">
        <is>
          <t>Konstruksi Gedung Hunian, Konstruksi Gedung Kesehatan, Konstruksi Gedung Lainnya, Konstruksi Gedung Pendidikan, Konstruksi Gedung Perkantoran</t>
        </is>
      </c>
      <c r="N12" t="inlineStr">
        <is>
          <t>K</t>
        </is>
      </c>
      <c r="O12" t="inlineStr">
        <is>
          <t>20231212, 20231221, 20231223, 20231227</t>
        </is>
      </c>
      <c r="P12" t="inlineStr">
        <is>
          <t>Jawa Barat</t>
        </is>
      </c>
      <c r="Q12" s="3">
        <f>HYPERLINK("https://wa.me/6281383305709?text=Selamat siang Bapak/Ibu pimpinan KREASINDO RAYA UTAMA,%0A%0ASemoga Bapak/Ibu dalam keadaan baik.%0ABerdasarkan data LPJK, masa berlaku SBU perusahaan Bapak/Ibu akan berakhir sekitar 3 bulan lagi (pada 27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LAKSANA ANEKA SARANA</t>
        </is>
      </c>
      <c r="B13" t="inlineStr">
        <is>
          <t>Kab. Bogor</t>
        </is>
      </c>
      <c r="C13" t="inlineStr">
        <is>
          <t>08129674773</t>
        </is>
      </c>
      <c r="D13" t="inlineStr">
        <is>
          <t>laksanaanekasarana@gmail.com</t>
        </is>
      </c>
      <c r="E13" t="inlineStr">
        <is>
          <t>https://lpjk.pu.go.id/search-badan-usaha-detail/K1E3Z0RaQ25GSDFxN2V0Y2xUU29LZz09</t>
        </is>
      </c>
      <c r="F13" t="n">
        <v>10</v>
      </c>
      <c r="G13" t="inlineStr">
        <is>
          <t>BG001, BG002, BG003, BG006, BG009</t>
        </is>
      </c>
      <c r="H13" t="inlineStr">
        <is>
          <t>13 Februari 1995</t>
        </is>
      </c>
      <c r="I13" s="2" t="n">
        <v>46383</v>
      </c>
      <c r="J13" t="inlineStr">
        <is>
          <t>Disetujui</t>
        </is>
      </c>
      <c r="K13" t="n">
        <v>87</v>
      </c>
      <c r="L13" t="inlineStr">
        <is>
          <t>27 Desember 2026</t>
        </is>
      </c>
      <c r="M13" t="inlineStr">
        <is>
          <t>Konstruksi Gedung Hunian, Konstruksi Gedung Industri, Konstruksi Gedung Lainnya, Konstruksi Gedung Pendidikan, Konstruksi Gedung Perkantoran</t>
        </is>
      </c>
      <c r="N13" t="inlineStr">
        <is>
          <t>K</t>
        </is>
      </c>
      <c r="O13" t="inlineStr">
        <is>
          <t>20231221, 20231222</t>
        </is>
      </c>
      <c r="P13" t="inlineStr">
        <is>
          <t>Jawa Barat</t>
        </is>
      </c>
      <c r="Q13" s="3">
        <f>HYPERLINK("https://wa.me/628129674773?text=Selamat siang Bapak/Ibu pimpinan LAKSANA ANEKA SARANA,%0A%0ASemoga Bapak/Ibu dalam keadaan baik.%0ABerdasarkan data LPJK, masa berlaku SBU perusahaan Bapak/Ibu akan berakhir sekitar 3 bulan lagi (pada 27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TUNASDAYA MUSTIKA</t>
        </is>
      </c>
      <c r="B14" t="inlineStr">
        <is>
          <t>Kota Adm. Jakarta Timur</t>
        </is>
      </c>
      <c r="C14" t="inlineStr">
        <is>
          <t>02186612928</t>
        </is>
      </c>
      <c r="D14" t="inlineStr">
        <is>
          <t>tunasdaya@yahoo.com</t>
        </is>
      </c>
      <c r="E14" t="inlineStr">
        <is>
          <t>https://lpjk.pu.go.id/search-badan-usaha-detail/ODlkOFlMUkRKSUlCUEZVK21SaWxhZz09</t>
        </is>
      </c>
      <c r="F14" t="n">
        <v>1</v>
      </c>
      <c r="G14" t="inlineStr">
        <is>
          <t>BG002</t>
        </is>
      </c>
      <c r="H14" t="inlineStr">
        <is>
          <t>7 Mei 1990</t>
        </is>
      </c>
      <c r="I14" s="2" t="n">
        <v>46383</v>
      </c>
      <c r="J14" t="inlineStr">
        <is>
          <t>Disetujui</t>
        </is>
      </c>
      <c r="K14" t="n">
        <v>87</v>
      </c>
      <c r="L14" t="inlineStr">
        <is>
          <t>27 Desember 2026</t>
        </is>
      </c>
      <c r="M14" t="inlineStr">
        <is>
          <t>Konstruksi Gedung Perkantoran</t>
        </is>
      </c>
      <c r="N14" t="inlineStr">
        <is>
          <t>K</t>
        </is>
      </c>
      <c r="O14" t="inlineStr">
        <is>
          <t>20231009</t>
        </is>
      </c>
      <c r="P14" t="inlineStr">
        <is>
          <t>DKI Jakarta</t>
        </is>
      </c>
      <c r="Q14" t="inlineStr"/>
    </row>
    <row r="15">
      <c r="A15" t="inlineStr">
        <is>
          <t>ADHI JAYA SRAGEN</t>
        </is>
      </c>
      <c r="B15" t="inlineStr">
        <is>
          <t>Kab. Sragen</t>
        </is>
      </c>
      <c r="C15" t="inlineStr">
        <is>
          <t>081215117685</t>
        </is>
      </c>
      <c r="D15" t="inlineStr">
        <is>
          <t>adhijaya.cv14@yahoo.com</t>
        </is>
      </c>
      <c r="E15" t="inlineStr">
        <is>
          <t>https://lpjk.pu.go.id/search-badan-usaha-detail/ckVsdGF6Yzg2TlR5M1dVcmtYSzJqQT09</t>
        </is>
      </c>
      <c r="F15" t="n">
        <v>2</v>
      </c>
      <c r="G15" t="inlineStr">
        <is>
          <t>BS001, BS004</t>
        </is>
      </c>
      <c r="H15" t="inlineStr">
        <is>
          <t>14 April 2014</t>
        </is>
      </c>
      <c r="I15" s="2" t="n">
        <v>46383</v>
      </c>
      <c r="J15" t="inlineStr">
        <is>
          <t>Disetujui</t>
        </is>
      </c>
      <c r="K15" t="n">
        <v>87</v>
      </c>
      <c r="L15" t="inlineStr">
        <is>
          <t>27 Desember 2026</t>
        </is>
      </c>
      <c r="M15" t="inlineStr">
        <is>
          <t>Konstruksi Bangunan Sipil Jalan, Konstruksi Jaringan Irigasi dan Drainase</t>
        </is>
      </c>
      <c r="N15" t="inlineStr">
        <is>
          <t>K</t>
        </is>
      </c>
      <c r="O15" t="inlineStr">
        <is>
          <t>20231202, 20231222</t>
        </is>
      </c>
      <c r="P15" t="inlineStr">
        <is>
          <t>Jawa Tengah</t>
        </is>
      </c>
      <c r="Q15" t="inlineStr"/>
    </row>
    <row r="16">
      <c r="A16" t="inlineStr">
        <is>
          <t>ADYATMA</t>
        </is>
      </c>
      <c r="B16" t="inlineStr">
        <is>
          <t>Kab. Sidoarjo</t>
        </is>
      </c>
      <c r="C16" t="inlineStr">
        <is>
          <t>0318074885</t>
        </is>
      </c>
      <c r="D16" t="inlineStr">
        <is>
          <t>cvadyatmasurabaya@gmail.com</t>
        </is>
      </c>
      <c r="E16" t="inlineStr">
        <is>
          <t>https://lpjk.pu.go.id/search-badan-usaha-detail/eDdXOXQ4MDFWdCtnb01PV0N0UGVpdz09</t>
        </is>
      </c>
      <c r="F16" t="n">
        <v>4</v>
      </c>
      <c r="G16" t="inlineStr">
        <is>
          <t>AR001, AR002</t>
        </is>
      </c>
      <c r="H16" t="inlineStr">
        <is>
          <t>22 Juni 2012</t>
        </is>
      </c>
      <c r="I16" s="2" t="n">
        <v>46383</v>
      </c>
      <c r="J16" t="inlineStr">
        <is>
          <t>Disetujui</t>
        </is>
      </c>
      <c r="K16" t="n">
        <v>87</v>
      </c>
      <c r="L16" t="inlineStr">
        <is>
          <t>27 Desember 2026</t>
        </is>
      </c>
      <c r="M16" t="inlineStr">
        <is>
          <t>Jasa Arsitektural Bangunan Gedung Hunian dan Non Hunian, Jasa Arsitektural Lainnya</t>
        </is>
      </c>
      <c r="N16" t="inlineStr">
        <is>
          <t>K</t>
        </is>
      </c>
      <c r="O16" t="inlineStr">
        <is>
          <t>20231206</t>
        </is>
      </c>
      <c r="P16" t="inlineStr">
        <is>
          <t>Jawa Timur</t>
        </is>
      </c>
      <c r="Q16" t="inlineStr"/>
    </row>
    <row r="17">
      <c r="A17" t="inlineStr">
        <is>
          <t>AJI KARYA UTAMA</t>
        </is>
      </c>
      <c r="B17" t="inlineStr">
        <is>
          <t>Kota Semarang</t>
        </is>
      </c>
      <c r="C17" t="inlineStr">
        <is>
          <t>081227234422</t>
        </is>
      </c>
      <c r="D17" t="inlineStr">
        <is>
          <t>ajikaryautama.smg@gmail.com</t>
        </is>
      </c>
      <c r="E17" t="inlineStr">
        <is>
          <t>https://lpjk.pu.go.id/search-badan-usaha-detail/MEUyK1pnQUVKNm9jWFhXU2xaVk1pUT09</t>
        </is>
      </c>
      <c r="F17" t="n">
        <v>1</v>
      </c>
      <c r="G17" t="inlineStr">
        <is>
          <t>BG009</t>
        </is>
      </c>
      <c r="H17" t="inlineStr">
        <is>
          <t>14 Desember 2020</t>
        </is>
      </c>
      <c r="I17" s="2" t="n">
        <v>46383</v>
      </c>
      <c r="J17" t="inlineStr">
        <is>
          <t>Disetujui</t>
        </is>
      </c>
      <c r="K17" t="n">
        <v>87</v>
      </c>
      <c r="L17" t="inlineStr">
        <is>
          <t>27 Desember 2026</t>
        </is>
      </c>
      <c r="M17" t="inlineStr">
        <is>
          <t>Konstruksi Gedung Lainnya</t>
        </is>
      </c>
      <c r="N17" t="inlineStr">
        <is>
          <t>K</t>
        </is>
      </c>
      <c r="O17" t="inlineStr">
        <is>
          <t>20231220</t>
        </is>
      </c>
      <c r="P17" t="inlineStr">
        <is>
          <t>Jawa Tengah</t>
        </is>
      </c>
      <c r="Q17" t="inlineStr"/>
    </row>
    <row r="18">
      <c r="A18" t="inlineStr">
        <is>
          <t>AKBAR JAYA KONSULTAN</t>
        </is>
      </c>
      <c r="B18" t="inlineStr">
        <is>
          <t>Kota Bandar Lampung</t>
        </is>
      </c>
      <c r="C18" t="inlineStr">
        <is>
          <t>081278308307</t>
        </is>
      </c>
      <c r="D18" t="inlineStr">
        <is>
          <t>akbarjayaconsultant@yahoo.co.id</t>
        </is>
      </c>
      <c r="E18" t="inlineStr">
        <is>
          <t>https://lpjk.pu.go.id/search-badan-usaha-detail/TlVGTHYyci9DWHFNQkJaWU5YRE5Hdz09</t>
        </is>
      </c>
      <c r="F18" t="n">
        <v>1</v>
      </c>
      <c r="G18" t="inlineStr">
        <is>
          <t>AL001</t>
        </is>
      </c>
      <c r="H18" t="inlineStr">
        <is>
          <t>22 September 1998</t>
        </is>
      </c>
      <c r="I18" s="2" t="n">
        <v>46383</v>
      </c>
      <c r="J18" t="inlineStr">
        <is>
          <t>Disetujui</t>
        </is>
      </c>
      <c r="K18" t="n">
        <v>87</v>
      </c>
      <c r="L18" t="inlineStr">
        <is>
          <t>27 Desember 2026</t>
        </is>
      </c>
      <c r="M18" t="inlineStr">
        <is>
          <t>Jasa Pengembangan Pemanfaatan Ruang</t>
        </is>
      </c>
      <c r="N18" t="inlineStr">
        <is>
          <t>K</t>
        </is>
      </c>
      <c r="O18" t="inlineStr">
        <is>
          <t>20231219</t>
        </is>
      </c>
      <c r="P18" t="inlineStr">
        <is>
          <t>Lampung</t>
        </is>
      </c>
      <c r="Q18" t="inlineStr"/>
    </row>
    <row r="19">
      <c r="A19" t="inlineStr">
        <is>
          <t>ALAMANDA</t>
        </is>
      </c>
      <c r="B19" t="inlineStr">
        <is>
          <t>Kota Palangkaraya</t>
        </is>
      </c>
      <c r="C19" t="inlineStr">
        <is>
          <t>082151587774</t>
        </is>
      </c>
      <c r="D19" t="inlineStr">
        <is>
          <t>alamanda.pky29@gmail.com</t>
        </is>
      </c>
      <c r="E19" t="inlineStr">
        <is>
          <t>https://lpjk.pu.go.id/search-badan-usaha-detail/bHRhYzcrS0k3eGFpaTY2NUlqNHV2UT09</t>
        </is>
      </c>
      <c r="F19" t="n">
        <v>2</v>
      </c>
      <c r="G19" t="inlineStr">
        <is>
          <t>RK001</t>
        </is>
      </c>
      <c r="H19" t="inlineStr">
        <is>
          <t>24 Maret 2008</t>
        </is>
      </c>
      <c r="I19" s="2" t="n">
        <v>46383</v>
      </c>
      <c r="J19" t="inlineStr">
        <is>
          <t>Disetujui</t>
        </is>
      </c>
      <c r="K19" t="n">
        <v>87</v>
      </c>
      <c r="L19" t="inlineStr">
        <is>
          <t>27 Desember 2026</t>
        </is>
      </c>
      <c r="M19" t="inlineStr">
        <is>
          <t>Jasa Rekayasa Konstruksi Bangunan Gedung Hunian dan Non Hunian</t>
        </is>
      </c>
      <c r="N19" t="inlineStr">
        <is>
          <t>K</t>
        </is>
      </c>
      <c r="O19" t="inlineStr">
        <is>
          <t>20231212</t>
        </is>
      </c>
      <c r="P19" t="inlineStr">
        <is>
          <t>Kalimantan Tengah</t>
        </is>
      </c>
      <c r="Q19" t="inlineStr"/>
    </row>
    <row r="20">
      <c r="A20" t="inlineStr">
        <is>
          <t>ALSHADIK KARYA</t>
        </is>
      </c>
      <c r="B20" t="inlineStr">
        <is>
          <t>Kab. Solok</t>
        </is>
      </c>
      <c r="C20" t="inlineStr">
        <is>
          <t>082343819591</t>
        </is>
      </c>
      <c r="D20" t="inlineStr">
        <is>
          <t>alshadik.karya@gmail.com</t>
        </is>
      </c>
      <c r="E20" t="inlineStr">
        <is>
          <t>https://lpjk.pu.go.id/search-badan-usaha-detail/M3pGL2htTElKOEhTWkhta3Fwa2pXZz09</t>
        </is>
      </c>
      <c r="F20" t="n">
        <v>1</v>
      </c>
      <c r="G20" t="inlineStr">
        <is>
          <t>BS004</t>
        </is>
      </c>
      <c r="H20" t="inlineStr">
        <is>
          <t>4 September 2020</t>
        </is>
      </c>
      <c r="I20" s="2" t="n">
        <v>46383</v>
      </c>
      <c r="J20" t="inlineStr">
        <is>
          <t>Disetujui</t>
        </is>
      </c>
      <c r="K20" t="n">
        <v>87</v>
      </c>
      <c r="L20" t="inlineStr">
        <is>
          <t>27 Desember 2026</t>
        </is>
      </c>
      <c r="M20" t="inlineStr">
        <is>
          <t>Konstruksi Jaringan Irigasi dan Drainase</t>
        </is>
      </c>
      <c r="N20" t="inlineStr">
        <is>
          <t>K</t>
        </is>
      </c>
      <c r="O20" t="inlineStr">
        <is>
          <t>20231004</t>
        </is>
      </c>
      <c r="P20" t="inlineStr">
        <is>
          <t>Sumatera Barat</t>
        </is>
      </c>
      <c r="Q20" t="inlineStr"/>
    </row>
    <row r="21">
      <c r="A21" t="inlineStr">
        <is>
          <t>ANAK PULAU</t>
        </is>
      </c>
      <c r="B21" t="inlineStr">
        <is>
          <t>Kota Pontianak</t>
        </is>
      </c>
      <c r="C21" t="inlineStr">
        <is>
          <t>082255027979</t>
        </is>
      </c>
      <c r="D21" t="inlineStr">
        <is>
          <t>cvanakpulau.2022@gmail.com</t>
        </is>
      </c>
      <c r="E21" t="inlineStr">
        <is>
          <t>https://lpjk.pu.go.id/search-badan-usaha-detail/RGd1N2NjcmdkTDNkTnRzNSs1RTA2QT09</t>
        </is>
      </c>
      <c r="F21" t="n">
        <v>1</v>
      </c>
      <c r="G21" t="inlineStr">
        <is>
          <t>BS004</t>
        </is>
      </c>
      <c r="H21" t="inlineStr">
        <is>
          <t>30 Agustus 2016</t>
        </is>
      </c>
      <c r="I21" s="2" t="n">
        <v>46383</v>
      </c>
      <c r="J21" t="inlineStr">
        <is>
          <t>Disetujui</t>
        </is>
      </c>
      <c r="K21" t="n">
        <v>87</v>
      </c>
      <c r="L21" t="inlineStr">
        <is>
          <t>27 Desember 2026</t>
        </is>
      </c>
      <c r="M21" t="inlineStr">
        <is>
          <t>Konstruksi Jaringan Irigasi dan Drainase</t>
        </is>
      </c>
      <c r="N21" t="inlineStr">
        <is>
          <t>K</t>
        </is>
      </c>
      <c r="O21" t="inlineStr">
        <is>
          <t>20231222</t>
        </is>
      </c>
      <c r="P21" t="inlineStr">
        <is>
          <t>Kalimantan Barat</t>
        </is>
      </c>
      <c r="Q21" t="inlineStr"/>
    </row>
    <row r="22">
      <c r="A22" t="inlineStr">
        <is>
          <t>ANUGERAH PUTRA PERMANA</t>
        </is>
      </c>
      <c r="B22" t="inlineStr">
        <is>
          <t>Kota Madiun</t>
        </is>
      </c>
      <c r="C22" t="inlineStr">
        <is>
          <t>0351466019</t>
        </is>
      </c>
      <c r="D22" t="inlineStr">
        <is>
          <t>anugerahputrapermana@gmail.com</t>
        </is>
      </c>
      <c r="E22" t="inlineStr">
        <is>
          <t>https://lpjk.pu.go.id/search-badan-usaha-detail/SnBabTB6c0hsRS96S1JFb0NvSjYxUT09</t>
        </is>
      </c>
      <c r="F22" t="n">
        <v>1</v>
      </c>
      <c r="G22" t="inlineStr">
        <is>
          <t>BG002</t>
        </is>
      </c>
      <c r="H22" t="inlineStr">
        <is>
          <t>12 Agustus 2004</t>
        </is>
      </c>
      <c r="I22" s="2" t="n">
        <v>46383</v>
      </c>
      <c r="J22" t="inlineStr">
        <is>
          <t>Disetujui</t>
        </is>
      </c>
      <c r="K22" t="n">
        <v>87</v>
      </c>
      <c r="L22" t="inlineStr">
        <is>
          <t>27 Desember 2026</t>
        </is>
      </c>
      <c r="M22" t="inlineStr">
        <is>
          <t>Konstruksi Gedung Perkantoran</t>
        </is>
      </c>
      <c r="N22" t="inlineStr">
        <is>
          <t>M</t>
        </is>
      </c>
      <c r="O22" t="inlineStr">
        <is>
          <t>20231207</t>
        </is>
      </c>
      <c r="P22" t="inlineStr">
        <is>
          <t>Jawa Timur</t>
        </is>
      </c>
      <c r="Q22" t="inlineStr"/>
    </row>
    <row r="23">
      <c r="A23" t="inlineStr">
        <is>
          <t>ANUGRAH KONSTRUKSI INDO</t>
        </is>
      </c>
      <c r="B23" t="inlineStr">
        <is>
          <t>Kab. Purwakarta</t>
        </is>
      </c>
      <c r="C23" t="inlineStr">
        <is>
          <t>081311751782</t>
        </is>
      </c>
      <c r="D23" t="inlineStr">
        <is>
          <t>master.aki2023@gmail.com</t>
        </is>
      </c>
      <c r="E23" t="inlineStr">
        <is>
          <t>https://lpjk.pu.go.id/search-badan-usaha-detail/ZDJNaitjUUhyc05QSkREOUgvSVJNQT09</t>
        </is>
      </c>
      <c r="F23" t="n">
        <v>2</v>
      </c>
      <c r="G23" t="inlineStr">
        <is>
          <t>BG003</t>
        </is>
      </c>
      <c r="H23" t="inlineStr">
        <is>
          <t>20 November 2023</t>
        </is>
      </c>
      <c r="I23" s="2" t="n">
        <v>46383</v>
      </c>
      <c r="J23" t="inlineStr">
        <is>
          <t>Disetujui</t>
        </is>
      </c>
      <c r="K23" t="n">
        <v>87</v>
      </c>
      <c r="L23" t="inlineStr">
        <is>
          <t>27 Desember 2026</t>
        </is>
      </c>
      <c r="M23" t="inlineStr">
        <is>
          <t>Konstruksi Gedung Industri</t>
        </is>
      </c>
      <c r="N23" t="inlineStr">
        <is>
          <t>K</t>
        </is>
      </c>
      <c r="O23" t="inlineStr">
        <is>
          <t>20231227</t>
        </is>
      </c>
      <c r="P23" t="inlineStr">
        <is>
          <t>Jawa Barat</t>
        </is>
      </c>
      <c r="Q23" t="inlineStr"/>
    </row>
    <row r="24">
      <c r="A24" t="inlineStr">
        <is>
          <t>ARCHITEAM DESIGN CENTER</t>
        </is>
      </c>
      <c r="B24" t="inlineStr">
        <is>
          <t>Kota Bandung</t>
        </is>
      </c>
      <c r="C24" t="inlineStr">
        <is>
          <t>0222502365</t>
        </is>
      </c>
      <c r="D24" t="inlineStr">
        <is>
          <t>architeamdc@gmail.com</t>
        </is>
      </c>
      <c r="E24" t="inlineStr">
        <is>
          <t>https://lpjk.pu.go.id/search-badan-usaha-detail/cVF3TXRWOFQ4MkMzSXlHWFlxWTBHQT09</t>
        </is>
      </c>
      <c r="F24" t="n">
        <v>1</v>
      </c>
      <c r="G24" t="inlineStr">
        <is>
          <t>AR001</t>
        </is>
      </c>
      <c r="H24" t="inlineStr">
        <is>
          <t>11 Oktober 1979</t>
        </is>
      </c>
      <c r="I24" s="2" t="n">
        <v>46383</v>
      </c>
      <c r="J24" t="inlineStr">
        <is>
          <t>Disetujui</t>
        </is>
      </c>
      <c r="K24" t="n">
        <v>87</v>
      </c>
      <c r="L24" t="inlineStr">
        <is>
          <t>27 Desember 2026</t>
        </is>
      </c>
      <c r="M24" t="inlineStr">
        <is>
          <t>Jasa Arsitektural Bangunan Gedung Hunian dan Non Hunian</t>
        </is>
      </c>
      <c r="N24" t="inlineStr">
        <is>
          <t>K</t>
        </is>
      </c>
      <c r="O24" t="inlineStr">
        <is>
          <t>20231212</t>
        </is>
      </c>
      <c r="P24" t="inlineStr">
        <is>
          <t>Jawa Barat</t>
        </is>
      </c>
      <c r="Q24" t="inlineStr"/>
    </row>
    <row r="25">
      <c r="A25" t="inlineStr">
        <is>
          <t>ASIA JULI PRADANA</t>
        </is>
      </c>
      <c r="B25" t="inlineStr">
        <is>
          <t>Kota Adm. Jakarta Selatan</t>
        </is>
      </c>
      <c r="C25" t="inlineStr">
        <is>
          <t>0217665069</t>
        </is>
      </c>
      <c r="D25" t="inlineStr">
        <is>
          <t>asiajuli.pradana@gmail.com</t>
        </is>
      </c>
      <c r="E25" t="inlineStr">
        <is>
          <t>https://lpjk.pu.go.id/search-badan-usaha-detail/UklCeEp3Q1ZwdGh0ZzhzMkRFWU5zZkJLZjVIZHBSL0cvblRCOHMzTGtLcz0</t>
        </is>
      </c>
      <c r="F25" t="n">
        <v>1</v>
      </c>
      <c r="G25" t="inlineStr">
        <is>
          <t>RK003</t>
        </is>
      </c>
      <c r="H25" t="inlineStr">
        <is>
          <t>19 Desember 2019</t>
        </is>
      </c>
      <c r="I25" s="2" t="n">
        <v>46383</v>
      </c>
      <c r="J25" t="inlineStr">
        <is>
          <t>Disetujui</t>
        </is>
      </c>
      <c r="K25" t="n">
        <v>87</v>
      </c>
      <c r="L25" t="inlineStr">
        <is>
          <t>27 Desember 2026</t>
        </is>
      </c>
      <c r="M25" t="inlineStr">
        <is>
          <t>Jasa Rekayasa Pekerjaan Teknik Sipil Transportasi</t>
        </is>
      </c>
      <c r="N25" t="inlineStr">
        <is>
          <t>K</t>
        </is>
      </c>
      <c r="O25" t="inlineStr">
        <is>
          <t>20231215</t>
        </is>
      </c>
      <c r="P25" t="inlineStr">
        <is>
          <t>DKI Jakarta</t>
        </is>
      </c>
      <c r="Q25" t="inlineStr"/>
    </row>
    <row r="26">
      <c r="A26" t="inlineStr">
        <is>
          <t>ASKON MULTI JASA</t>
        </is>
      </c>
      <c r="B26" t="inlineStr">
        <is>
          <t>Kota Pontianak</t>
        </is>
      </c>
      <c r="C26" t="inlineStr">
        <is>
          <t>089667211206</t>
        </is>
      </c>
      <c r="D26" t="inlineStr">
        <is>
          <t>multijasa.askon@gmail.com</t>
        </is>
      </c>
      <c r="E26" t="inlineStr">
        <is>
          <t>https://lpjk.pu.go.id/search-badan-usaha-detail/THAwTFVZeXpvRVdqczdxdWhiWUl5dz09</t>
        </is>
      </c>
      <c r="F26" t="n">
        <v>1</v>
      </c>
      <c r="G26" t="inlineStr">
        <is>
          <t>RK002</t>
        </is>
      </c>
      <c r="H26" t="inlineStr">
        <is>
          <t>11 Desember 2008</t>
        </is>
      </c>
      <c r="I26" s="2" t="n">
        <v>46383</v>
      </c>
      <c r="J26" t="inlineStr">
        <is>
          <t>Disetujui</t>
        </is>
      </c>
      <c r="K26" t="n">
        <v>87</v>
      </c>
      <c r="L26" t="inlineStr">
        <is>
          <t>27 Desember 2026</t>
        </is>
      </c>
      <c r="M26" t="inlineStr">
        <is>
          <t>Jasa Rekayasa Pekerjaan Teknik Sipil Sumber Daya Air</t>
        </is>
      </c>
      <c r="N26" t="inlineStr">
        <is>
          <t>K</t>
        </is>
      </c>
      <c r="O26" t="inlineStr">
        <is>
          <t>20231218</t>
        </is>
      </c>
      <c r="P26" t="inlineStr">
        <is>
          <t>Kalimantan Barat</t>
        </is>
      </c>
      <c r="Q26" t="inlineStr"/>
    </row>
    <row r="27">
      <c r="A27" t="inlineStr">
        <is>
          <t>AZKA CIPTA ENGINEERING CONSULTANT</t>
        </is>
      </c>
      <c r="B27" t="inlineStr">
        <is>
          <t>Kab. Pasuruan</t>
        </is>
      </c>
      <c r="C27" t="inlineStr">
        <is>
          <t>081233993472</t>
        </is>
      </c>
      <c r="D27" t="inlineStr">
        <is>
          <t>cvazka3@gmail.com</t>
        </is>
      </c>
      <c r="E27" t="inlineStr">
        <is>
          <t>https://lpjk.pu.go.id/search-badan-usaha-detail/bFJHNG1GTTZmSllEcnNTUG5NY3Y1dz09</t>
        </is>
      </c>
      <c r="F27" t="n">
        <v>1</v>
      </c>
      <c r="G27" t="inlineStr">
        <is>
          <t>RK002</t>
        </is>
      </c>
      <c r="H27" t="inlineStr">
        <is>
          <t>22 Mei 2023</t>
        </is>
      </c>
      <c r="I27" s="2" t="n">
        <v>46383</v>
      </c>
      <c r="J27" t="inlineStr">
        <is>
          <t>Pencabutan</t>
        </is>
      </c>
      <c r="K27" t="n">
        <v>87</v>
      </c>
      <c r="L27" t="inlineStr">
        <is>
          <t>27 Desember 2026</t>
        </is>
      </c>
      <c r="M27" t="inlineStr">
        <is>
          <t>Jasa Rekayasa Pekerjaan Teknik Sipil Sumber Daya Air</t>
        </is>
      </c>
      <c r="N27" t="inlineStr">
        <is>
          <t>K</t>
        </is>
      </c>
      <c r="O27" t="inlineStr">
        <is>
          <t>20231207</t>
        </is>
      </c>
      <c r="P27" t="inlineStr">
        <is>
          <t>Jawa Timur</t>
        </is>
      </c>
      <c r="Q27" t="inlineStr"/>
    </row>
    <row r="28">
      <c r="A28" t="inlineStr">
        <is>
          <t>BAJA KONSTRUKSI ABADI</t>
        </is>
      </c>
      <c r="B28" t="inlineStr">
        <is>
          <t>Kota Tangerang Selatan</t>
        </is>
      </c>
      <c r="C28" t="inlineStr">
        <is>
          <t>08197401996</t>
        </is>
      </c>
      <c r="D28" t="inlineStr">
        <is>
          <t>bajakonstruksi123@gmail.com</t>
        </is>
      </c>
      <c r="E28" t="inlineStr">
        <is>
          <t>https://lpjk.pu.go.id/search-badan-usaha-detail/Mmc1RUVzYWFCeTlyU2JkZEFIdytydz09</t>
        </is>
      </c>
      <c r="F28" t="n">
        <v>1</v>
      </c>
      <c r="G28" t="inlineStr">
        <is>
          <t>BG001</t>
        </is>
      </c>
      <c r="H28" t="inlineStr">
        <is>
          <t>10 November 2023</t>
        </is>
      </c>
      <c r="I28" s="2" t="n">
        <v>46383</v>
      </c>
      <c r="J28" t="inlineStr">
        <is>
          <t>Disetujui</t>
        </is>
      </c>
      <c r="K28" t="n">
        <v>87</v>
      </c>
      <c r="L28" t="inlineStr">
        <is>
          <t>27 Desember 2026</t>
        </is>
      </c>
      <c r="M28" t="inlineStr">
        <is>
          <t>Konstruksi Gedung Hunian</t>
        </is>
      </c>
      <c r="N28" t="inlineStr">
        <is>
          <t>K</t>
        </is>
      </c>
      <c r="O28" t="inlineStr">
        <is>
          <t>20231125</t>
        </is>
      </c>
      <c r="P28" t="inlineStr">
        <is>
          <t>Banten</t>
        </is>
      </c>
      <c r="Q28" t="inlineStr"/>
    </row>
    <row r="29">
      <c r="A29" t="inlineStr">
        <is>
          <t>BANGUN KARYA PERKASA JAYA</t>
        </is>
      </c>
      <c r="B29" t="inlineStr">
        <is>
          <t>Kota Surabaya</t>
        </is>
      </c>
      <c r="C29" t="inlineStr">
        <is>
          <t>082230570908</t>
        </is>
      </c>
      <c r="D29" t="inlineStr">
        <is>
          <t>pt_bkpjaya@yahoo.com</t>
        </is>
      </c>
      <c r="E29" t="inlineStr">
        <is>
          <t>https://lpjk.pu.go.id/search-badan-usaha-detail/dG5iUFJFaWdzKzZBS1pOQ1FRbnpJdz09</t>
        </is>
      </c>
      <c r="F29" t="n">
        <v>1</v>
      </c>
      <c r="G29" t="inlineStr">
        <is>
          <t>BG008</t>
        </is>
      </c>
      <c r="H29" t="inlineStr">
        <is>
          <t>7 Januari 2007</t>
        </is>
      </c>
      <c r="I29" s="2" t="n">
        <v>46383</v>
      </c>
      <c r="J29" t="inlineStr">
        <is>
          <t>Disetujui</t>
        </is>
      </c>
      <c r="K29" t="n">
        <v>87</v>
      </c>
      <c r="L29" t="inlineStr">
        <is>
          <t>27 Desember 2026</t>
        </is>
      </c>
      <c r="M29" t="inlineStr">
        <is>
          <t>Konstruksi Gedung Tempat Hiburan dan Olahraga</t>
        </is>
      </c>
      <c r="N29" t="inlineStr">
        <is>
          <t>M</t>
        </is>
      </c>
      <c r="O29" t="inlineStr">
        <is>
          <t>20231010</t>
        </is>
      </c>
      <c r="P29" t="inlineStr">
        <is>
          <t>Jawa Timur</t>
        </is>
      </c>
      <c r="Q29" t="inlineStr"/>
    </row>
    <row r="30">
      <c r="A30" t="inlineStr">
        <is>
          <t>BAWONO PUTRA SEJAHTERA</t>
        </is>
      </c>
      <c r="B30" t="inlineStr">
        <is>
          <t>Kab. Purbalingga</t>
        </is>
      </c>
      <c r="C30" t="inlineStr">
        <is>
          <t>085848766644</t>
        </is>
      </c>
      <c r="D30" t="inlineStr">
        <is>
          <t>bawono_p@yahoo.com</t>
        </is>
      </c>
      <c r="E30" t="inlineStr">
        <is>
          <t>https://lpjk.pu.go.id/search-badan-usaha-detail/S2d5UkVvSzlIUkV5TzBDUDh3MjI3UT09</t>
        </is>
      </c>
      <c r="F30" t="n">
        <v>3</v>
      </c>
      <c r="G30" t="inlineStr">
        <is>
          <t>BG004, BG005, BG006</t>
        </is>
      </c>
      <c r="H30" t="inlineStr">
        <is>
          <t>22 November 2023</t>
        </is>
      </c>
      <c r="I30" s="2" t="n">
        <v>46383</v>
      </c>
      <c r="J30" t="inlineStr">
        <is>
          <t>Disetujui</t>
        </is>
      </c>
      <c r="K30" t="n">
        <v>87</v>
      </c>
      <c r="L30" t="inlineStr">
        <is>
          <t>27 Desember 2026</t>
        </is>
      </c>
      <c r="M30" t="inlineStr">
        <is>
          <t>Konstruksi Gedung Kesehatan, Konstruksi Gedung Pendidikan, Konstruksi Gedung Perbelanjaan</t>
        </is>
      </c>
      <c r="N30" t="inlineStr">
        <is>
          <t>K</t>
        </is>
      </c>
      <c r="O30" t="inlineStr">
        <is>
          <t>20231221</t>
        </is>
      </c>
      <c r="P30" t="inlineStr">
        <is>
          <t>Jawa Tengah</t>
        </is>
      </c>
      <c r="Q30" t="inlineStr"/>
    </row>
    <row r="31">
      <c r="A31" t="inlineStr">
        <is>
          <t>BENGKEL KREASINDO KEPRI</t>
        </is>
      </c>
      <c r="B31" t="inlineStr">
        <is>
          <t>Kota Tanjung Pinang</t>
        </is>
      </c>
      <c r="C31" t="inlineStr">
        <is>
          <t>0811702503</t>
        </is>
      </c>
      <c r="D31" t="inlineStr">
        <is>
          <t>cvbengkelkreasindokepri.bkk@gmail.com</t>
        </is>
      </c>
      <c r="E31" t="inlineStr">
        <is>
          <t>https://lpjk.pu.go.id/search-badan-usaha-detail/SFAyY0xxWXNZZjk5Q0NmeE5nSC9EZz09</t>
        </is>
      </c>
      <c r="F31" t="n">
        <v>3</v>
      </c>
      <c r="G31" t="inlineStr">
        <is>
          <t>BS004, BS010, PB004</t>
        </is>
      </c>
      <c r="H31" t="inlineStr">
        <is>
          <t>19 Januari 2022</t>
        </is>
      </c>
      <c r="I31" s="2" t="n">
        <v>46383</v>
      </c>
      <c r="J31" t="inlineStr">
        <is>
          <t>Disetujui</t>
        </is>
      </c>
      <c r="K31" t="n">
        <v>87</v>
      </c>
      <c r="L31" t="inlineStr">
        <is>
          <t>27 Desember 2026</t>
        </is>
      </c>
      <c r="M31" t="inlineStr">
        <is>
          <t>Dekorasi Interior, Konstruksi Bangunan Prasarana Sumber Daya Air, Konstruksi Jaringan Irigasi dan Drainase</t>
        </is>
      </c>
      <c r="N31" t="inlineStr">
        <is>
          <t>K, Spesialis</t>
        </is>
      </c>
      <c r="O31" t="inlineStr">
        <is>
          <t>20230802, 20231211, 20231228</t>
        </is>
      </c>
      <c r="P31" t="inlineStr">
        <is>
          <t>Kepulauan Riau</t>
        </is>
      </c>
      <c r="Q31" t="inlineStr"/>
    </row>
    <row r="32">
      <c r="A32" t="inlineStr">
        <is>
          <t>BERNHARD JAYA ABADI</t>
        </is>
      </c>
      <c r="B32" t="inlineStr">
        <is>
          <t>Kota Cimahi</t>
        </is>
      </c>
      <c r="C32" t="inlineStr">
        <is>
          <t>081214811007</t>
        </is>
      </c>
      <c r="D32" t="inlineStr">
        <is>
          <t>aarbylan18@yahoo.com</t>
        </is>
      </c>
      <c r="E32" t="inlineStr">
        <is>
          <t>https://lpjk.pu.go.id/search-badan-usaha-detail/WXAxQnJtM0hjL0Rra0JlOWZCdmp4dz09</t>
        </is>
      </c>
      <c r="F32" t="n">
        <v>1</v>
      </c>
      <c r="G32" t="inlineStr">
        <is>
          <t>BS005</t>
        </is>
      </c>
      <c r="H32" t="inlineStr">
        <is>
          <t>5 Oktober 2023</t>
        </is>
      </c>
      <c r="I32" s="2" t="n">
        <v>46383</v>
      </c>
      <c r="J32" t="inlineStr">
        <is>
          <t>Disetujui</t>
        </is>
      </c>
      <c r="K32" t="n">
        <v>87</v>
      </c>
      <c r="L32" t="inlineStr">
        <is>
          <t>27 Desember 2026</t>
        </is>
      </c>
      <c r="M32" t="inlineStr">
        <is>
          <t>Konstruksi Bangunan Sipil Pengolahan Air Bersih</t>
        </is>
      </c>
      <c r="N32" t="inlineStr">
        <is>
          <t>K</t>
        </is>
      </c>
      <c r="O32" t="inlineStr">
        <is>
          <t>20231201</t>
        </is>
      </c>
      <c r="P32" t="inlineStr">
        <is>
          <t>Jawa Barat</t>
        </is>
      </c>
      <c r="Q32" t="inlineStr"/>
    </row>
    <row r="33">
      <c r="A33" t="inlineStr">
        <is>
          <t>BINTANG SAMUDRA</t>
        </is>
      </c>
      <c r="B33" t="inlineStr">
        <is>
          <t>Kab. Banyuwangi</t>
        </is>
      </c>
      <c r="C33" t="inlineStr">
        <is>
          <t>083847704020</t>
        </is>
      </c>
      <c r="D33" t="inlineStr">
        <is>
          <t>bintangsamudra05@gmail.com</t>
        </is>
      </c>
      <c r="E33" t="inlineStr">
        <is>
          <t>https://lpjk.pu.go.id/search-badan-usaha-detail/Vzg3SnUyblpGekRoV0ZjdXlGM0pjUT09</t>
        </is>
      </c>
      <c r="F33" t="n">
        <v>2</v>
      </c>
      <c r="G33" t="inlineStr">
        <is>
          <t>BS004</t>
        </is>
      </c>
      <c r="H33" t="inlineStr">
        <is>
          <t>29 September 2016</t>
        </is>
      </c>
      <c r="I33" s="2" t="n">
        <v>46383</v>
      </c>
      <c r="J33" t="inlineStr">
        <is>
          <t>Disetujui</t>
        </is>
      </c>
      <c r="K33" t="n">
        <v>87</v>
      </c>
      <c r="L33" t="inlineStr">
        <is>
          <t>27 Desember 2026</t>
        </is>
      </c>
      <c r="M33" t="inlineStr">
        <is>
          <t>Konstruksi Jaringan Irigasi dan Drainase</t>
        </is>
      </c>
      <c r="N33" t="inlineStr">
        <is>
          <t>K</t>
        </is>
      </c>
      <c r="O33" t="inlineStr">
        <is>
          <t>20231111</t>
        </is>
      </c>
      <c r="P33" t="inlineStr">
        <is>
          <t>Jawa Timur</t>
        </is>
      </c>
      <c r="Q33" t="inlineStr"/>
    </row>
    <row r="34">
      <c r="A34" t="inlineStr">
        <is>
          <t>BUANA CAHAYATAMA</t>
        </is>
      </c>
      <c r="B34" t="inlineStr">
        <is>
          <t>Kota Surabaya</t>
        </is>
      </c>
      <c r="C34" t="inlineStr">
        <is>
          <t>0315631530</t>
        </is>
      </c>
      <c r="D34" t="inlineStr">
        <is>
          <t>info@buana-ct.co.id</t>
        </is>
      </c>
      <c r="E34" t="inlineStr">
        <is>
          <t>https://lpjk.pu.go.id/search-badan-usaha-detail/QXoyNUJUWGl2UXZCZWVwb2IvTlNzQT09</t>
        </is>
      </c>
      <c r="F34" t="n">
        <v>1</v>
      </c>
      <c r="G34" t="inlineStr">
        <is>
          <t>IN001</t>
        </is>
      </c>
      <c r="H34" t="inlineStr">
        <is>
          <t>21 Oktober 2004</t>
        </is>
      </c>
      <c r="I34" s="2" t="n">
        <v>46383</v>
      </c>
      <c r="J34" t="inlineStr">
        <is>
          <t>Disetujui</t>
        </is>
      </c>
      <c r="K34" t="n">
        <v>87</v>
      </c>
      <c r="L34" t="inlineStr">
        <is>
          <t>27 Desember 2026</t>
        </is>
      </c>
      <c r="M34" t="inlineStr">
        <is>
          <t>Instalasi Mekanikal</t>
        </is>
      </c>
      <c r="N34" t="inlineStr">
        <is>
          <t>Spesialis</t>
        </is>
      </c>
      <c r="O34" t="inlineStr">
        <is>
          <t>20230620</t>
        </is>
      </c>
      <c r="P34" t="inlineStr">
        <is>
          <t>Jawa Timur</t>
        </is>
      </c>
      <c r="Q34" t="inlineStr"/>
    </row>
    <row r="35">
      <c r="A35" t="inlineStr">
        <is>
          <t>BUNGARAN SIMALINDO</t>
        </is>
      </c>
      <c r="B35" t="inlineStr">
        <is>
          <t>Kota Tebing Tinggi</t>
        </is>
      </c>
      <c r="C35" t="inlineStr">
        <is>
          <t>081376551785</t>
        </is>
      </c>
      <c r="D35" t="inlineStr">
        <is>
          <t>bungaransimalindo@gmail.com</t>
        </is>
      </c>
      <c r="E35" t="inlineStr">
        <is>
          <t>https://lpjk.pu.go.id/search-badan-usaha-detail/UVpHUVRiQTNhakMyTjRTUVBudDgxdz09</t>
        </is>
      </c>
      <c r="F35" t="n">
        <v>2</v>
      </c>
      <c r="G35" t="inlineStr">
        <is>
          <t>BG009</t>
        </is>
      </c>
      <c r="H35" t="inlineStr">
        <is>
          <t>12 Juli 2018</t>
        </is>
      </c>
      <c r="I35" s="2" t="n">
        <v>46383</v>
      </c>
      <c r="J35" t="inlineStr">
        <is>
          <t>Disetujui</t>
        </is>
      </c>
      <c r="K35" t="n">
        <v>87</v>
      </c>
      <c r="L35" t="inlineStr">
        <is>
          <t>27 Desember 2026</t>
        </is>
      </c>
      <c r="M35" t="inlineStr">
        <is>
          <t>Konstruksi Gedung Lainnya</t>
        </is>
      </c>
      <c r="N35" t="inlineStr">
        <is>
          <t>K</t>
        </is>
      </c>
      <c r="O35" t="inlineStr">
        <is>
          <t>20231217</t>
        </is>
      </c>
      <c r="P35" t="inlineStr">
        <is>
          <t>Sumatera Utara</t>
        </is>
      </c>
      <c r="Q35" t="inlineStr"/>
    </row>
    <row r="36">
      <c r="A36" t="inlineStr">
        <is>
          <t>CAKRAWALA SURYA PERSADA</t>
        </is>
      </c>
      <c r="B36" t="inlineStr">
        <is>
          <t>Kota Bandar Lampung</t>
        </is>
      </c>
      <c r="C36" t="inlineStr">
        <is>
          <t>N/A</t>
        </is>
      </c>
      <c r="D36" t="inlineStr">
        <is>
          <t>N/A</t>
        </is>
      </c>
      <c r="E36" t="inlineStr">
        <is>
          <t>https://lpjk.pu.go.id/search-badan-usaha-detail/MDVWSmpaMVd1ckJlMS9GNzlFMVNCUT09</t>
        </is>
      </c>
      <c r="F36" t="n">
        <v>1</v>
      </c>
      <c r="G36" t="inlineStr">
        <is>
          <t>BG001</t>
        </is>
      </c>
      <c r="H36" t="inlineStr"/>
      <c r="I36" s="2" t="n">
        <v>46383</v>
      </c>
      <c r="J36" t="inlineStr">
        <is>
          <t>Disetujui</t>
        </is>
      </c>
      <c r="K36" t="n">
        <v>87</v>
      </c>
      <c r="L36" t="inlineStr">
        <is>
          <t>27 Desember 2026</t>
        </is>
      </c>
      <c r="M36" t="inlineStr">
        <is>
          <t>Konstruksi Gedung Hunian</t>
        </is>
      </c>
      <c r="N36" t="inlineStr">
        <is>
          <t>K</t>
        </is>
      </c>
      <c r="O36" t="inlineStr">
        <is>
          <t>20221007</t>
        </is>
      </c>
      <c r="P36" t="inlineStr">
        <is>
          <t>Lampung</t>
        </is>
      </c>
      <c r="Q36" t="inlineStr"/>
    </row>
    <row r="37">
      <c r="A37" t="inlineStr">
        <is>
          <t>CIPTA BANAWA LESTARI</t>
        </is>
      </c>
      <c r="B37" t="inlineStr">
        <is>
          <t>Kab. Donggala</t>
        </is>
      </c>
      <c r="C37" t="inlineStr">
        <is>
          <t>082191901984</t>
        </is>
      </c>
      <c r="D37" t="inlineStr">
        <is>
          <t>cv.ciptabanawalestari@ymail.com</t>
        </is>
      </c>
      <c r="E37" t="inlineStr">
        <is>
          <t>https://lpjk.pu.go.id/search-badan-usaha-detail/S0NrQ1BtYTNqaVAxTXJ5ZTJvZHR5Zz09</t>
        </is>
      </c>
      <c r="F37" t="n">
        <v>2</v>
      </c>
      <c r="G37" t="inlineStr">
        <is>
          <t>BG005</t>
        </is>
      </c>
      <c r="H37" t="inlineStr">
        <is>
          <t>19 Juli 2007</t>
        </is>
      </c>
      <c r="I37" s="2" t="n">
        <v>46383</v>
      </c>
      <c r="J37" t="inlineStr">
        <is>
          <t>Pencabutan</t>
        </is>
      </c>
      <c r="K37" t="n">
        <v>87</v>
      </c>
      <c r="L37" t="inlineStr">
        <is>
          <t>27 Desember 2026</t>
        </is>
      </c>
      <c r="M37" t="inlineStr">
        <is>
          <t>Konstruksi Gedung Kesehatan</t>
        </is>
      </c>
      <c r="N37" t="inlineStr">
        <is>
          <t>K</t>
        </is>
      </c>
      <c r="O37" t="inlineStr">
        <is>
          <t>20231227</t>
        </is>
      </c>
      <c r="P37" t="inlineStr">
        <is>
          <t>Sulawesi Tengah</t>
        </is>
      </c>
      <c r="Q37" t="inlineStr"/>
    </row>
    <row r="38">
      <c r="A38" t="inlineStr">
        <is>
          <t>CITRA INTAN KURNIA</t>
        </is>
      </c>
      <c r="B38" t="inlineStr">
        <is>
          <t>Kota Banjarmasin</t>
        </is>
      </c>
      <c r="C38" t="inlineStr">
        <is>
          <t>083150934542</t>
        </is>
      </c>
      <c r="D38" t="inlineStr">
        <is>
          <t>citra_intania@yahoo.com</t>
        </is>
      </c>
      <c r="E38" t="inlineStr">
        <is>
          <t>https://lpjk.pu.go.id/search-badan-usaha-detail/b2FtRGlOODZGMTl5WFdqY2ZPc1R6WjlXMWJWQi9hc2xnL3JKTGpmN1dNaz0</t>
        </is>
      </c>
      <c r="F38" t="n">
        <v>1</v>
      </c>
      <c r="G38" t="inlineStr">
        <is>
          <t>BG005</t>
        </is>
      </c>
      <c r="H38" t="inlineStr">
        <is>
          <t>8 September 2025</t>
        </is>
      </c>
      <c r="I38" s="2" t="n">
        <v>46383</v>
      </c>
      <c r="J38" t="inlineStr">
        <is>
          <t>Disetujui</t>
        </is>
      </c>
      <c r="K38" t="n">
        <v>87</v>
      </c>
      <c r="L38" t="inlineStr">
        <is>
          <t>27 Desember 2026</t>
        </is>
      </c>
      <c r="M38" t="inlineStr">
        <is>
          <t>Konstruksi Gedung Kesehatan</t>
        </is>
      </c>
      <c r="N38" t="inlineStr">
        <is>
          <t>K</t>
        </is>
      </c>
      <c r="O38" t="inlineStr">
        <is>
          <t>20231220</t>
        </is>
      </c>
      <c r="P38" t="inlineStr">
        <is>
          <t>Kalimantan Selatan</t>
        </is>
      </c>
      <c r="Q38" t="inlineStr"/>
    </row>
    <row r="39">
      <c r="A39" t="inlineStr">
        <is>
          <t>DASAR BANGUN MULIA</t>
        </is>
      </c>
      <c r="B39" t="inlineStr">
        <is>
          <t>Kab. Tangerang</t>
        </is>
      </c>
      <c r="C39" t="inlineStr">
        <is>
          <t>081314726628</t>
        </is>
      </c>
      <c r="D39" t="inlineStr">
        <is>
          <t>dasarbangunmulia.cv@gmail.com</t>
        </is>
      </c>
      <c r="E39" t="inlineStr">
        <is>
          <t>https://lpjk.pu.go.id/search-badan-usaha-detail/NUxmS2tnWEZCdE1XZ2RRMDBvYnQrQT09</t>
        </is>
      </c>
      <c r="F39" t="n">
        <v>2</v>
      </c>
      <c r="G39" t="inlineStr">
        <is>
          <t>BG001</t>
        </is>
      </c>
      <c r="H39" t="inlineStr">
        <is>
          <t>22 Desember 2023</t>
        </is>
      </c>
      <c r="I39" s="2" t="n">
        <v>46383</v>
      </c>
      <c r="J39" t="inlineStr">
        <is>
          <t>Disetujui</t>
        </is>
      </c>
      <c r="K39" t="n">
        <v>87</v>
      </c>
      <c r="L39" t="inlineStr">
        <is>
          <t>27 Desember 2026</t>
        </is>
      </c>
      <c r="M39" t="inlineStr">
        <is>
          <t>Konstruksi Gedung Hunian</t>
        </is>
      </c>
      <c r="N39" t="inlineStr">
        <is>
          <t>K</t>
        </is>
      </c>
      <c r="O39" t="inlineStr">
        <is>
          <t>20231222</t>
        </is>
      </c>
      <c r="P39" t="inlineStr">
        <is>
          <t>Banten</t>
        </is>
      </c>
      <c r="Q39" t="inlineStr"/>
    </row>
    <row r="40">
      <c r="A40" t="inlineStr">
        <is>
          <t>DAVIRA NUSANTARA</t>
        </is>
      </c>
      <c r="B40" t="inlineStr">
        <is>
          <t>Kab. Ciamis</t>
        </is>
      </c>
      <c r="C40" t="inlineStr">
        <is>
          <t>081214771888</t>
        </is>
      </c>
      <c r="D40" t="inlineStr">
        <is>
          <t>nusantaradavira@gmail.com</t>
        </is>
      </c>
      <c r="E40" t="inlineStr">
        <is>
          <t>https://lpjk.pu.go.id/search-badan-usaha-detail/MlkyclhmemRLcFduWFpJQ3FlVnhaUT09</t>
        </is>
      </c>
      <c r="F40" t="n">
        <v>9</v>
      </c>
      <c r="G40" t="inlineStr">
        <is>
          <t>BG002, BG004, BG005, BG006, BG009, BS001, BS002, BS004</t>
        </is>
      </c>
      <c r="H40" t="inlineStr">
        <is>
          <t>1 September 2020</t>
        </is>
      </c>
      <c r="I40" s="2" t="n">
        <v>46383</v>
      </c>
      <c r="J40" t="inlineStr">
        <is>
          <t>Disetujui</t>
        </is>
      </c>
      <c r="K40" t="n">
        <v>87</v>
      </c>
      <c r="L40" t="inlineStr">
        <is>
          <t>27 Desember 2026</t>
        </is>
      </c>
      <c r="M40"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40" t="inlineStr">
        <is>
          <t>K</t>
        </is>
      </c>
      <c r="O40" t="inlineStr">
        <is>
          <t>20231212, 20231213</t>
        </is>
      </c>
      <c r="P40" t="inlineStr">
        <is>
          <t>Jawa Barat</t>
        </is>
      </c>
      <c r="Q40" t="inlineStr"/>
    </row>
    <row r="41">
      <c r="A41" t="inlineStr">
        <is>
          <t>DIKHA PRATAMA</t>
        </is>
      </c>
      <c r="B41" t="inlineStr">
        <is>
          <t>Kab. Sumbawa</t>
        </is>
      </c>
      <c r="C41" t="inlineStr">
        <is>
          <t>082145384422</t>
        </is>
      </c>
      <c r="D41" t="inlineStr">
        <is>
          <t>cv.dhikapratama02@gmail.com</t>
        </is>
      </c>
      <c r="E41" t="inlineStr">
        <is>
          <t>https://lpjk.pu.go.id/search-badan-usaha-detail/RzVkVTA4eFRsOEdxL1puR3VtMnZrUT09</t>
        </is>
      </c>
      <c r="F41" t="n">
        <v>1</v>
      </c>
      <c r="G41" t="inlineStr">
        <is>
          <t>BG002</t>
        </is>
      </c>
      <c r="H41" t="inlineStr">
        <is>
          <t>9 Juli 2001</t>
        </is>
      </c>
      <c r="I41" s="2" t="n">
        <v>46383</v>
      </c>
      <c r="J41" t="inlineStr">
        <is>
          <t>Disetujui</t>
        </is>
      </c>
      <c r="K41" t="n">
        <v>87</v>
      </c>
      <c r="L41" t="inlineStr">
        <is>
          <t>27 Desember 2026</t>
        </is>
      </c>
      <c r="M41" t="inlineStr">
        <is>
          <t>Konstruksi Gedung Perkantoran</t>
        </is>
      </c>
      <c r="N41" t="inlineStr">
        <is>
          <t>K</t>
        </is>
      </c>
      <c r="O41" t="inlineStr">
        <is>
          <t>20231221</t>
        </is>
      </c>
      <c r="P41" t="inlineStr">
        <is>
          <t>Nusa Tenggara Barat</t>
        </is>
      </c>
      <c r="Q41" t="inlineStr"/>
    </row>
    <row r="42">
      <c r="A42" t="inlineStr">
        <is>
          <t>DIMENSI BANGUN PERSADA</t>
        </is>
      </c>
      <c r="B42" t="inlineStr">
        <is>
          <t>Kota Pematangsiantar</t>
        </is>
      </c>
      <c r="C42" t="inlineStr">
        <is>
          <t>081360232885</t>
        </is>
      </c>
      <c r="D42" t="inlineStr">
        <is>
          <t>griyadimensi@gmail.com</t>
        </is>
      </c>
      <c r="E42" t="inlineStr">
        <is>
          <t>https://lpjk.pu.go.id/search-badan-usaha-detail/NHJ3cFBXUWhzSmN6djFiSElyaWNSQT09</t>
        </is>
      </c>
      <c r="F42" t="n">
        <v>1</v>
      </c>
      <c r="G42" t="inlineStr">
        <is>
          <t>BG001</t>
        </is>
      </c>
      <c r="H42" t="inlineStr">
        <is>
          <t>1 Januari 2018</t>
        </is>
      </c>
      <c r="I42" s="2" t="n">
        <v>46383</v>
      </c>
      <c r="J42" t="inlineStr">
        <is>
          <t>Disetujui</t>
        </is>
      </c>
      <c r="K42" t="n">
        <v>87</v>
      </c>
      <c r="L42" t="inlineStr">
        <is>
          <t>27 Desember 2026</t>
        </is>
      </c>
      <c r="M42" t="inlineStr">
        <is>
          <t>Konstruksi Gedung Hunian</t>
        </is>
      </c>
      <c r="N42" t="inlineStr">
        <is>
          <t>K</t>
        </is>
      </c>
      <c r="O42" t="inlineStr">
        <is>
          <t>20230616</t>
        </is>
      </c>
      <c r="P42" t="inlineStr">
        <is>
          <t>Sumatera Utara</t>
        </is>
      </c>
      <c r="Q42" t="inlineStr"/>
    </row>
    <row r="43">
      <c r="A43" t="inlineStr">
        <is>
          <t>DUA BERSAUDARA</t>
        </is>
      </c>
      <c r="B43" t="inlineStr">
        <is>
          <t>Kota Binjai</t>
        </is>
      </c>
      <c r="C43" t="inlineStr">
        <is>
          <t>0618824260</t>
        </is>
      </c>
      <c r="D43" t="inlineStr">
        <is>
          <t>irwantaruna20@yahoo.com</t>
        </is>
      </c>
      <c r="E43" t="inlineStr">
        <is>
          <t>https://lpjk.pu.go.id/search-badan-usaha-detail/ajRhL3dmVlptZDEzMm9haEIvYlpSQT09</t>
        </is>
      </c>
      <c r="F43" t="n">
        <v>1</v>
      </c>
      <c r="G43" t="inlineStr">
        <is>
          <t>BS001</t>
        </is>
      </c>
      <c r="H43" t="inlineStr">
        <is>
          <t>20 Oktober 2008</t>
        </is>
      </c>
      <c r="I43" s="2" t="n">
        <v>46383</v>
      </c>
      <c r="J43" t="inlineStr">
        <is>
          <t>Disetujui</t>
        </is>
      </c>
      <c r="K43" t="n">
        <v>87</v>
      </c>
      <c r="L43" t="inlineStr">
        <is>
          <t>27 Desember 2026</t>
        </is>
      </c>
      <c r="M43" t="inlineStr">
        <is>
          <t>Konstruksi Bangunan Sipil Jalan</t>
        </is>
      </c>
      <c r="N43" t="inlineStr">
        <is>
          <t>K</t>
        </is>
      </c>
      <c r="O43" t="inlineStr">
        <is>
          <t>20231218</t>
        </is>
      </c>
      <c r="P43" t="inlineStr">
        <is>
          <t>Sumatera Utara</t>
        </is>
      </c>
      <c r="Q43" t="inlineStr"/>
    </row>
    <row r="44">
      <c r="A44" t="inlineStr">
        <is>
          <t>DUA LIMA PERSADA</t>
        </is>
      </c>
      <c r="B44" t="inlineStr">
        <is>
          <t>Kab. Boalemo</t>
        </is>
      </c>
      <c r="C44" t="inlineStr">
        <is>
          <t>082122306390</t>
        </is>
      </c>
      <c r="D44" t="inlineStr">
        <is>
          <t>persadadualima2525@gmail.com</t>
        </is>
      </c>
      <c r="E44" t="inlineStr">
        <is>
          <t>https://lpjk.pu.go.id/search-badan-usaha-detail/SDZsYXJ6YzZQNmlkWWJJV3hzL2YxZz09</t>
        </is>
      </c>
      <c r="F44" t="n">
        <v>1</v>
      </c>
      <c r="G44" t="inlineStr">
        <is>
          <t>BG009</t>
        </is>
      </c>
      <c r="H44" t="inlineStr">
        <is>
          <t>2 November 2023</t>
        </is>
      </c>
      <c r="I44" s="2" t="n">
        <v>46383</v>
      </c>
      <c r="J44" t="inlineStr">
        <is>
          <t>Disetujui</t>
        </is>
      </c>
      <c r="K44" t="n">
        <v>87</v>
      </c>
      <c r="L44" t="inlineStr">
        <is>
          <t>27 Desember 2026</t>
        </is>
      </c>
      <c r="M44" t="inlineStr">
        <is>
          <t>Konstruksi Gedung Lainnya</t>
        </is>
      </c>
      <c r="N44" t="inlineStr">
        <is>
          <t>K</t>
        </is>
      </c>
      <c r="O44" t="inlineStr">
        <is>
          <t>20231227</t>
        </is>
      </c>
      <c r="P44" t="inlineStr">
        <is>
          <t>Gorontalo</t>
        </is>
      </c>
      <c r="Q44" t="inlineStr"/>
    </row>
    <row r="45">
      <c r="A45" t="inlineStr">
        <is>
          <t>DUTA KARYA</t>
        </is>
      </c>
      <c r="B45" t="inlineStr">
        <is>
          <t>Kab. Cilacap</t>
        </is>
      </c>
      <c r="C45" t="inlineStr">
        <is>
          <t>081225669826</t>
        </is>
      </c>
      <c r="D45" t="inlineStr">
        <is>
          <t>dutakaryaclp@yahoo.com</t>
        </is>
      </c>
      <c r="E45" t="inlineStr">
        <is>
          <t>https://lpjk.pu.go.id/search-badan-usaha-detail/MkdjM2ZXK0JJU3dBaVk1SVdOcWpMZz09</t>
        </is>
      </c>
      <c r="F45" t="n">
        <v>2</v>
      </c>
      <c r="G45" t="inlineStr">
        <is>
          <t>BS001, BS004</t>
        </is>
      </c>
      <c r="H45" t="inlineStr">
        <is>
          <t>9 Oktober 1991</t>
        </is>
      </c>
      <c r="I45" s="2" t="n">
        <v>46383</v>
      </c>
      <c r="J45" t="inlineStr">
        <is>
          <t>Disetujui</t>
        </is>
      </c>
      <c r="K45" t="n">
        <v>87</v>
      </c>
      <c r="L45" t="inlineStr">
        <is>
          <t>27 Desember 2026</t>
        </is>
      </c>
      <c r="M45" t="inlineStr">
        <is>
          <t>Konstruksi Bangunan Sipil Jalan, Konstruksi Jaringan Irigasi dan Drainase</t>
        </is>
      </c>
      <c r="N45" t="inlineStr">
        <is>
          <t>K</t>
        </is>
      </c>
      <c r="O45" t="inlineStr">
        <is>
          <t>20231214, 20231220</t>
        </is>
      </c>
      <c r="P45" t="inlineStr">
        <is>
          <t>Jawa Tengah</t>
        </is>
      </c>
      <c r="Q45" t="inlineStr"/>
    </row>
    <row r="46">
      <c r="A46" t="inlineStr">
        <is>
          <t>FUJICON SOLUSI ENGINEERING</t>
        </is>
      </c>
      <c r="B46" t="inlineStr">
        <is>
          <t>Kota Bandung</t>
        </is>
      </c>
      <c r="C46" t="inlineStr">
        <is>
          <t>0227537631</t>
        </is>
      </c>
      <c r="D46" t="inlineStr">
        <is>
          <t>andhitiawarman@gmail.com</t>
        </is>
      </c>
      <c r="E46" t="inlineStr">
        <is>
          <t>https://lpjk.pu.go.id/search-badan-usaha-detail/VWVJdTFpank1RlZsSkw5MUR2U0Y5cEtDdmFnQ3ZVckdyazliQkNSZUFMUT0</t>
        </is>
      </c>
      <c r="F46" t="n">
        <v>2</v>
      </c>
      <c r="G46" t="inlineStr">
        <is>
          <t>RK001</t>
        </is>
      </c>
      <c r="H46" t="inlineStr">
        <is>
          <t>21 Juli 2023</t>
        </is>
      </c>
      <c r="I46" s="2" t="n">
        <v>46383</v>
      </c>
      <c r="J46" t="inlineStr">
        <is>
          <t>Disetujui</t>
        </is>
      </c>
      <c r="K46" t="n">
        <v>87</v>
      </c>
      <c r="L46" t="inlineStr">
        <is>
          <t>27 Desember 2026</t>
        </is>
      </c>
      <c r="M46" t="inlineStr">
        <is>
          <t>Jasa Rekayasa Konstruksi Bangunan Gedung Hunian dan Non Hunian</t>
        </is>
      </c>
      <c r="N46" t="inlineStr">
        <is>
          <t>K</t>
        </is>
      </c>
      <c r="O46" t="inlineStr">
        <is>
          <t>20231121</t>
        </is>
      </c>
      <c r="P46" t="inlineStr">
        <is>
          <t>Jawa Barat</t>
        </is>
      </c>
      <c r="Q46" t="inlineStr"/>
    </row>
    <row r="47">
      <c r="A47" t="inlineStr">
        <is>
          <t>GANESHA</t>
        </is>
      </c>
      <c r="B47" t="inlineStr">
        <is>
          <t>Kab. Batang</t>
        </is>
      </c>
      <c r="C47" t="inlineStr">
        <is>
          <t>085227207486</t>
        </is>
      </c>
      <c r="D47" t="inlineStr">
        <is>
          <t>ganesha.kons@gmail.com</t>
        </is>
      </c>
      <c r="E47" t="inlineStr">
        <is>
          <t>https://lpjk.pu.go.id/search-badan-usaha-detail/Wm4xZlRDNk5qT2MwakNQRncwYm50QT09</t>
        </is>
      </c>
      <c r="F47" t="n">
        <v>2</v>
      </c>
      <c r="G47" t="inlineStr">
        <is>
          <t>BG005</t>
        </is>
      </c>
      <c r="H47" t="inlineStr">
        <is>
          <t>23 Oktober 2015</t>
        </is>
      </c>
      <c r="I47" s="2" t="n">
        <v>46383</v>
      </c>
      <c r="J47" t="inlineStr">
        <is>
          <t>Disetujui</t>
        </is>
      </c>
      <c r="K47" t="n">
        <v>87</v>
      </c>
      <c r="L47" t="inlineStr">
        <is>
          <t>27 Desember 2026</t>
        </is>
      </c>
      <c r="M47" t="inlineStr">
        <is>
          <t>Konstruksi Gedung Kesehatan</t>
        </is>
      </c>
      <c r="N47" t="inlineStr">
        <is>
          <t>K</t>
        </is>
      </c>
      <c r="O47" t="inlineStr">
        <is>
          <t>20231227</t>
        </is>
      </c>
      <c r="P47" t="inlineStr">
        <is>
          <t>Jawa Tengah</t>
        </is>
      </c>
      <c r="Q47" t="inlineStr"/>
    </row>
    <row r="48">
      <c r="A48" t="inlineStr">
        <is>
          <t>GRIYA ARTHA CONSTRUCTION</t>
        </is>
      </c>
      <c r="B48" t="inlineStr">
        <is>
          <t>Kab. Banyumas</t>
        </is>
      </c>
      <c r="C48" t="inlineStr">
        <is>
          <t>081391133322</t>
        </is>
      </c>
      <c r="D48" t="inlineStr">
        <is>
          <t>idhoengemroebyoeg@gmail.com</t>
        </is>
      </c>
      <c r="E48" t="inlineStr">
        <is>
          <t>https://lpjk.pu.go.id/search-badan-usaha-detail/Q25zL1dDN05sWGw3c3FWcVRYOW5nZ1Y0T24vWDJtNEVQVjZnTU1CeHYxcz0</t>
        </is>
      </c>
      <c r="F48" t="n">
        <v>5</v>
      </c>
      <c r="G48" t="inlineStr">
        <is>
          <t>BG002, BG004, BG005, BG006, BG008</t>
        </is>
      </c>
      <c r="H48" t="inlineStr">
        <is>
          <t>22 Januari 2025</t>
        </is>
      </c>
      <c r="I48" s="2" t="n">
        <v>46383</v>
      </c>
      <c r="J48" t="inlineStr">
        <is>
          <t>Disetujui</t>
        </is>
      </c>
      <c r="K48" t="n">
        <v>87</v>
      </c>
      <c r="L48" t="inlineStr">
        <is>
          <t>27 Desember 2026</t>
        </is>
      </c>
      <c r="M48" t="inlineStr">
        <is>
          <t>Konstruksi Gedung Kesehatan, Konstruksi Gedung Pendidikan, Konstruksi Gedung Perbelanjaan, Konstruksi Gedung Perkantoran, Konstruksi Gedung Tempat Hiburan dan Olahraga</t>
        </is>
      </c>
      <c r="N48" t="inlineStr">
        <is>
          <t>K</t>
        </is>
      </c>
      <c r="O48" t="inlineStr">
        <is>
          <t>20231207, 20231220</t>
        </is>
      </c>
      <c r="P48" t="inlineStr">
        <is>
          <t>Jawa Tengah</t>
        </is>
      </c>
      <c r="Q48" t="inlineStr"/>
    </row>
    <row r="49">
      <c r="A49" t="inlineStr">
        <is>
          <t>HANANDITA HUTAMA</t>
        </is>
      </c>
      <c r="B49" t="inlineStr">
        <is>
          <t>Kab. Pati</t>
        </is>
      </c>
      <c r="C49" t="inlineStr">
        <is>
          <t>081327313666</t>
        </is>
      </c>
      <c r="D49" t="inlineStr">
        <is>
          <t>hanandita.hutama@gmail.com</t>
        </is>
      </c>
      <c r="E49" t="inlineStr">
        <is>
          <t>https://lpjk.pu.go.id/search-badan-usaha-detail/Z2NZeUZ6ajZqUENQV3N4SHpaU2g3dz09</t>
        </is>
      </c>
      <c r="F49" t="n">
        <v>1</v>
      </c>
      <c r="G49" t="inlineStr">
        <is>
          <t>BS004</t>
        </is>
      </c>
      <c r="H49" t="inlineStr">
        <is>
          <t>21 Juli 2016</t>
        </is>
      </c>
      <c r="I49" s="2" t="n">
        <v>46383</v>
      </c>
      <c r="J49" t="inlineStr">
        <is>
          <t>Disetujui</t>
        </is>
      </c>
      <c r="K49" t="n">
        <v>87</v>
      </c>
      <c r="L49" t="inlineStr">
        <is>
          <t>27 Desember 2026</t>
        </is>
      </c>
      <c r="M49" t="inlineStr">
        <is>
          <t>Konstruksi Jaringan Irigasi dan Drainase</t>
        </is>
      </c>
      <c r="N49" t="inlineStr">
        <is>
          <t>K</t>
        </is>
      </c>
      <c r="O49" t="inlineStr">
        <is>
          <t>20231215</t>
        </is>
      </c>
      <c r="P49" t="inlineStr">
        <is>
          <t>Jawa Tengah</t>
        </is>
      </c>
      <c r="Q49" t="inlineStr"/>
    </row>
    <row r="50">
      <c r="A50" t="inlineStr">
        <is>
          <t>HAQI HANASTA SINERGI</t>
        </is>
      </c>
      <c r="B50" t="inlineStr">
        <is>
          <t>Kab. Sukabumi</t>
        </is>
      </c>
      <c r="C50" t="inlineStr">
        <is>
          <t>082312114171</t>
        </is>
      </c>
      <c r="D50" t="inlineStr">
        <is>
          <t>pt.hqsinergi@gmail.com</t>
        </is>
      </c>
      <c r="E50" t="inlineStr">
        <is>
          <t>https://lpjk.pu.go.id/search-badan-usaha-detail/NkdnZ2Q5ZHQvUDlsaG9vcGphczlrUT09</t>
        </is>
      </c>
      <c r="F50" t="n">
        <v>3</v>
      </c>
      <c r="G50" t="inlineStr">
        <is>
          <t>BG003, BS001, BS004</t>
        </is>
      </c>
      <c r="H50" t="inlineStr">
        <is>
          <t>30 Agustus 2022</t>
        </is>
      </c>
      <c r="I50" s="2" t="n">
        <v>46383</v>
      </c>
      <c r="J50" t="inlineStr">
        <is>
          <t>Disetujui</t>
        </is>
      </c>
      <c r="K50" t="n">
        <v>87</v>
      </c>
      <c r="L50" t="inlineStr">
        <is>
          <t>27 Desember 2026</t>
        </is>
      </c>
      <c r="M50" t="inlineStr">
        <is>
          <t>Konstruksi Bangunan Sipil Jalan, Konstruksi Gedung Industri, Konstruksi Jaringan Irigasi dan Drainase</t>
        </is>
      </c>
      <c r="N50" t="inlineStr">
        <is>
          <t>K</t>
        </is>
      </c>
      <c r="O50" t="inlineStr">
        <is>
          <t>20231228</t>
        </is>
      </c>
      <c r="P50" t="inlineStr">
        <is>
          <t>Jawa Barat</t>
        </is>
      </c>
      <c r="Q50" t="inlineStr"/>
    </row>
    <row r="51">
      <c r="A51" t="inlineStr">
        <is>
          <t>HARI BANGUN SENTOSA</t>
        </is>
      </c>
      <c r="B51" t="inlineStr">
        <is>
          <t>Kab. Sukoharjo</t>
        </is>
      </c>
      <c r="C51" t="inlineStr">
        <is>
          <t>085728806272</t>
        </is>
      </c>
      <c r="D51" t="inlineStr">
        <is>
          <t>haribangunsentosa@gmail.com</t>
        </is>
      </c>
      <c r="E51" t="inlineStr">
        <is>
          <t>https://lpjk.pu.go.id/search-badan-usaha-detail/ZjF0TGNvVnV3dzV3S0FYT0tPbWtLUT09</t>
        </is>
      </c>
      <c r="F51" t="n">
        <v>5</v>
      </c>
      <c r="G51" t="inlineStr">
        <is>
          <t>BG002, BG005, BG006, BG008, BG009</t>
        </is>
      </c>
      <c r="H51" t="inlineStr">
        <is>
          <t>14 Februari 2017</t>
        </is>
      </c>
      <c r="I51" s="2" t="n">
        <v>46383</v>
      </c>
      <c r="J51" t="inlineStr">
        <is>
          <t>Disetujui</t>
        </is>
      </c>
      <c r="K51" t="n">
        <v>87</v>
      </c>
      <c r="L51" t="inlineStr">
        <is>
          <t>27 Desember 2026</t>
        </is>
      </c>
      <c r="M51" t="inlineStr">
        <is>
          <t>Konstruksi Gedung Kesehatan, Konstruksi Gedung Lainnya, Konstruksi Gedung Pendidikan, Konstruksi Gedung Perkantoran, Konstruksi Gedung Tempat Hiburan dan Olahraga</t>
        </is>
      </c>
      <c r="N51" t="inlineStr">
        <is>
          <t>K</t>
        </is>
      </c>
      <c r="O51" t="inlineStr">
        <is>
          <t>20231220, 20231227</t>
        </is>
      </c>
      <c r="P51" t="inlineStr">
        <is>
          <t>Jawa Tengah</t>
        </is>
      </c>
      <c r="Q51" t="inlineStr"/>
    </row>
    <row r="52">
      <c r="A52" t="inlineStr">
        <is>
          <t>INDOTUNAS MAKMUR</t>
        </is>
      </c>
      <c r="B52" t="inlineStr">
        <is>
          <t>Kota Adm. Jakarta Selatan</t>
        </is>
      </c>
      <c r="C52" t="inlineStr">
        <is>
          <t>0215205186</t>
        </is>
      </c>
      <c r="D52" t="inlineStr">
        <is>
          <t>indotunas88@gmail.com</t>
        </is>
      </c>
      <c r="E52" t="inlineStr">
        <is>
          <t>https://lpjk.pu.go.id/search-badan-usaha-detail/dm9NSUVobnFUcUhGRTVvckVSNXloZz09</t>
        </is>
      </c>
      <c r="F52" t="n">
        <v>2</v>
      </c>
      <c r="G52" t="inlineStr">
        <is>
          <t>IN001, IN002</t>
        </is>
      </c>
      <c r="H52" t="inlineStr">
        <is>
          <t>24 Agustus 2015</t>
        </is>
      </c>
      <c r="I52" s="2" t="n">
        <v>46383</v>
      </c>
      <c r="J52" t="inlineStr">
        <is>
          <t>Disetujui</t>
        </is>
      </c>
      <c r="K52" t="n">
        <v>87</v>
      </c>
      <c r="L52" t="inlineStr">
        <is>
          <t>27 Desember 2026</t>
        </is>
      </c>
      <c r="M52" t="inlineStr">
        <is>
          <t>Instalasi Mekanikal, Instalasi Telekomunikasi</t>
        </is>
      </c>
      <c r="N52" t="inlineStr">
        <is>
          <t>Spesialis</t>
        </is>
      </c>
      <c r="O52" t="inlineStr">
        <is>
          <t>20231227</t>
        </is>
      </c>
      <c r="P52" t="inlineStr">
        <is>
          <t>DKI Jakarta</t>
        </is>
      </c>
      <c r="Q52" t="inlineStr"/>
    </row>
    <row r="53">
      <c r="A53" t="inlineStr">
        <is>
          <t>INTI SARI</t>
        </is>
      </c>
      <c r="B53" t="inlineStr">
        <is>
          <t>Kab. Brebes</t>
        </is>
      </c>
      <c r="C53" t="inlineStr">
        <is>
          <t>085641217580</t>
        </is>
      </c>
      <c r="D53" t="inlineStr">
        <is>
          <t>intisaribbs@yahoo.com</t>
        </is>
      </c>
      <c r="E53" t="inlineStr">
        <is>
          <t>https://lpjk.pu.go.id/search-badan-usaha-detail/RmkxMm1sTjUrY2pLOXFVTDNXeUJGQT09</t>
        </is>
      </c>
      <c r="F53" t="n">
        <v>3</v>
      </c>
      <c r="G53" t="inlineStr">
        <is>
          <t>BG002, BG006, BS004</t>
        </is>
      </c>
      <c r="H53" t="inlineStr">
        <is>
          <t>12 November 1980</t>
        </is>
      </c>
      <c r="I53" s="2" t="n">
        <v>46383</v>
      </c>
      <c r="J53" t="inlineStr">
        <is>
          <t>Disetujui</t>
        </is>
      </c>
      <c r="K53" t="n">
        <v>87</v>
      </c>
      <c r="L53" t="inlineStr">
        <is>
          <t>27 Desember 2026</t>
        </is>
      </c>
      <c r="M53" t="inlineStr">
        <is>
          <t>Konstruksi Gedung Pendidikan, Konstruksi Gedung Perkantoran, Konstruksi Jaringan Irigasi dan Drainase</t>
        </is>
      </c>
      <c r="N53" t="inlineStr">
        <is>
          <t>K</t>
        </is>
      </c>
      <c r="O53" t="inlineStr">
        <is>
          <t>20231222</t>
        </is>
      </c>
      <c r="P53" t="inlineStr">
        <is>
          <t>Jawa Tengah</t>
        </is>
      </c>
      <c r="Q53" t="inlineStr"/>
    </row>
    <row r="54">
      <c r="A54" t="inlineStr">
        <is>
          <t>ISTIQOMAH</t>
        </is>
      </c>
      <c r="B54" t="inlineStr">
        <is>
          <t>Kota Tasikmalaya</t>
        </is>
      </c>
      <c r="C54" t="inlineStr">
        <is>
          <t>085220256335</t>
        </is>
      </c>
      <c r="D54" t="inlineStr">
        <is>
          <t>cvistiqomah26@gmail.com</t>
        </is>
      </c>
      <c r="E54" t="inlineStr">
        <is>
          <t>https://lpjk.pu.go.id/search-badan-usaha-detail/NjExQ0ZkU0ozdm85cStRUmtvTHpJdz09</t>
        </is>
      </c>
      <c r="F54" t="n">
        <v>4</v>
      </c>
      <c r="G54" t="inlineStr">
        <is>
          <t>BG002, BG009</t>
        </is>
      </c>
      <c r="H54" t="inlineStr">
        <is>
          <t>11 Desember 2023</t>
        </is>
      </c>
      <c r="I54" s="2" t="n">
        <v>46383</v>
      </c>
      <c r="J54" t="inlineStr">
        <is>
          <t>Disetujui</t>
        </is>
      </c>
      <c r="K54" t="n">
        <v>87</v>
      </c>
      <c r="L54" t="inlineStr">
        <is>
          <t>27 Desember 2026</t>
        </is>
      </c>
      <c r="M54" t="inlineStr">
        <is>
          <t>Konstruksi Gedung Lainnya, Konstruksi Gedung Perkantoran</t>
        </is>
      </c>
      <c r="N54" t="inlineStr">
        <is>
          <t>K</t>
        </is>
      </c>
      <c r="O54" t="inlineStr">
        <is>
          <t>20231218</t>
        </is>
      </c>
      <c r="P54" t="inlineStr">
        <is>
          <t>Jawa Barat</t>
        </is>
      </c>
      <c r="Q54" t="inlineStr"/>
    </row>
    <row r="55">
      <c r="A55" t="inlineStr">
        <is>
          <t>JALAJJA PUTRA</t>
        </is>
      </c>
      <c r="B55" t="inlineStr">
        <is>
          <t>Kab. Luwu Timur</t>
        </is>
      </c>
      <c r="C55" t="inlineStr">
        <is>
          <t>087816424509</t>
        </is>
      </c>
      <c r="D55" t="inlineStr">
        <is>
          <t>jalajjaputracv@gmail.com</t>
        </is>
      </c>
      <c r="E55" t="inlineStr">
        <is>
          <t>https://lpjk.pu.go.id/search-badan-usaha-detail/TzUwS1N2UmlpWmxOcWwzR0NoYVg3UT09</t>
        </is>
      </c>
      <c r="F55" t="n">
        <v>1</v>
      </c>
      <c r="G55" t="inlineStr">
        <is>
          <t>BG006</t>
        </is>
      </c>
      <c r="H55" t="inlineStr">
        <is>
          <t>6 Desember 2023</t>
        </is>
      </c>
      <c r="I55" s="2" t="n">
        <v>46383</v>
      </c>
      <c r="J55" t="inlineStr">
        <is>
          <t>Disetujui</t>
        </is>
      </c>
      <c r="K55" t="n">
        <v>87</v>
      </c>
      <c r="L55" t="inlineStr">
        <is>
          <t>27 Desember 2026</t>
        </is>
      </c>
      <c r="M55" t="inlineStr">
        <is>
          <t>Konstruksi Gedung Pendidikan</t>
        </is>
      </c>
      <c r="N55" t="inlineStr">
        <is>
          <t>K</t>
        </is>
      </c>
      <c r="O55" t="inlineStr">
        <is>
          <t>20231227</t>
        </is>
      </c>
      <c r="P55" t="inlineStr">
        <is>
          <t>Sulawesi Selatan</t>
        </is>
      </c>
      <c r="Q55" t="inlineStr"/>
    </row>
    <row r="56">
      <c r="A56" t="inlineStr">
        <is>
          <t>JAYA ABADI PRABU</t>
        </is>
      </c>
      <c r="B56" t="inlineStr">
        <is>
          <t>Kota Prabumulih</t>
        </is>
      </c>
      <c r="C56" t="inlineStr">
        <is>
          <t>085378006683</t>
        </is>
      </c>
      <c r="D56" t="inlineStr">
        <is>
          <t>pt.jayaabadiprabu@yahoo.com</t>
        </is>
      </c>
      <c r="E56" t="inlineStr">
        <is>
          <t>https://lpjk.pu.go.id/search-badan-usaha-detail/OGxveWN6dGJZYXc5ZmtUamwxSks5UT09</t>
        </is>
      </c>
      <c r="F56" t="n">
        <v>1</v>
      </c>
      <c r="G56" t="inlineStr">
        <is>
          <t>PL003</t>
        </is>
      </c>
      <c r="H56" t="inlineStr">
        <is>
          <t>27 Januari 2015</t>
        </is>
      </c>
      <c r="I56" s="2" t="n">
        <v>46383</v>
      </c>
      <c r="J56" t="inlineStr">
        <is>
          <t>Pembekuan</t>
        </is>
      </c>
      <c r="K56" t="n">
        <v>87</v>
      </c>
      <c r="L56" t="inlineStr">
        <is>
          <t>27 Desember 2026</t>
        </is>
      </c>
      <c r="M56" t="inlineStr">
        <is>
          <t>Penyiapan Lahan Konstruksi</t>
        </is>
      </c>
      <c r="N56" t="inlineStr">
        <is>
          <t>Spesialis</t>
        </is>
      </c>
      <c r="O56" t="inlineStr">
        <is>
          <t>20231031</t>
        </is>
      </c>
      <c r="P56" t="inlineStr">
        <is>
          <t>Sumatera Selatan</t>
        </is>
      </c>
      <c r="Q56" t="inlineStr"/>
    </row>
    <row r="57">
      <c r="A57" t="inlineStr">
        <is>
          <t>JAYA AGUNG HUTAMA YASA</t>
        </is>
      </c>
      <c r="B57" t="inlineStr">
        <is>
          <t>Kab. Badung</t>
        </is>
      </c>
      <c r="C57" t="inlineStr">
        <is>
          <t>0361469857</t>
        </is>
      </c>
      <c r="D57" t="inlineStr">
        <is>
          <t>gstketutagungyasaspd@yahoo.co.id</t>
        </is>
      </c>
      <c r="E57" t="inlineStr">
        <is>
          <t>https://lpjk.pu.go.id/search-badan-usaha-detail/QVBpcmNvblQ1MjVNc0QzdjBkRHF1dz09</t>
        </is>
      </c>
      <c r="F57" t="n">
        <v>1</v>
      </c>
      <c r="G57" t="inlineStr">
        <is>
          <t>BG005</t>
        </is>
      </c>
      <c r="H57" t="inlineStr">
        <is>
          <t>20 Oktober 1988</t>
        </is>
      </c>
      <c r="I57" s="2" t="n">
        <v>46383</v>
      </c>
      <c r="J57" t="inlineStr">
        <is>
          <t>Pembekuan</t>
        </is>
      </c>
      <c r="K57" t="n">
        <v>87</v>
      </c>
      <c r="L57" t="inlineStr">
        <is>
          <t>27 Desember 2026</t>
        </is>
      </c>
      <c r="M57" t="inlineStr">
        <is>
          <t>Konstruksi Gedung Kesehatan</t>
        </is>
      </c>
      <c r="N57" t="inlineStr">
        <is>
          <t>M</t>
        </is>
      </c>
      <c r="O57" t="inlineStr">
        <is>
          <t>20231227</t>
        </is>
      </c>
      <c r="P57" t="inlineStr">
        <is>
          <t>Bali</t>
        </is>
      </c>
      <c r="Q57" t="inlineStr"/>
    </row>
    <row r="58">
      <c r="A58" t="inlineStr">
        <is>
          <t>JAYA ANUGRAH LAUT</t>
        </is>
      </c>
      <c r="B58" t="inlineStr">
        <is>
          <t>Kota Medan</t>
        </is>
      </c>
      <c r="C58" t="inlineStr">
        <is>
          <t>08116002410</t>
        </is>
      </c>
      <c r="D58" t="inlineStr">
        <is>
          <t>jayaanugrahlaut2019@yahoo.com</t>
        </is>
      </c>
      <c r="E58" t="inlineStr">
        <is>
          <t>https://lpjk.pu.go.id/search-badan-usaha-detail/MEwrTk9QdDhtVnFNaWNweVNSQU5ZZz09</t>
        </is>
      </c>
      <c r="F58" t="n">
        <v>1</v>
      </c>
      <c r="G58" t="inlineStr">
        <is>
          <t>BS011</t>
        </is>
      </c>
      <c r="H58" t="inlineStr">
        <is>
          <t>18 Maret 2014</t>
        </is>
      </c>
      <c r="I58" s="2" t="n">
        <v>46383</v>
      </c>
      <c r="J58" t="inlineStr">
        <is>
          <t>Pencabutan</t>
        </is>
      </c>
      <c r="K58" t="n">
        <v>87</v>
      </c>
      <c r="L58" t="inlineStr">
        <is>
          <t>27 Desember 2026</t>
        </is>
      </c>
      <c r="M58" t="inlineStr">
        <is>
          <t>Konstruksi Bangunan Pelabuhan Bukan Perikanan</t>
        </is>
      </c>
      <c r="N58" t="inlineStr">
        <is>
          <t>M</t>
        </is>
      </c>
      <c r="O58" t="inlineStr">
        <is>
          <t>20231221</t>
        </is>
      </c>
      <c r="P58" t="inlineStr">
        <is>
          <t>Sumatera Utara</t>
        </is>
      </c>
      <c r="Q58" t="inlineStr"/>
    </row>
    <row r="59">
      <c r="A59" t="inlineStr">
        <is>
          <t>JAYA SEMPURNA SAKTI</t>
        </is>
      </c>
      <c r="B59" t="inlineStr">
        <is>
          <t>Kab. Sukoharjo</t>
        </is>
      </c>
      <c r="C59" t="inlineStr">
        <is>
          <t>0271626590</t>
        </is>
      </c>
      <c r="D59" t="inlineStr">
        <is>
          <t>jssakti@yahoo.com</t>
        </is>
      </c>
      <c r="E59" t="inlineStr">
        <is>
          <t>https://lpjk.pu.go.id/search-badan-usaha-detail/UFU0ZzUxSVMxZ0VML1E3NUNjbU53UT09</t>
        </is>
      </c>
      <c r="F59" t="n">
        <v>1</v>
      </c>
      <c r="G59" t="inlineStr">
        <is>
          <t>BS010</t>
        </is>
      </c>
      <c r="H59" t="inlineStr">
        <is>
          <t>28 Juni 2007</t>
        </is>
      </c>
      <c r="I59" s="2" t="n">
        <v>46383</v>
      </c>
      <c r="J59" t="inlineStr">
        <is>
          <t>Disetujui</t>
        </is>
      </c>
      <c r="K59" t="n">
        <v>87</v>
      </c>
      <c r="L59" t="inlineStr">
        <is>
          <t>27 Desember 2026</t>
        </is>
      </c>
      <c r="M59" t="inlineStr">
        <is>
          <t>Konstruksi Bangunan Prasarana Sumber Daya Air</t>
        </is>
      </c>
      <c r="N59" t="inlineStr">
        <is>
          <t>M</t>
        </is>
      </c>
      <c r="O59" t="inlineStr">
        <is>
          <t>20231222</t>
        </is>
      </c>
      <c r="P59" t="inlineStr">
        <is>
          <t>Jawa Tengah</t>
        </is>
      </c>
      <c r="Q59" t="inlineStr"/>
    </row>
    <row r="60">
      <c r="A60" t="inlineStr">
        <is>
          <t>KARSA BUANA LESTARI</t>
        </is>
      </c>
      <c r="B60" t="inlineStr">
        <is>
          <t>Kota Adm. Jakarta Selatan</t>
        </is>
      </c>
      <c r="C60" t="inlineStr">
        <is>
          <t>0217378020</t>
        </is>
      </c>
      <c r="D60" t="inlineStr">
        <is>
          <t>kbl_market2@yahoo.com</t>
        </is>
      </c>
      <c r="E60" t="inlineStr">
        <is>
          <t>https://lpjk.pu.go.id/search-badan-usaha-detail/bXl4S0dWNitabGs0U2pjTjcvU3IxUT09</t>
        </is>
      </c>
      <c r="F60" t="n">
        <v>1</v>
      </c>
      <c r="G60" t="inlineStr">
        <is>
          <t>AT002</t>
        </is>
      </c>
      <c r="H60" t="inlineStr">
        <is>
          <t>27 September 2002</t>
        </is>
      </c>
      <c r="I60" s="2" t="n">
        <v>46383</v>
      </c>
      <c r="J60" t="inlineStr">
        <is>
          <t>Disetujui</t>
        </is>
      </c>
      <c r="K60" t="n">
        <v>87</v>
      </c>
      <c r="L60" t="inlineStr">
        <is>
          <t>27 Desember 2026</t>
        </is>
      </c>
      <c r="M60" t="inlineStr">
        <is>
          <t>Jasa Pengujian dan Analisis Teknis Komposisi dan Tingkat Kemurnian</t>
        </is>
      </c>
      <c r="N60" t="inlineStr">
        <is>
          <t>Spesialis</t>
        </is>
      </c>
      <c r="O60" t="inlineStr">
        <is>
          <t>20231214</t>
        </is>
      </c>
      <c r="P60" t="inlineStr">
        <is>
          <t>DKI Jakarta</t>
        </is>
      </c>
      <c r="Q60" t="inlineStr"/>
    </row>
    <row r="61">
      <c r="A61" t="inlineStr">
        <is>
          <t>KARSA INSAN MANDIRI</t>
        </is>
      </c>
      <c r="B61" t="inlineStr">
        <is>
          <t>Kota Tarakan</t>
        </is>
      </c>
      <c r="C61" t="inlineStr">
        <is>
          <t>085234068888</t>
        </is>
      </c>
      <c r="D61" t="inlineStr">
        <is>
          <t>karsainsanmandiri@yahoo.co.id</t>
        </is>
      </c>
      <c r="E61" t="inlineStr">
        <is>
          <t>https://lpjk.pu.go.id/search-badan-usaha-detail/MS9BVGhDenNxeStUTTFBMFVIT0tHUT09</t>
        </is>
      </c>
      <c r="F61" t="n">
        <v>1</v>
      </c>
      <c r="G61" t="inlineStr">
        <is>
          <t>BG007</t>
        </is>
      </c>
      <c r="H61" t="inlineStr">
        <is>
          <t>31 Maret 2006</t>
        </is>
      </c>
      <c r="I61" s="2" t="n">
        <v>46383</v>
      </c>
      <c r="J61" t="inlineStr">
        <is>
          <t>Disetujui</t>
        </is>
      </c>
      <c r="K61" t="n">
        <v>87</v>
      </c>
      <c r="L61" t="inlineStr">
        <is>
          <t>27 Desember 2026</t>
        </is>
      </c>
      <c r="M61" t="inlineStr">
        <is>
          <t>Konstruksi Gedung Penginapan</t>
        </is>
      </c>
      <c r="N61" t="inlineStr">
        <is>
          <t>K</t>
        </is>
      </c>
      <c r="O61" t="inlineStr">
        <is>
          <t>20231221</t>
        </is>
      </c>
      <c r="P61" t="inlineStr">
        <is>
          <t>Kalimantan Utara</t>
        </is>
      </c>
      <c r="Q61" t="inlineStr"/>
    </row>
    <row r="62">
      <c r="A62" t="inlineStr">
        <is>
          <t>KARYAWAN PT KRAKATAU ENGINEERING EKA CITRA</t>
        </is>
      </c>
      <c r="B62" t="inlineStr">
        <is>
          <t>Kota Cilegon</t>
        </is>
      </c>
      <c r="C62" t="inlineStr">
        <is>
          <t>0254394100</t>
        </is>
      </c>
      <c r="D62" t="inlineStr">
        <is>
          <t>kopec.ke@krakataueng.co.id</t>
        </is>
      </c>
      <c r="E62" t="inlineStr">
        <is>
          <t>https://lpjk.pu.go.id/search-badan-usaha-detail/aUY5R0xiRm1tYUd3RFBVTXpxcXZxZz09</t>
        </is>
      </c>
      <c r="F62" t="n">
        <v>2</v>
      </c>
      <c r="G62" t="inlineStr">
        <is>
          <t>BG002, BG003</t>
        </is>
      </c>
      <c r="H62" t="inlineStr">
        <is>
          <t>11 April 1996</t>
        </is>
      </c>
      <c r="I62" s="2" t="n">
        <v>46383</v>
      </c>
      <c r="J62" t="inlineStr">
        <is>
          <t>Disetujui</t>
        </is>
      </c>
      <c r="K62" t="n">
        <v>87</v>
      </c>
      <c r="L62" t="inlineStr">
        <is>
          <t>27 Desember 2026</t>
        </is>
      </c>
      <c r="M62" t="inlineStr">
        <is>
          <t>Konstruksi Gedung Industri, Konstruksi Gedung Perkantoran</t>
        </is>
      </c>
      <c r="N62" t="inlineStr">
        <is>
          <t>K</t>
        </is>
      </c>
      <c r="O62" t="inlineStr">
        <is>
          <t>20231222, 20231227</t>
        </is>
      </c>
      <c r="P62" t="inlineStr">
        <is>
          <t>Banten</t>
        </is>
      </c>
      <c r="Q62" t="inlineStr"/>
    </row>
    <row r="63">
      <c r="A63" t="inlineStr">
        <is>
          <t>LANCAR ABADI KONSTRUKSI</t>
        </is>
      </c>
      <c r="B63" t="inlineStr">
        <is>
          <t>Kota Yogyakarta</t>
        </is>
      </c>
      <c r="C63" t="inlineStr">
        <is>
          <t>089614492060</t>
        </is>
      </c>
      <c r="D63" t="inlineStr">
        <is>
          <t>marketing.lakonstruksi@gmail.com</t>
        </is>
      </c>
      <c r="E63" t="inlineStr">
        <is>
          <t>https://lpjk.pu.go.id/search-badan-usaha-detail/Mkp0SCtkYVFDbCtvTFV4b0hSenB5QT09</t>
        </is>
      </c>
      <c r="F63" t="n">
        <v>4</v>
      </c>
      <c r="G63" t="inlineStr">
        <is>
          <t>BG003, BG005, BG008, BG009</t>
        </is>
      </c>
      <c r="H63" t="inlineStr">
        <is>
          <t>10 Oktober 2023</t>
        </is>
      </c>
      <c r="I63" s="2" t="n">
        <v>46383</v>
      </c>
      <c r="J63" t="inlineStr">
        <is>
          <t>Disetujui</t>
        </is>
      </c>
      <c r="K63" t="n">
        <v>87</v>
      </c>
      <c r="L63" t="inlineStr">
        <is>
          <t>27 Desember 2026</t>
        </is>
      </c>
      <c r="M63" t="inlineStr">
        <is>
          <t>Konstruksi Gedung Industri, Konstruksi Gedung Kesehatan, Konstruksi Gedung Lainnya, Konstruksi Gedung Tempat Hiburan dan Olahraga</t>
        </is>
      </c>
      <c r="N63" t="inlineStr">
        <is>
          <t>K</t>
        </is>
      </c>
      <c r="O63" t="inlineStr">
        <is>
          <t>20231222</t>
        </is>
      </c>
      <c r="P63" t="inlineStr">
        <is>
          <t>DI Yogyakarta</t>
        </is>
      </c>
      <c r="Q63" t="inlineStr"/>
    </row>
    <row r="64">
      <c r="A64" t="inlineStr">
        <is>
          <t>LESTARI KARYA UTAMA</t>
        </is>
      </c>
      <c r="B64" t="inlineStr">
        <is>
          <t>Kab. Lombok Barat</t>
        </is>
      </c>
      <c r="C64" t="inlineStr">
        <is>
          <t>082237892788</t>
        </is>
      </c>
      <c r="D64" t="inlineStr">
        <is>
          <t>cvlestarikaryautama@gmail.com</t>
        </is>
      </c>
      <c r="E64" t="inlineStr">
        <is>
          <t>https://lpjk.pu.go.id/search-badan-usaha-detail/b3NLV2lVQzd5WnVWMWJvYm15Z2tVdz09</t>
        </is>
      </c>
      <c r="F64" t="n">
        <v>4</v>
      </c>
      <c r="G64" t="inlineStr">
        <is>
          <t>BG001, BG002, BG005, BS004</t>
        </is>
      </c>
      <c r="H64" t="inlineStr">
        <is>
          <t>10 Oktober 2023</t>
        </is>
      </c>
      <c r="I64" s="2" t="n">
        <v>46383</v>
      </c>
      <c r="J64" t="inlineStr">
        <is>
          <t>Disetujui</t>
        </is>
      </c>
      <c r="K64" t="n">
        <v>87</v>
      </c>
      <c r="L64" t="inlineStr">
        <is>
          <t>27 Desember 2026</t>
        </is>
      </c>
      <c r="M64" t="inlineStr">
        <is>
          <t>Konstruksi Gedung Hunian, Konstruksi Gedung Kesehatan, Konstruksi Gedung Perkantoran, Konstruksi Jaringan Irigasi dan Drainase</t>
        </is>
      </c>
      <c r="N64" t="inlineStr">
        <is>
          <t>K</t>
        </is>
      </c>
      <c r="O64" t="inlineStr">
        <is>
          <t>20231026, 20231227, 20231228</t>
        </is>
      </c>
      <c r="P64" t="inlineStr">
        <is>
          <t>Nusa Tenggara Barat</t>
        </is>
      </c>
      <c r="Q64" t="inlineStr"/>
    </row>
    <row r="65">
      <c r="A65" t="inlineStr">
        <is>
          <t>LUTHFI JAYA</t>
        </is>
      </c>
      <c r="B65" t="inlineStr">
        <is>
          <t>Kab. Belitung Timur</t>
        </is>
      </c>
      <c r="C65" t="inlineStr">
        <is>
          <t>081949416578</t>
        </is>
      </c>
      <c r="D65" t="inlineStr">
        <is>
          <t>cv.luthfijaya@gmail.com</t>
        </is>
      </c>
      <c r="E65" t="inlineStr">
        <is>
          <t>https://lpjk.pu.go.id/search-badan-usaha-detail/VURya3UrSnVkdWszbmkvamxhZ3Vndz09</t>
        </is>
      </c>
      <c r="F65" t="n">
        <v>1</v>
      </c>
      <c r="G65" t="inlineStr">
        <is>
          <t>BS005</t>
        </is>
      </c>
      <c r="H65" t="inlineStr">
        <is>
          <t>7 Januari 2017</t>
        </is>
      </c>
      <c r="I65" s="2" t="n">
        <v>46383</v>
      </c>
      <c r="J65" t="inlineStr">
        <is>
          <t>Disetujui</t>
        </is>
      </c>
      <c r="K65" t="n">
        <v>87</v>
      </c>
      <c r="L65" t="inlineStr">
        <is>
          <t>27 Desember 2026</t>
        </is>
      </c>
      <c r="M65" t="inlineStr">
        <is>
          <t>Konstruksi Bangunan Sipil Pengolahan Air Bersih</t>
        </is>
      </c>
      <c r="N65" t="inlineStr">
        <is>
          <t>K</t>
        </is>
      </c>
      <c r="O65" t="inlineStr">
        <is>
          <t>20231223</t>
        </is>
      </c>
      <c r="P65" t="inlineStr">
        <is>
          <t>Kepulauan Bangka Belitung</t>
        </is>
      </c>
      <c r="Q65" t="inlineStr"/>
    </row>
    <row r="66">
      <c r="A66" t="inlineStr">
        <is>
          <t>MADYA KREASI PERDANA</t>
        </is>
      </c>
      <c r="B66" t="inlineStr">
        <is>
          <t>Kota Adm. Jakarta Barat</t>
        </is>
      </c>
      <c r="C66" t="inlineStr">
        <is>
          <t>0215810902</t>
        </is>
      </c>
      <c r="D66" t="inlineStr">
        <is>
          <t>ptmadyakreasiperdana@ymail.com</t>
        </is>
      </c>
      <c r="E66" t="inlineStr">
        <is>
          <t>https://lpjk.pu.go.id/search-badan-usaha-detail/S2tEQ3puc1VNZW5mSW5wakNrOE5aZz09</t>
        </is>
      </c>
      <c r="F66" t="n">
        <v>2</v>
      </c>
      <c r="G66" t="inlineStr">
        <is>
          <t>KK007, PB009</t>
        </is>
      </c>
      <c r="H66" t="inlineStr">
        <is>
          <t>20 Februari 1997</t>
        </is>
      </c>
      <c r="I66" s="2" t="n">
        <v>46383</v>
      </c>
      <c r="J66" t="inlineStr">
        <is>
          <t>Disetujui</t>
        </is>
      </c>
      <c r="K66" t="n">
        <v>87</v>
      </c>
      <c r="L66" t="inlineStr">
        <is>
          <t>27 Desember 2026</t>
        </is>
      </c>
      <c r="M66" t="inlineStr">
        <is>
          <t>Pekerjaan Konstruksi Kedap Suara, Pembersihan dan Perapihan Bangunan Gedung dan/atau Bangunan Sipil</t>
        </is>
      </c>
      <c r="N66" t="inlineStr">
        <is>
          <t>Spesialis</t>
        </is>
      </c>
      <c r="O66" t="inlineStr">
        <is>
          <t>20231227</t>
        </is>
      </c>
      <c r="P66" t="inlineStr">
        <is>
          <t>DKI Jakarta</t>
        </is>
      </c>
      <c r="Q66" t="inlineStr"/>
    </row>
    <row r="67">
      <c r="A67" t="inlineStr">
        <is>
          <t>MAHARANI LESTARI JAYA</t>
        </is>
      </c>
      <c r="B67" t="inlineStr">
        <is>
          <t>Kab. Jombang</t>
        </is>
      </c>
      <c r="C67" t="inlineStr">
        <is>
          <t>081335278164</t>
        </is>
      </c>
      <c r="D67" t="inlineStr">
        <is>
          <t>pt.maharanilestarijaya@gmail.com</t>
        </is>
      </c>
      <c r="E67" t="inlineStr">
        <is>
          <t>https://lpjk.pu.go.id/search-badan-usaha-detail/c0QvN2FBNUxzcy9YT2pGUHJ6UHZRQT09</t>
        </is>
      </c>
      <c r="F67" t="n">
        <v>8</v>
      </c>
      <c r="G67" t="inlineStr">
        <is>
          <t>BG003, BS004</t>
        </is>
      </c>
      <c r="H67" t="inlineStr">
        <is>
          <t>31 Agustus 2023</t>
        </is>
      </c>
      <c r="I67" s="2" t="n">
        <v>46383</v>
      </c>
      <c r="J67" t="inlineStr">
        <is>
          <t>Disetujui</t>
        </is>
      </c>
      <c r="K67" t="n">
        <v>87</v>
      </c>
      <c r="L67" t="inlineStr">
        <is>
          <t>27 Desember 2026</t>
        </is>
      </c>
      <c r="M67" t="inlineStr">
        <is>
          <t>Konstruksi Gedung Industri, Konstruksi Jaringan Irigasi dan Drainase</t>
        </is>
      </c>
      <c r="N67" t="inlineStr">
        <is>
          <t>K</t>
        </is>
      </c>
      <c r="O67" t="inlineStr">
        <is>
          <t>20231220</t>
        </is>
      </c>
      <c r="P67" t="inlineStr">
        <is>
          <t>Jawa Timur</t>
        </is>
      </c>
      <c r="Q67" t="inlineStr"/>
    </row>
    <row r="68">
      <c r="A68" t="inlineStr">
        <is>
          <t>MAJU BERKAH PERKASA</t>
        </is>
      </c>
      <c r="B68" t="inlineStr">
        <is>
          <t>Kota Medan</t>
        </is>
      </c>
      <c r="C68" t="inlineStr">
        <is>
          <t>081263537179</t>
        </is>
      </c>
      <c r="D68" t="inlineStr">
        <is>
          <t>cv.majuberkahperkasa@outlook.co.id</t>
        </is>
      </c>
      <c r="E68" t="inlineStr">
        <is>
          <t>https://lpjk.pu.go.id/search-badan-usaha-detail/c2dtUEJIUEZEN1N6R0txdjF5c25odz09</t>
        </is>
      </c>
      <c r="F68" t="n">
        <v>1</v>
      </c>
      <c r="G68" t="inlineStr">
        <is>
          <t>BS005</t>
        </is>
      </c>
      <c r="H68" t="inlineStr">
        <is>
          <t>18 Januari 2021</t>
        </is>
      </c>
      <c r="I68" s="2" t="n">
        <v>46383</v>
      </c>
      <c r="J68" t="inlineStr">
        <is>
          <t>Pencabutan</t>
        </is>
      </c>
      <c r="K68" t="n">
        <v>87</v>
      </c>
      <c r="L68" t="inlineStr">
        <is>
          <t>27 Desember 2026</t>
        </is>
      </c>
      <c r="M68" t="inlineStr">
        <is>
          <t>Konstruksi Bangunan Sipil Pengolahan Air Bersih</t>
        </is>
      </c>
      <c r="N68" t="inlineStr">
        <is>
          <t>K</t>
        </is>
      </c>
      <c r="O68" t="inlineStr">
        <is>
          <t>20231220</t>
        </is>
      </c>
      <c r="P68" t="inlineStr">
        <is>
          <t>Sumatera Utara</t>
        </is>
      </c>
      <c r="Q68" t="inlineStr"/>
    </row>
    <row r="69">
      <c r="A69" t="inlineStr">
        <is>
          <t>MAJU MAKMUR</t>
        </is>
      </c>
      <c r="B69" t="inlineStr">
        <is>
          <t>Kab. Kendal</t>
        </is>
      </c>
      <c r="C69" t="inlineStr">
        <is>
          <t>081901641449</t>
        </is>
      </c>
      <c r="D69" t="inlineStr">
        <is>
          <t>cvmajumakmur@yahoo.co.id</t>
        </is>
      </c>
      <c r="E69" t="inlineStr">
        <is>
          <t>https://lpjk.pu.go.id/search-badan-usaha-detail/U2krU3ZGbDFKa0NGNFVjVmVzbUtFZz09</t>
        </is>
      </c>
      <c r="F69" t="n">
        <v>1</v>
      </c>
      <c r="G69" t="inlineStr">
        <is>
          <t>BS010</t>
        </is>
      </c>
      <c r="H69" t="inlineStr">
        <is>
          <t>13 Januari 1984</t>
        </is>
      </c>
      <c r="I69" s="2" t="n">
        <v>46383</v>
      </c>
      <c r="J69" t="inlineStr">
        <is>
          <t>Disetujui</t>
        </is>
      </c>
      <c r="K69" t="n">
        <v>87</v>
      </c>
      <c r="L69" t="inlineStr">
        <is>
          <t>27 Desember 2026</t>
        </is>
      </c>
      <c r="M69" t="inlineStr">
        <is>
          <t>Konstruksi Bangunan Prasarana Sumber Daya Air</t>
        </is>
      </c>
      <c r="N69" t="inlineStr">
        <is>
          <t>K</t>
        </is>
      </c>
      <c r="O69" t="inlineStr">
        <is>
          <t>20231221</t>
        </is>
      </c>
      <c r="P69" t="inlineStr">
        <is>
          <t>Jawa Tengah</t>
        </is>
      </c>
      <c r="Q69" t="inlineStr"/>
    </row>
    <row r="70">
      <c r="A70" t="inlineStr">
        <is>
          <t>MALIKA ZANNA</t>
        </is>
      </c>
      <c r="B70" t="inlineStr">
        <is>
          <t>Kab. Deli Serdang</t>
        </is>
      </c>
      <c r="C70" t="inlineStr">
        <is>
          <t>082363999222</t>
        </is>
      </c>
      <c r="D70" t="inlineStr">
        <is>
          <t>cv.malikazanna2112@gmail.com</t>
        </is>
      </c>
      <c r="E70" t="inlineStr">
        <is>
          <t>https://lpjk.pu.go.id/search-badan-usaha-detail/eDl3bkRZeWZFUzl6WDNMVEtHTGtzZz09</t>
        </is>
      </c>
      <c r="F70" t="n">
        <v>2</v>
      </c>
      <c r="G70" t="inlineStr">
        <is>
          <t>BS001</t>
        </is>
      </c>
      <c r="H70" t="inlineStr">
        <is>
          <t>5 Oktober 2023</t>
        </is>
      </c>
      <c r="I70" s="2" t="n">
        <v>46383</v>
      </c>
      <c r="J70" t="inlineStr">
        <is>
          <t>Disetujui</t>
        </is>
      </c>
      <c r="K70" t="n">
        <v>87</v>
      </c>
      <c r="L70" t="inlineStr">
        <is>
          <t>27 Desember 2026</t>
        </is>
      </c>
      <c r="M70" t="inlineStr">
        <is>
          <t>Konstruksi Bangunan Sipil Jalan</t>
        </is>
      </c>
      <c r="N70" t="inlineStr">
        <is>
          <t>K</t>
        </is>
      </c>
      <c r="O70" t="inlineStr">
        <is>
          <t>20231220</t>
        </is>
      </c>
      <c r="P70" t="inlineStr">
        <is>
          <t>Sumatera Utara</t>
        </is>
      </c>
      <c r="Q70" t="inlineStr"/>
    </row>
    <row r="71">
      <c r="A71" t="inlineStr">
        <is>
          <t>MANDIRI PERSADA</t>
        </is>
      </c>
      <c r="B71" t="inlineStr">
        <is>
          <t>Kab. Kulon Progo</t>
        </is>
      </c>
      <c r="C71" t="inlineStr">
        <is>
          <t>0812280776691</t>
        </is>
      </c>
      <c r="D71" t="inlineStr">
        <is>
          <t>mandiri2110_cv@yahoo.com</t>
        </is>
      </c>
      <c r="E71" t="inlineStr">
        <is>
          <t>https://lpjk.pu.go.id/search-badan-usaha-detail/eGkyTTR6dGpzSjZIckc3MnMwS1Q2dz09</t>
        </is>
      </c>
      <c r="F71" t="n">
        <v>1</v>
      </c>
      <c r="G71" t="inlineStr">
        <is>
          <t>BS004</t>
        </is>
      </c>
      <c r="H71" t="inlineStr">
        <is>
          <t>16 April 2015</t>
        </is>
      </c>
      <c r="I71" s="2" t="n">
        <v>46383</v>
      </c>
      <c r="J71" t="inlineStr">
        <is>
          <t>Disetujui</t>
        </is>
      </c>
      <c r="K71" t="n">
        <v>87</v>
      </c>
      <c r="L71" t="inlineStr">
        <is>
          <t>27 Desember 2026</t>
        </is>
      </c>
      <c r="M71" t="inlineStr">
        <is>
          <t>Konstruksi Jaringan Irigasi dan Drainase</t>
        </is>
      </c>
      <c r="N71" t="inlineStr">
        <is>
          <t>K</t>
        </is>
      </c>
      <c r="O71" t="inlineStr">
        <is>
          <t>20231218</t>
        </is>
      </c>
      <c r="P71" t="inlineStr">
        <is>
          <t>DI Yogyakarta</t>
        </is>
      </c>
      <c r="Q71" t="inlineStr"/>
    </row>
    <row r="72">
      <c r="A72" t="inlineStr">
        <is>
          <t>MASSA CIPTA SARANA</t>
        </is>
      </c>
      <c r="B72" t="inlineStr">
        <is>
          <t>Kota Bandung</t>
        </is>
      </c>
      <c r="C72" t="inlineStr">
        <is>
          <t>081802279108</t>
        </is>
      </c>
      <c r="D72" t="inlineStr">
        <is>
          <t>cv_massaciptasarana@yahoo.co.id</t>
        </is>
      </c>
      <c r="E72" t="inlineStr">
        <is>
          <t>https://lpjk.pu.go.id/search-badan-usaha-detail/ampnTzVNMFJESjlDN0VscUVSbGJkdz09</t>
        </is>
      </c>
      <c r="F72" t="n">
        <v>2</v>
      </c>
      <c r="G72" t="inlineStr">
        <is>
          <t>BS001, BS004</t>
        </is>
      </c>
      <c r="H72" t="inlineStr">
        <is>
          <t>17 Desember 1984</t>
        </is>
      </c>
      <c r="I72" s="2" t="n">
        <v>46383</v>
      </c>
      <c r="J72" t="inlineStr">
        <is>
          <t>Disetujui</t>
        </is>
      </c>
      <c r="K72" t="n">
        <v>87</v>
      </c>
      <c r="L72" t="inlineStr">
        <is>
          <t>27 Desember 2026</t>
        </is>
      </c>
      <c r="M72" t="inlineStr">
        <is>
          <t>Konstruksi Bangunan Sipil Jalan, Konstruksi Jaringan Irigasi dan Drainase</t>
        </is>
      </c>
      <c r="N72" t="inlineStr">
        <is>
          <t>K</t>
        </is>
      </c>
      <c r="O72" t="inlineStr">
        <is>
          <t>20231221</t>
        </is>
      </c>
      <c r="P72" t="inlineStr">
        <is>
          <t>Jawa Barat</t>
        </is>
      </c>
      <c r="Q72" t="inlineStr"/>
    </row>
    <row r="73">
      <c r="A73" t="inlineStr">
        <is>
          <t>MENARA INTAN TEHNIK</t>
        </is>
      </c>
      <c r="B73" t="inlineStr">
        <is>
          <t>Kab. Tangerang</t>
        </is>
      </c>
      <c r="C73" t="inlineStr">
        <is>
          <t>02129506729</t>
        </is>
      </c>
      <c r="D73" t="inlineStr">
        <is>
          <t>junanto76@yahoo.com</t>
        </is>
      </c>
      <c r="E73" t="inlineStr">
        <is>
          <t>https://lpjk.pu.go.id/search-badan-usaha-detail/YitPM2h4SE9CV0syejdsaEUxUXpudz09</t>
        </is>
      </c>
      <c r="F73" t="n">
        <v>2</v>
      </c>
      <c r="G73" t="inlineStr">
        <is>
          <t>IN007, IN008</t>
        </is>
      </c>
      <c r="H73" t="inlineStr">
        <is>
          <t>21 Oktober 2021</t>
        </is>
      </c>
      <c r="I73" s="2" t="n">
        <v>46383</v>
      </c>
      <c r="J73" t="inlineStr">
        <is>
          <t>Disetujui</t>
        </is>
      </c>
      <c r="K73" t="n">
        <v>87</v>
      </c>
      <c r="L73" t="inlineStr">
        <is>
          <t>27 Desember 2026</t>
        </is>
      </c>
      <c r="M73" t="inlineStr">
        <is>
          <t>Instalasi Pendingin Dan Ventilasi Udara, Instalasi Saluran Air (Plambing)</t>
        </is>
      </c>
      <c r="N73" t="inlineStr">
        <is>
          <t>Spesialis</t>
        </is>
      </c>
      <c r="O73" t="inlineStr">
        <is>
          <t>20231227</t>
        </is>
      </c>
      <c r="P73" t="inlineStr">
        <is>
          <t>Banten</t>
        </is>
      </c>
      <c r="Q73" t="inlineStr"/>
    </row>
    <row r="74">
      <c r="A74" t="inlineStr">
        <is>
          <t>MITRA MAHER MASAGI</t>
        </is>
      </c>
      <c r="B74" t="inlineStr">
        <is>
          <t>Kota Bandung</t>
        </is>
      </c>
      <c r="C74" t="inlineStr">
        <is>
          <t>085701022944</t>
        </is>
      </c>
      <c r="D74" t="inlineStr">
        <is>
          <t>mitramahermasagi.cv@gmail.com</t>
        </is>
      </c>
      <c r="E74" t="inlineStr">
        <is>
          <t>https://lpjk.pu.go.id/search-badan-usaha-detail/NFJ2OFdnaGd6NSt5OEFGTnJWaHlJQT09</t>
        </is>
      </c>
      <c r="F74" t="n">
        <v>1</v>
      </c>
      <c r="G74" t="inlineStr">
        <is>
          <t>BG009</t>
        </is>
      </c>
      <c r="H74" t="inlineStr">
        <is>
          <t>8 Juni 2023</t>
        </is>
      </c>
      <c r="I74" s="2" t="n">
        <v>46383</v>
      </c>
      <c r="J74" t="inlineStr">
        <is>
          <t>Disetujui</t>
        </is>
      </c>
      <c r="K74" t="n">
        <v>87</v>
      </c>
      <c r="L74" t="inlineStr">
        <is>
          <t>27 Desember 2026</t>
        </is>
      </c>
      <c r="M74" t="inlineStr">
        <is>
          <t>Konstruksi Gedung Lainnya</t>
        </is>
      </c>
      <c r="N74" t="inlineStr">
        <is>
          <t>K</t>
        </is>
      </c>
      <c r="O74" t="inlineStr">
        <is>
          <t>20231221</t>
        </is>
      </c>
      <c r="P74" t="inlineStr">
        <is>
          <t>Jawa Barat</t>
        </is>
      </c>
      <c r="Q74" t="inlineStr"/>
    </row>
    <row r="75">
      <c r="A75" t="inlineStr">
        <is>
          <t>MULTI INDAH PRATAMA</t>
        </is>
      </c>
      <c r="B75" t="inlineStr">
        <is>
          <t>Kab. Banggai</t>
        </is>
      </c>
      <c r="C75" t="inlineStr">
        <is>
          <t>085240602608</t>
        </is>
      </c>
      <c r="D75" t="inlineStr">
        <is>
          <t>multi_indah_pratama@yahoo.co.id</t>
        </is>
      </c>
      <c r="E75" t="inlineStr">
        <is>
          <t>https://lpjk.pu.go.id/search-badan-usaha-detail/NEM1UjBDcS96TlFTdi9zOVJwWmFidz09</t>
        </is>
      </c>
      <c r="F75" t="n">
        <v>1</v>
      </c>
      <c r="G75" t="inlineStr">
        <is>
          <t>BS002</t>
        </is>
      </c>
      <c r="H75" t="inlineStr">
        <is>
          <t>2 Agustus 1996</t>
        </is>
      </c>
      <c r="I75" s="2" t="n">
        <v>46383</v>
      </c>
      <c r="J75" t="inlineStr">
        <is>
          <t>Disetujui</t>
        </is>
      </c>
      <c r="K75" t="n">
        <v>87</v>
      </c>
      <c r="L75" t="inlineStr">
        <is>
          <t>27 Desember 2026</t>
        </is>
      </c>
      <c r="M75" t="inlineStr">
        <is>
          <t>Bangunan Sipil Jembatan, Jalan Layang, Fly Over, dan Underpass</t>
        </is>
      </c>
      <c r="N75" t="inlineStr">
        <is>
          <t>M</t>
        </is>
      </c>
      <c r="O75" t="inlineStr">
        <is>
          <t>20231218</t>
        </is>
      </c>
      <c r="P75" t="inlineStr">
        <is>
          <t>Sulawesi Tengah</t>
        </is>
      </c>
      <c r="Q75" t="inlineStr"/>
    </row>
    <row r="76">
      <c r="A76" t="inlineStr">
        <is>
          <t>MULYA JAYA KONTRAKTOR</t>
        </is>
      </c>
      <c r="B76" t="inlineStr">
        <is>
          <t>Kota Adm. Jakarta Selatan</t>
        </is>
      </c>
      <c r="C76" t="inlineStr">
        <is>
          <t>02129203505</t>
        </is>
      </c>
      <c r="D76" t="inlineStr">
        <is>
          <t>mulyajayakontraktor@gmail.com</t>
        </is>
      </c>
      <c r="E76" t="inlineStr">
        <is>
          <t>https://lpjk.pu.go.id/search-badan-usaha-detail/ZWh1V2tjenVLRjVqNXU2Rm01L2VRUT09</t>
        </is>
      </c>
      <c r="F76" t="n">
        <v>5</v>
      </c>
      <c r="G76" t="inlineStr">
        <is>
          <t>BG002, BG005, BG006, BG009, BS002</t>
        </is>
      </c>
      <c r="H76" t="inlineStr">
        <is>
          <t>17 Desember 2020</t>
        </is>
      </c>
      <c r="I76" s="2" t="n">
        <v>46383</v>
      </c>
      <c r="J76" t="inlineStr">
        <is>
          <t>Disetujui</t>
        </is>
      </c>
      <c r="K76" t="n">
        <v>87</v>
      </c>
      <c r="L76" t="inlineStr">
        <is>
          <t>27 Desember 2026</t>
        </is>
      </c>
      <c r="M76" t="inlineStr">
        <is>
          <t>Bangunan Sipil Jembatan, Jalan Layang, Fly Over, dan Underpass, Konstruksi Gedung Kesehatan, Konstruksi Gedung Lainnya, Konstruksi Gedung Pendidikan, Konstruksi Gedung Perkantoran</t>
        </is>
      </c>
      <c r="N76" t="inlineStr">
        <is>
          <t>K</t>
        </is>
      </c>
      <c r="O76" t="inlineStr">
        <is>
          <t>20231226, 20231227</t>
        </is>
      </c>
      <c r="P76" t="inlineStr">
        <is>
          <t>DKI Jakarta</t>
        </is>
      </c>
      <c r="Q76" t="inlineStr"/>
    </row>
    <row r="77">
      <c r="A77" t="inlineStr">
        <is>
          <t>NAFAZINDO</t>
        </is>
      </c>
      <c r="B77" t="inlineStr">
        <is>
          <t>Kab. Mojokerto</t>
        </is>
      </c>
      <c r="C77" t="inlineStr">
        <is>
          <t>03213760462</t>
        </is>
      </c>
      <c r="D77" t="inlineStr">
        <is>
          <t>nafazindoo@gmail.com</t>
        </is>
      </c>
      <c r="E77" t="inlineStr">
        <is>
          <t>https://lpjk.pu.go.id/search-badan-usaha-detail/c0hKeDh5c0VTaElaYmdkdXZTamY1QT09</t>
        </is>
      </c>
      <c r="F77" t="n">
        <v>1</v>
      </c>
      <c r="G77" t="inlineStr">
        <is>
          <t>BG002</t>
        </is>
      </c>
      <c r="H77" t="inlineStr">
        <is>
          <t>20 November 2023</t>
        </is>
      </c>
      <c r="I77" s="2" t="n">
        <v>46383</v>
      </c>
      <c r="J77" t="inlineStr">
        <is>
          <t>Disetujui</t>
        </is>
      </c>
      <c r="K77" t="n">
        <v>87</v>
      </c>
      <c r="L77" t="inlineStr">
        <is>
          <t>27 Desember 2026</t>
        </is>
      </c>
      <c r="M77" t="inlineStr">
        <is>
          <t>Konstruksi Gedung Perkantoran</t>
        </is>
      </c>
      <c r="N77" t="inlineStr">
        <is>
          <t>K</t>
        </is>
      </c>
      <c r="O77" t="inlineStr">
        <is>
          <t>20231214</t>
        </is>
      </c>
      <c r="P77" t="inlineStr">
        <is>
          <t>Jawa Timur</t>
        </is>
      </c>
      <c r="Q77" t="inlineStr"/>
    </row>
    <row r="78">
      <c r="A78" t="inlineStr">
        <is>
          <t>NUGRAHA BETON INDONESIA</t>
        </is>
      </c>
      <c r="B78" t="inlineStr">
        <is>
          <t>Kab. Gresik</t>
        </is>
      </c>
      <c r="C78" t="inlineStr">
        <is>
          <t>082233441755</t>
        </is>
      </c>
      <c r="D78" t="inlineStr">
        <is>
          <t>nbetonindonesia@gmail.com</t>
        </is>
      </c>
      <c r="E78" t="inlineStr">
        <is>
          <t>https://lpjk.pu.go.id/search-badan-usaha-detail/a1EzSUsveWlEWW1xNGxIbDU3ZUdwdz09</t>
        </is>
      </c>
      <c r="F78" t="n">
        <v>2</v>
      </c>
      <c r="G78" t="inlineStr">
        <is>
          <t>BS001</t>
        </is>
      </c>
      <c r="H78" t="inlineStr">
        <is>
          <t>4 Maret 2022</t>
        </is>
      </c>
      <c r="I78" s="2" t="n">
        <v>46383</v>
      </c>
      <c r="J78" t="inlineStr">
        <is>
          <t>Disetujui</t>
        </is>
      </c>
      <c r="K78" t="n">
        <v>87</v>
      </c>
      <c r="L78" t="inlineStr">
        <is>
          <t>27 Desember 2026</t>
        </is>
      </c>
      <c r="M78" t="inlineStr">
        <is>
          <t>Konstruksi Bangunan Sipil Jalan</t>
        </is>
      </c>
      <c r="N78" t="inlineStr">
        <is>
          <t>K</t>
        </is>
      </c>
      <c r="O78" t="inlineStr">
        <is>
          <t>20231005</t>
        </is>
      </c>
      <c r="P78" t="inlineStr">
        <is>
          <t>Jawa Timur</t>
        </is>
      </c>
      <c r="Q78" t="inlineStr"/>
    </row>
    <row r="79">
      <c r="A79" t="inlineStr">
        <is>
          <t>NUSA ARTHA</t>
        </is>
      </c>
      <c r="B79" t="inlineStr">
        <is>
          <t>Kab. Cilacap</t>
        </is>
      </c>
      <c r="C79" t="inlineStr">
        <is>
          <t>085786777769</t>
        </is>
      </c>
      <c r="D79" t="inlineStr">
        <is>
          <t>nusaartha.cv@gmail.com</t>
        </is>
      </c>
      <c r="E79" t="inlineStr">
        <is>
          <t>https://lpjk.pu.go.id/search-badan-usaha-detail/R1hLS2tJaHA3TkdHQmRwNFJMQTA2dz09</t>
        </is>
      </c>
      <c r="F79" t="n">
        <v>3</v>
      </c>
      <c r="G79" t="inlineStr">
        <is>
          <t>BG005, BG006, BG009</t>
        </is>
      </c>
      <c r="H79" t="inlineStr">
        <is>
          <t>31 Juli 2006</t>
        </is>
      </c>
      <c r="I79" s="2" t="n">
        <v>46383</v>
      </c>
      <c r="J79" t="inlineStr">
        <is>
          <t>Disetujui</t>
        </is>
      </c>
      <c r="K79" t="n">
        <v>87</v>
      </c>
      <c r="L79" t="inlineStr">
        <is>
          <t>27 Desember 2026</t>
        </is>
      </c>
      <c r="M79" t="inlineStr">
        <is>
          <t>Konstruksi Gedung Kesehatan, Konstruksi Gedung Lainnya, Konstruksi Gedung Pendidikan</t>
        </is>
      </c>
      <c r="N79" t="inlineStr">
        <is>
          <t>K</t>
        </is>
      </c>
      <c r="O79" t="inlineStr">
        <is>
          <t>20231214, 20231222, 20231223</t>
        </is>
      </c>
      <c r="P79" t="inlineStr">
        <is>
          <t>Jawa Tengah</t>
        </is>
      </c>
      <c r="Q79" t="inlineStr"/>
    </row>
    <row r="80">
      <c r="A80" t="inlineStr">
        <is>
          <t>PARAMA LINTAS PERSADA</t>
        </is>
      </c>
      <c r="B80" t="inlineStr">
        <is>
          <t>Kota Adm. Jakarta Barat</t>
        </is>
      </c>
      <c r="C80" t="inlineStr">
        <is>
          <t>02130067815</t>
        </is>
      </c>
      <c r="D80" t="inlineStr">
        <is>
          <t>paramalintaspersada@gmail.com</t>
        </is>
      </c>
      <c r="E80" t="inlineStr">
        <is>
          <t>https://lpjk.pu.go.id/search-badan-usaha-detail/SUQ3Nm80ZG1jelBadms0TEcyNFdaUT09</t>
        </is>
      </c>
      <c r="F80" t="n">
        <v>1</v>
      </c>
      <c r="G80" t="inlineStr">
        <is>
          <t>KK012</t>
        </is>
      </c>
      <c r="H80" t="inlineStr">
        <is>
          <t>10 April 2012</t>
        </is>
      </c>
      <c r="I80" s="2" t="n">
        <v>46383</v>
      </c>
      <c r="J80" t="inlineStr">
        <is>
          <t>Pencabutan</t>
        </is>
      </c>
      <c r="K80" t="n">
        <v>87</v>
      </c>
      <c r="L80" t="inlineStr">
        <is>
          <t>27 Desember 2026</t>
        </is>
      </c>
      <c r="M80" t="inlineStr">
        <is>
          <t>Pekerjaan Struktur Beton</t>
        </is>
      </c>
      <c r="N80" t="inlineStr">
        <is>
          <t>Spesialis</t>
        </is>
      </c>
      <c r="O80" t="inlineStr">
        <is>
          <t>20231219</t>
        </is>
      </c>
      <c r="P80" t="inlineStr">
        <is>
          <t>DKI Jakarta</t>
        </is>
      </c>
      <c r="Q80" t="inlineStr"/>
    </row>
    <row r="81">
      <c r="A81" t="inlineStr">
        <is>
          <t>PASTI MAKMUR BERSAMA</t>
        </is>
      </c>
      <c r="B81" t="inlineStr">
        <is>
          <t>Kota Batam</t>
        </is>
      </c>
      <c r="C81" t="inlineStr">
        <is>
          <t>07788096115</t>
        </is>
      </c>
      <c r="D81" t="inlineStr">
        <is>
          <t>batam_pmb@yahoo.com</t>
        </is>
      </c>
      <c r="E81" t="inlineStr">
        <is>
          <t>https://lpjk.pu.go.id/search-badan-usaha-detail/K3M3dXpha1RiSlg3cnpFVFhPRUZGQT09</t>
        </is>
      </c>
      <c r="F81" t="n">
        <v>1</v>
      </c>
      <c r="G81" t="inlineStr">
        <is>
          <t>BS006</t>
        </is>
      </c>
      <c r="H81" t="inlineStr">
        <is>
          <t>11 Juni 2013</t>
        </is>
      </c>
      <c r="I81" s="2" t="n">
        <v>46383</v>
      </c>
      <c r="J81" t="inlineStr">
        <is>
          <t>Disetujui</t>
        </is>
      </c>
      <c r="K81" t="n">
        <v>87</v>
      </c>
      <c r="L81" t="inlineStr">
        <is>
          <t>27 Desember 2026</t>
        </is>
      </c>
      <c r="M81" t="inlineStr">
        <is>
          <t>Konstruksi Bangunan Sipil Prasarana dan Sarana Sistem Pengolahan Limbah Padat, Cair, dan Gas</t>
        </is>
      </c>
      <c r="N81" t="inlineStr">
        <is>
          <t>K</t>
        </is>
      </c>
      <c r="O81" t="inlineStr">
        <is>
          <t>20231124</t>
        </is>
      </c>
      <c r="P81" t="inlineStr">
        <is>
          <t>Kepulauan Riau</t>
        </is>
      </c>
      <c r="Q81" t="inlineStr"/>
    </row>
    <row r="82">
      <c r="A82" t="inlineStr">
        <is>
          <t>PILAR TRI LAKSANA</t>
        </is>
      </c>
      <c r="B82" t="inlineStr">
        <is>
          <t>Kab. Madiun</t>
        </is>
      </c>
      <c r="C82" t="inlineStr">
        <is>
          <t>081335657797</t>
        </is>
      </c>
      <c r="D82" t="inlineStr">
        <is>
          <t>pilartrilaksana2020@gmail.com</t>
        </is>
      </c>
      <c r="E82" t="inlineStr">
        <is>
          <t>https://lpjk.pu.go.id/search-badan-usaha-detail/eFFCVEF4elJoY2FFTjlsWlMwbFp0dz09</t>
        </is>
      </c>
      <c r="F82" t="n">
        <v>2</v>
      </c>
      <c r="G82" t="inlineStr">
        <is>
          <t>RK002, RK003</t>
        </is>
      </c>
      <c r="H82" t="inlineStr">
        <is>
          <t>6 Juli 2020</t>
        </is>
      </c>
      <c r="I82" s="2" t="n">
        <v>46383</v>
      </c>
      <c r="J82" t="inlineStr">
        <is>
          <t>Disetujui</t>
        </is>
      </c>
      <c r="K82" t="n">
        <v>87</v>
      </c>
      <c r="L82" t="inlineStr">
        <is>
          <t>27 Desember 2026</t>
        </is>
      </c>
      <c r="M82" t="inlineStr">
        <is>
          <t>Jasa Rekayasa Pekerjaan Teknik Sipil Sumber Daya Air, Jasa Rekayasa Pekerjaan Teknik Sipil Transportasi</t>
        </is>
      </c>
      <c r="N82" t="inlineStr">
        <is>
          <t>K</t>
        </is>
      </c>
      <c r="O82" t="inlineStr">
        <is>
          <t>20231214</t>
        </is>
      </c>
      <c r="P82" t="inlineStr">
        <is>
          <t>Jawa Timur</t>
        </is>
      </c>
      <c r="Q82" t="inlineStr"/>
    </row>
    <row r="83">
      <c r="A83" t="inlineStr">
        <is>
          <t>PRATAMA TEKNIK</t>
        </is>
      </c>
      <c r="B83" t="inlineStr">
        <is>
          <t>Kab. Jember</t>
        </is>
      </c>
      <c r="C83" t="inlineStr">
        <is>
          <t>081330055635</t>
        </is>
      </c>
      <c r="D83" t="inlineStr">
        <is>
          <t>pratamateknik_cv@yahoo.co.id</t>
        </is>
      </c>
      <c r="E83" t="inlineStr">
        <is>
          <t>https://lpjk.pu.go.id/search-badan-usaha-detail/eDFtcnhwOGVUc21qU0FvSG4yU1hwQT09</t>
        </is>
      </c>
      <c r="F83" t="n">
        <v>1</v>
      </c>
      <c r="G83" t="inlineStr">
        <is>
          <t>BS002</t>
        </is>
      </c>
      <c r="H83" t="inlineStr">
        <is>
          <t>6 Juli 2007</t>
        </is>
      </c>
      <c r="I83" s="2" t="n">
        <v>46383</v>
      </c>
      <c r="J83" t="inlineStr">
        <is>
          <t>Disetujui</t>
        </is>
      </c>
      <c r="K83" t="n">
        <v>87</v>
      </c>
      <c r="L83" t="inlineStr">
        <is>
          <t>27 Desember 2026</t>
        </is>
      </c>
      <c r="M83" t="inlineStr">
        <is>
          <t>Bangunan Sipil Jembatan, Jalan Layang, Fly Over, dan Underpass</t>
        </is>
      </c>
      <c r="N83" t="inlineStr">
        <is>
          <t>K</t>
        </is>
      </c>
      <c r="O83" t="inlineStr">
        <is>
          <t>20231220</t>
        </is>
      </c>
      <c r="P83" t="inlineStr">
        <is>
          <t>Jawa Timur</t>
        </is>
      </c>
      <c r="Q83" t="inlineStr"/>
    </row>
    <row r="84">
      <c r="A84" t="inlineStr">
        <is>
          <t>PRIMA DISA MANDIRI</t>
        </is>
      </c>
      <c r="B84" t="inlineStr">
        <is>
          <t>Kab. Majalengka</t>
        </is>
      </c>
      <c r="C84" t="inlineStr">
        <is>
          <t>081221083332</t>
        </is>
      </c>
      <c r="D84" t="inlineStr">
        <is>
          <t>hps_kapten@yahoo.co.id</t>
        </is>
      </c>
      <c r="E84" t="inlineStr">
        <is>
          <t>https://lpjk.pu.go.id/search-badan-usaha-detail/TmRvdFhDU3lZbnE3VmUzYXN1NDNUQT09</t>
        </is>
      </c>
      <c r="F84" t="n">
        <v>3</v>
      </c>
      <c r="G84" t="inlineStr">
        <is>
          <t>BG005, BG006, BG009</t>
        </is>
      </c>
      <c r="H84" t="inlineStr">
        <is>
          <t>8 November 1994</t>
        </is>
      </c>
      <c r="I84" s="2" t="n">
        <v>46383</v>
      </c>
      <c r="J84" t="inlineStr">
        <is>
          <t>Disetujui</t>
        </is>
      </c>
      <c r="K84" t="n">
        <v>87</v>
      </c>
      <c r="L84" t="inlineStr">
        <is>
          <t>27 Desember 2026</t>
        </is>
      </c>
      <c r="M84" t="inlineStr">
        <is>
          <t>Konstruksi Gedung Kesehatan, Konstruksi Gedung Lainnya, Konstruksi Gedung Pendidikan</t>
        </is>
      </c>
      <c r="N84" t="inlineStr">
        <is>
          <t>K</t>
        </is>
      </c>
      <c r="O84" t="inlineStr">
        <is>
          <t>20231227</t>
        </is>
      </c>
      <c r="P84" t="inlineStr">
        <is>
          <t>Jawa Barat</t>
        </is>
      </c>
      <c r="Q84" t="inlineStr"/>
    </row>
    <row r="85">
      <c r="A85" t="inlineStr">
        <is>
          <t>PRIMA LESTARI BAROKAH</t>
        </is>
      </c>
      <c r="B85" t="inlineStr">
        <is>
          <t>Kab. Cianjur</t>
        </is>
      </c>
      <c r="C85" t="inlineStr">
        <is>
          <t>081905034159</t>
        </is>
      </c>
      <c r="D85" t="inlineStr">
        <is>
          <t>primalestaribarokah@gmail.com</t>
        </is>
      </c>
      <c r="E85" t="inlineStr">
        <is>
          <t>https://lpjk.pu.go.id/search-badan-usaha-detail/bzJzd3JXRHYraGhVRHRoNFVDeklLQT09</t>
        </is>
      </c>
      <c r="F85" t="n">
        <v>1</v>
      </c>
      <c r="G85" t="inlineStr">
        <is>
          <t>BS001</t>
        </is>
      </c>
      <c r="H85" t="inlineStr">
        <is>
          <t>25 Oktober 2023</t>
        </is>
      </c>
      <c r="I85" s="2" t="n">
        <v>46383</v>
      </c>
      <c r="J85" t="inlineStr">
        <is>
          <t>Disetujui</t>
        </is>
      </c>
      <c r="K85" t="n">
        <v>87</v>
      </c>
      <c r="L85" t="inlineStr">
        <is>
          <t>27 Desember 2026</t>
        </is>
      </c>
      <c r="M85" t="inlineStr">
        <is>
          <t>Konstruksi Bangunan Sipil Jalan</t>
        </is>
      </c>
      <c r="N85" t="inlineStr">
        <is>
          <t>K</t>
        </is>
      </c>
      <c r="O85" t="inlineStr">
        <is>
          <t>20231225</t>
        </is>
      </c>
      <c r="P85" t="inlineStr">
        <is>
          <t>Jawa Barat</t>
        </is>
      </c>
      <c r="Q85" t="inlineStr"/>
    </row>
    <row r="86">
      <c r="A86" t="inlineStr">
        <is>
          <t>PRIMA NUANSA SOLUTION</t>
        </is>
      </c>
      <c r="B86" t="inlineStr">
        <is>
          <t>Kab. Kampar</t>
        </is>
      </c>
      <c r="C86" t="inlineStr">
        <is>
          <t>082288393752</t>
        </is>
      </c>
      <c r="D86" t="inlineStr">
        <is>
          <t>cvprimanuansasolution@gmail.com</t>
        </is>
      </c>
      <c r="E86" t="inlineStr">
        <is>
          <t>https://lpjk.pu.go.id/search-badan-usaha-detail/Mi8wUlJvd2tnbFkrVnNtb0ZYK0h2Zz09</t>
        </is>
      </c>
      <c r="F86" t="n">
        <v>2</v>
      </c>
      <c r="G86" t="inlineStr">
        <is>
          <t>BG006, BG009</t>
        </is>
      </c>
      <c r="H86" t="inlineStr">
        <is>
          <t>30 November 2020</t>
        </is>
      </c>
      <c r="I86" s="2" t="n">
        <v>46383</v>
      </c>
      <c r="J86" t="inlineStr">
        <is>
          <t>Disetujui</t>
        </is>
      </c>
      <c r="K86" t="n">
        <v>87</v>
      </c>
      <c r="L86" t="inlineStr">
        <is>
          <t>27 Desember 2026</t>
        </is>
      </c>
      <c r="M86" t="inlineStr">
        <is>
          <t>Konstruksi Gedung Lainnya, Konstruksi Gedung Pendidikan</t>
        </is>
      </c>
      <c r="N86" t="inlineStr">
        <is>
          <t>K</t>
        </is>
      </c>
      <c r="O86" t="inlineStr">
        <is>
          <t>20231227</t>
        </is>
      </c>
      <c r="P86" t="inlineStr">
        <is>
          <t>Riau</t>
        </is>
      </c>
      <c r="Q86" t="inlineStr"/>
    </row>
    <row r="87">
      <c r="A87" t="inlineStr">
        <is>
          <t>PT. PESONA KARYA BERSAMA</t>
        </is>
      </c>
      <c r="B87" t="inlineStr">
        <is>
          <t>Kab. Ngada</t>
        </is>
      </c>
      <c r="C87" t="inlineStr">
        <is>
          <t>082147104714</t>
        </is>
      </c>
      <c r="D87" t="inlineStr">
        <is>
          <t>pt.pesonakaryabersama@gmail.com</t>
        </is>
      </c>
      <c r="E87" t="inlineStr">
        <is>
          <t>https://lpjk.pu.go.id/search-badan-usaha-detail/eFJ6Zk9NT1Z6THp4RkxlOTIrVkxndz09</t>
        </is>
      </c>
      <c r="F87" t="n">
        <v>2</v>
      </c>
      <c r="G87" t="inlineStr">
        <is>
          <t>BS001</t>
        </is>
      </c>
      <c r="H87" t="inlineStr">
        <is>
          <t>24 April 2008</t>
        </is>
      </c>
      <c r="I87" s="2" t="n">
        <v>46383</v>
      </c>
      <c r="J87" t="inlineStr">
        <is>
          <t>Pencabutan</t>
        </is>
      </c>
      <c r="K87" t="n">
        <v>87</v>
      </c>
      <c r="L87" t="inlineStr">
        <is>
          <t>27 Desember 2026</t>
        </is>
      </c>
      <c r="M87" t="inlineStr">
        <is>
          <t>Konstruksi Bangunan Sipil Jalan</t>
        </is>
      </c>
      <c r="N87" t="inlineStr">
        <is>
          <t>M</t>
        </is>
      </c>
      <c r="O87" t="inlineStr">
        <is>
          <t>20231227</t>
        </is>
      </c>
      <c r="P87" t="inlineStr">
        <is>
          <t>Nusa Tenggara Timur</t>
        </is>
      </c>
      <c r="Q87" t="inlineStr"/>
    </row>
    <row r="88">
      <c r="A88" t="inlineStr">
        <is>
          <t>PUTRA JOKO TOLE MADURA</t>
        </is>
      </c>
      <c r="B88" t="inlineStr">
        <is>
          <t>Kab. Sampang</t>
        </is>
      </c>
      <c r="C88" t="inlineStr">
        <is>
          <t>085330457952</t>
        </is>
      </c>
      <c r="D88" t="inlineStr">
        <is>
          <t>pt.putrajokotolemadura@gmail.com</t>
        </is>
      </c>
      <c r="E88" t="inlineStr">
        <is>
          <t>https://lpjk.pu.go.id/search-badan-usaha-detail/Tlk4NTBXbHFlYmhOM3BjYXVPdlk4Zz09</t>
        </is>
      </c>
      <c r="F88" t="n">
        <v>1</v>
      </c>
      <c r="G88" t="inlineStr">
        <is>
          <t>BG001</t>
        </is>
      </c>
      <c r="H88" t="inlineStr">
        <is>
          <t>13 Desember 2023</t>
        </is>
      </c>
      <c r="I88" s="2" t="n">
        <v>46383</v>
      </c>
      <c r="J88" t="inlineStr">
        <is>
          <t>Disetujui</t>
        </is>
      </c>
      <c r="K88" t="n">
        <v>87</v>
      </c>
      <c r="L88" t="inlineStr">
        <is>
          <t>27 Desember 2026</t>
        </is>
      </c>
      <c r="M88" t="inlineStr">
        <is>
          <t>Konstruksi Gedung Hunian</t>
        </is>
      </c>
      <c r="N88" t="inlineStr">
        <is>
          <t>K</t>
        </is>
      </c>
      <c r="O88" t="inlineStr">
        <is>
          <t>20231220</t>
        </is>
      </c>
      <c r="P88" t="inlineStr">
        <is>
          <t>Jawa Timur</t>
        </is>
      </c>
      <c r="Q88" t="inlineStr"/>
    </row>
    <row r="89">
      <c r="A89" t="inlineStr">
        <is>
          <t>PUTRANATAMA SOIT MANDIRI</t>
        </is>
      </c>
      <c r="B89" t="inlineStr">
        <is>
          <t>Kab. Tangerang</t>
        </is>
      </c>
      <c r="C89" t="inlineStr">
        <is>
          <t>02159405104</t>
        </is>
      </c>
      <c r="D89" t="inlineStr">
        <is>
          <t>putranatamasoitmandiri@gmail.com</t>
        </is>
      </c>
      <c r="E89" t="inlineStr">
        <is>
          <t>https://lpjk.pu.go.id/search-badan-usaha-detail/M0JBNnZLTngrelVQdzF0cThTQnM2Zz09</t>
        </is>
      </c>
      <c r="F89" t="n">
        <v>3</v>
      </c>
      <c r="G89" t="inlineStr">
        <is>
          <t>BG001, BG009, BS001</t>
        </is>
      </c>
      <c r="H89" t="inlineStr">
        <is>
          <t>2 Maret 2017</t>
        </is>
      </c>
      <c r="I89" s="2" t="n">
        <v>46383</v>
      </c>
      <c r="J89" t="inlineStr">
        <is>
          <t>Disetujui</t>
        </is>
      </c>
      <c r="K89" t="n">
        <v>87</v>
      </c>
      <c r="L89" t="inlineStr">
        <is>
          <t>27 Desember 2026</t>
        </is>
      </c>
      <c r="M89" t="inlineStr">
        <is>
          <t>Konstruksi Bangunan Sipil Jalan, Konstruksi Gedung Hunian, Konstruksi Gedung Lainnya</t>
        </is>
      </c>
      <c r="N89" t="inlineStr">
        <is>
          <t>K</t>
        </is>
      </c>
      <c r="O89" t="inlineStr">
        <is>
          <t>20231228, 20231229</t>
        </is>
      </c>
      <c r="P89" t="inlineStr">
        <is>
          <t>Banten</t>
        </is>
      </c>
      <c r="Q89" t="inlineStr"/>
    </row>
    <row r="90">
      <c r="A90" t="inlineStr">
        <is>
          <t>RAFI HUTAMA KARYA</t>
        </is>
      </c>
      <c r="B90" t="inlineStr">
        <is>
          <t>Kab. Garut</t>
        </is>
      </c>
      <c r="C90" t="inlineStr">
        <is>
          <t>081319317485</t>
        </is>
      </c>
      <c r="D90" t="inlineStr">
        <is>
          <t>rafihutamakarya.cv@gmail.com</t>
        </is>
      </c>
      <c r="E90" t="inlineStr">
        <is>
          <t>https://lpjk.pu.go.id/search-badan-usaha-detail/d2FPdGJyajR5VW43SHBWQ0xSc1RYQT09</t>
        </is>
      </c>
      <c r="F90" t="n">
        <v>1</v>
      </c>
      <c r="G90" t="inlineStr">
        <is>
          <t>BS001</t>
        </is>
      </c>
      <c r="H90" t="inlineStr">
        <is>
          <t>14 Juli 2017</t>
        </is>
      </c>
      <c r="I90" s="2" t="n">
        <v>46383</v>
      </c>
      <c r="J90" t="inlineStr">
        <is>
          <t>Disetujui</t>
        </is>
      </c>
      <c r="K90" t="n">
        <v>87</v>
      </c>
      <c r="L90" t="inlineStr">
        <is>
          <t>27 Desember 2026</t>
        </is>
      </c>
      <c r="M90" t="inlineStr">
        <is>
          <t>Konstruksi Bangunan Sipil Jalan</t>
        </is>
      </c>
      <c r="N90" t="inlineStr">
        <is>
          <t>K</t>
        </is>
      </c>
      <c r="O90" t="inlineStr">
        <is>
          <t>20231221</t>
        </is>
      </c>
      <c r="P90" t="inlineStr">
        <is>
          <t>Jawa Barat</t>
        </is>
      </c>
      <c r="Q90" t="inlineStr"/>
    </row>
    <row r="91">
      <c r="A91" t="inlineStr">
        <is>
          <t>RAGIL KENCANA</t>
        </is>
      </c>
      <c r="B91" t="inlineStr">
        <is>
          <t>Kota Semarang</t>
        </is>
      </c>
      <c r="C91" t="inlineStr">
        <is>
          <t>0247628850</t>
        </is>
      </c>
      <c r="D91" t="inlineStr">
        <is>
          <t>ragilkencanacv@gmail.com</t>
        </is>
      </c>
      <c r="E91" t="inlineStr">
        <is>
          <t>https://lpjk.pu.go.id/search-badan-usaha-detail/dnNGN1lHSFlVMkgwVEpnQ2phUjJmQT09</t>
        </is>
      </c>
      <c r="F91" t="n">
        <v>5</v>
      </c>
      <c r="G91" t="inlineStr">
        <is>
          <t>BG001, BG002, BG005, BG006, BG009</t>
        </is>
      </c>
      <c r="H91" t="inlineStr">
        <is>
          <t>26 November 1997</t>
        </is>
      </c>
      <c r="I91" s="2" t="n">
        <v>46383</v>
      </c>
      <c r="J91" t="inlineStr">
        <is>
          <t>Disetujui</t>
        </is>
      </c>
      <c r="K91" t="n">
        <v>87</v>
      </c>
      <c r="L91" t="inlineStr">
        <is>
          <t>27 Desember 2026</t>
        </is>
      </c>
      <c r="M91" t="inlineStr">
        <is>
          <t>Konstruksi Gedung Hunian, Konstruksi Gedung Kesehatan, Konstruksi Gedung Lainnya, Konstruksi Gedung Pendidikan, Konstruksi Gedung Perkantoran</t>
        </is>
      </c>
      <c r="N91" t="inlineStr">
        <is>
          <t>K</t>
        </is>
      </c>
      <c r="O91" t="inlineStr">
        <is>
          <t>20231227</t>
        </is>
      </c>
      <c r="P91" t="inlineStr">
        <is>
          <t>Jawa Tengah</t>
        </is>
      </c>
      <c r="Q91" t="inlineStr"/>
    </row>
    <row r="92">
      <c r="A92" t="inlineStr">
        <is>
          <t>RAKSA ARIA KENCANA</t>
        </is>
      </c>
      <c r="B92" t="inlineStr">
        <is>
          <t>Kota Sukabumi</t>
        </is>
      </c>
      <c r="C92" t="inlineStr">
        <is>
          <t>081381364610</t>
        </is>
      </c>
      <c r="D92" t="inlineStr">
        <is>
          <t>rak.sukabumi@gmail.com</t>
        </is>
      </c>
      <c r="E92" t="inlineStr">
        <is>
          <t>https://lpjk.pu.go.id/search-badan-usaha-detail/MFFuRFYxbjA1ZHNuemdwMDJoc0prQT09</t>
        </is>
      </c>
      <c r="F92" t="n">
        <v>1</v>
      </c>
      <c r="G92" t="inlineStr">
        <is>
          <t>BG008</t>
        </is>
      </c>
      <c r="H92" t="inlineStr">
        <is>
          <t>6 Januari 2020</t>
        </is>
      </c>
      <c r="I92" s="2" t="n">
        <v>46383</v>
      </c>
      <c r="J92" t="inlineStr">
        <is>
          <t>Disetujui</t>
        </is>
      </c>
      <c r="K92" t="n">
        <v>87</v>
      </c>
      <c r="L92" t="inlineStr">
        <is>
          <t>27 Desember 2026</t>
        </is>
      </c>
      <c r="M92" t="inlineStr">
        <is>
          <t>Konstruksi Gedung Tempat Hiburan dan Olahraga</t>
        </is>
      </c>
      <c r="N92" t="inlineStr">
        <is>
          <t>K</t>
        </is>
      </c>
      <c r="O92" t="inlineStr">
        <is>
          <t>20231114</t>
        </is>
      </c>
      <c r="P92" t="inlineStr">
        <is>
          <t>Jawa Barat</t>
        </is>
      </c>
      <c r="Q92" t="inlineStr"/>
    </row>
    <row r="93">
      <c r="A93" t="inlineStr">
        <is>
          <t>RAYA CIPTA PRATAMA</t>
        </is>
      </c>
      <c r="B93" t="inlineStr">
        <is>
          <t>Kota Mataram</t>
        </is>
      </c>
      <c r="C93" t="inlineStr">
        <is>
          <t>081917335388</t>
        </is>
      </c>
      <c r="D93" t="inlineStr">
        <is>
          <t>rayacipta@gmail.com</t>
        </is>
      </c>
      <c r="E93" t="inlineStr">
        <is>
          <t>https://lpjk.pu.go.id/search-badan-usaha-detail/ZVdNTEpvakdUVGgreXVvMGFnWi9vQT09</t>
        </is>
      </c>
      <c r="F93" t="n">
        <v>1</v>
      </c>
      <c r="G93" t="inlineStr">
        <is>
          <t>RK003</t>
        </is>
      </c>
      <c r="H93" t="inlineStr">
        <is>
          <t>17 Maret 1981</t>
        </is>
      </c>
      <c r="I93" s="2" t="n">
        <v>46383</v>
      </c>
      <c r="J93" t="inlineStr">
        <is>
          <t>Pencabutan</t>
        </is>
      </c>
      <c r="K93" t="n">
        <v>87</v>
      </c>
      <c r="L93" t="inlineStr">
        <is>
          <t>27 Desember 2026</t>
        </is>
      </c>
      <c r="M93" t="inlineStr">
        <is>
          <t>Jasa Rekayasa Pekerjaan Teknik Sipil Transportasi</t>
        </is>
      </c>
      <c r="N93" t="inlineStr">
        <is>
          <t>K</t>
        </is>
      </c>
      <c r="O93" t="inlineStr">
        <is>
          <t>20231211</t>
        </is>
      </c>
      <c r="P93" t="inlineStr">
        <is>
          <t>Nusa Tenggara Barat</t>
        </is>
      </c>
      <c r="Q93" t="inlineStr"/>
    </row>
    <row r="94">
      <c r="A94" t="inlineStr">
        <is>
          <t>RAYYA SATU INDONESIA</t>
        </is>
      </c>
      <c r="B94" t="inlineStr">
        <is>
          <t>Kota Adm. Jakarta Pusat</t>
        </is>
      </c>
      <c r="C94" t="inlineStr">
        <is>
          <t>08121373239</t>
        </is>
      </c>
      <c r="D94" t="inlineStr">
        <is>
          <t>info@rayya.id</t>
        </is>
      </c>
      <c r="E94" t="inlineStr">
        <is>
          <t>https://lpjk.pu.go.id/search-badan-usaha-detail/YkpLc0J5cm1XK2NrSWZEaXV5WVQzUT09</t>
        </is>
      </c>
      <c r="F94" t="n">
        <v>1</v>
      </c>
      <c r="G94" t="inlineStr">
        <is>
          <t>RK001</t>
        </is>
      </c>
      <c r="H94" t="inlineStr">
        <is>
          <t>3 November 2021</t>
        </is>
      </c>
      <c r="I94" s="2" t="n">
        <v>46383</v>
      </c>
      <c r="J94" t="inlineStr">
        <is>
          <t>Disetujui</t>
        </is>
      </c>
      <c r="K94" t="n">
        <v>87</v>
      </c>
      <c r="L94" t="inlineStr">
        <is>
          <t>27 Desember 2026</t>
        </is>
      </c>
      <c r="M94" t="inlineStr">
        <is>
          <t>Jasa Rekayasa Konstruksi Bangunan Gedung Hunian dan Non Hunian</t>
        </is>
      </c>
      <c r="N94" t="inlineStr">
        <is>
          <t>K</t>
        </is>
      </c>
      <c r="O94" t="inlineStr">
        <is>
          <t>20231215</t>
        </is>
      </c>
      <c r="P94" t="inlineStr">
        <is>
          <t>DKI Jakarta</t>
        </is>
      </c>
      <c r="Q94" t="inlineStr"/>
    </row>
    <row r="95">
      <c r="A95" t="inlineStr">
        <is>
          <t>RCB PUTRA PERKASA</t>
        </is>
      </c>
      <c r="B95" t="inlineStr">
        <is>
          <t>Kab. Garut</t>
        </is>
      </c>
      <c r="C95" t="inlineStr">
        <is>
          <t>0813 12597988</t>
        </is>
      </c>
      <c r="D95" t="inlineStr">
        <is>
          <t>rcbputraperkasa.cv@gmail.com</t>
        </is>
      </c>
      <c r="E95" t="inlineStr">
        <is>
          <t>https://lpjk.pu.go.id/search-badan-usaha-detail/K0pNOFk4Z2dGZ3d3cTJWc2tZTkxHUT09</t>
        </is>
      </c>
      <c r="F95" t="n">
        <v>5</v>
      </c>
      <c r="G95" t="inlineStr">
        <is>
          <t>BG002, BG005, BG006, BG008, BG009</t>
        </is>
      </c>
      <c r="H95" t="inlineStr">
        <is>
          <t>5 Januari 2021</t>
        </is>
      </c>
      <c r="I95" s="2" t="n">
        <v>46383</v>
      </c>
      <c r="J95" t="inlineStr">
        <is>
          <t>Disetujui</t>
        </is>
      </c>
      <c r="K95" t="n">
        <v>87</v>
      </c>
      <c r="L95" t="inlineStr">
        <is>
          <t>27 Desember 2026</t>
        </is>
      </c>
      <c r="M95" t="inlineStr">
        <is>
          <t>Konstruksi Gedung Kesehatan, Konstruksi Gedung Lainnya, Konstruksi Gedung Pendidikan, Konstruksi Gedung Perkantoran, Konstruksi Gedung Tempat Hiburan dan Olahraga</t>
        </is>
      </c>
      <c r="N95" t="inlineStr">
        <is>
          <t>K</t>
        </is>
      </c>
      <c r="O95" t="inlineStr">
        <is>
          <t>20231220</t>
        </is>
      </c>
      <c r="P95" t="inlineStr">
        <is>
          <t>Jawa Barat</t>
        </is>
      </c>
      <c r="Q95" t="inlineStr"/>
    </row>
    <row r="96">
      <c r="A96" t="inlineStr">
        <is>
          <t>RIDHO ABADI APLIKATOR</t>
        </is>
      </c>
      <c r="B96" t="inlineStr">
        <is>
          <t>Kab. Deli Serdang</t>
        </is>
      </c>
      <c r="C96" t="inlineStr">
        <is>
          <t>081265758860</t>
        </is>
      </c>
      <c r="D96" t="inlineStr">
        <is>
          <t>ridhoabadiaplikator@yopmail.com</t>
        </is>
      </c>
      <c r="E96" t="inlineStr">
        <is>
          <t>https://lpjk.pu.go.id/search-badan-usaha-detail/QWhMVTlHOU1Hdks4bDgrdUFkOTM2UT09</t>
        </is>
      </c>
      <c r="F96" t="n">
        <v>1</v>
      </c>
      <c r="G96" t="inlineStr">
        <is>
          <t>BG003</t>
        </is>
      </c>
      <c r="H96" t="inlineStr">
        <is>
          <t>9 Februari 2013</t>
        </is>
      </c>
      <c r="I96" s="2" t="n">
        <v>46383</v>
      </c>
      <c r="J96" t="inlineStr">
        <is>
          <t>Disetujui</t>
        </is>
      </c>
      <c r="K96" t="n">
        <v>87</v>
      </c>
      <c r="L96" t="inlineStr">
        <is>
          <t>27 Desember 2026</t>
        </is>
      </c>
      <c r="M96" t="inlineStr">
        <is>
          <t>Konstruksi Gedung Industri</t>
        </is>
      </c>
      <c r="N96" t="inlineStr">
        <is>
          <t>K</t>
        </is>
      </c>
      <c r="O96" t="inlineStr">
        <is>
          <t>20231227</t>
        </is>
      </c>
      <c r="P96" t="inlineStr">
        <is>
          <t>Sumatera Utara</t>
        </is>
      </c>
      <c r="Q96" t="inlineStr"/>
    </row>
    <row r="97">
      <c r="A97" t="inlineStr">
        <is>
          <t>ROMO TUNGGAL ABADI PERKASA</t>
        </is>
      </c>
      <c r="B97" t="inlineStr">
        <is>
          <t>Kab. Subang</t>
        </is>
      </c>
      <c r="C97" t="inlineStr">
        <is>
          <t>085210222449</t>
        </is>
      </c>
      <c r="D97" t="inlineStr">
        <is>
          <t>ptromotunggalabadiperkasa@gmail.com</t>
        </is>
      </c>
      <c r="E97" t="inlineStr">
        <is>
          <t>https://lpjk.pu.go.id/search-badan-usaha-detail/bnQ5Q3hKVU5kUk1aQnJZQXhjaGtzZz09</t>
        </is>
      </c>
      <c r="F97" t="n">
        <v>1</v>
      </c>
      <c r="G97" t="inlineStr">
        <is>
          <t>BS001</t>
        </is>
      </c>
      <c r="H97" t="inlineStr">
        <is>
          <t>2 November 2023</t>
        </is>
      </c>
      <c r="I97" s="2" t="n">
        <v>46383</v>
      </c>
      <c r="J97" t="inlineStr">
        <is>
          <t>Disetujui</t>
        </is>
      </c>
      <c r="K97" t="n">
        <v>87</v>
      </c>
      <c r="L97" t="inlineStr">
        <is>
          <t>27 Desember 2026</t>
        </is>
      </c>
      <c r="M97" t="inlineStr">
        <is>
          <t>Konstruksi Bangunan Sipil Jalan</t>
        </is>
      </c>
      <c r="N97" t="inlineStr">
        <is>
          <t>K</t>
        </is>
      </c>
      <c r="O97" t="inlineStr">
        <is>
          <t>20231223</t>
        </is>
      </c>
      <c r="P97" t="inlineStr">
        <is>
          <t>Jawa Barat</t>
        </is>
      </c>
      <c r="Q97" t="inlineStr"/>
    </row>
    <row r="98">
      <c r="A98" t="inlineStr">
        <is>
          <t>RUMAH DESAIN DAN KONSTRUKSI</t>
        </is>
      </c>
      <c r="B98" t="inlineStr">
        <is>
          <t>Kota Denpasar</t>
        </is>
      </c>
      <c r="C98" t="inlineStr">
        <is>
          <t>082234653782</t>
        </is>
      </c>
      <c r="D98" t="inlineStr">
        <is>
          <t>rumahdesainkonstruksi@gmail.com</t>
        </is>
      </c>
      <c r="E98" t="inlineStr">
        <is>
          <t>https://lpjk.pu.go.id/search-badan-usaha-detail/MHBCR1VQbzArS0tRbU5DQzkxMTMwUT09</t>
        </is>
      </c>
      <c r="F98" t="n">
        <v>1</v>
      </c>
      <c r="G98" t="inlineStr">
        <is>
          <t>BG001</t>
        </is>
      </c>
      <c r="H98" t="inlineStr">
        <is>
          <t>16 November 2023</t>
        </is>
      </c>
      <c r="I98" s="2" t="n">
        <v>46383</v>
      </c>
      <c r="J98" t="inlineStr">
        <is>
          <t>Disetujui</t>
        </is>
      </c>
      <c r="K98" t="n">
        <v>87</v>
      </c>
      <c r="L98" t="inlineStr">
        <is>
          <t>27 Desember 2026</t>
        </is>
      </c>
      <c r="M98" t="inlineStr">
        <is>
          <t>Konstruksi Gedung Hunian</t>
        </is>
      </c>
      <c r="N98" t="inlineStr">
        <is>
          <t>K</t>
        </is>
      </c>
      <c r="O98" t="inlineStr">
        <is>
          <t>20231227</t>
        </is>
      </c>
      <c r="P98" t="inlineStr">
        <is>
          <t>Bali</t>
        </is>
      </c>
      <c r="Q98" t="inlineStr"/>
    </row>
    <row r="99">
      <c r="A99" t="inlineStr">
        <is>
          <t>SANTANA GRAHA INTERNASIONAL</t>
        </is>
      </c>
      <c r="B99" t="inlineStr">
        <is>
          <t>Kota Bandung</t>
        </is>
      </c>
      <c r="C99" t="inlineStr">
        <is>
          <t>081220009989</t>
        </is>
      </c>
      <c r="D99" t="inlineStr">
        <is>
          <t>santanagrahain@gmail.com</t>
        </is>
      </c>
      <c r="E99" t="inlineStr">
        <is>
          <t>https://lpjk.pu.go.id/search-badan-usaha-detail/RmFpS0wvRGJndGphbTE5bEJ6NEhFQT09</t>
        </is>
      </c>
      <c r="F99" t="n">
        <v>1</v>
      </c>
      <c r="G99" t="inlineStr">
        <is>
          <t>RK001</t>
        </is>
      </c>
      <c r="H99" t="inlineStr">
        <is>
          <t>3 September 2025</t>
        </is>
      </c>
      <c r="I99" s="2" t="n">
        <v>46383</v>
      </c>
      <c r="J99" t="inlineStr">
        <is>
          <t>Disetujui</t>
        </is>
      </c>
      <c r="K99" t="n">
        <v>87</v>
      </c>
      <c r="L99" t="inlineStr">
        <is>
          <t>27 Desember 2026</t>
        </is>
      </c>
      <c r="M99" t="inlineStr">
        <is>
          <t>Jasa Rekayasa Konstruksi Bangunan Gedung Hunian dan Non Hunian</t>
        </is>
      </c>
      <c r="N99" t="inlineStr">
        <is>
          <t>K</t>
        </is>
      </c>
      <c r="O99" t="inlineStr">
        <is>
          <t>20231220</t>
        </is>
      </c>
      <c r="P99" t="inlineStr">
        <is>
          <t>Jawa Barat</t>
        </is>
      </c>
      <c r="Q99" t="inlineStr"/>
    </row>
    <row r="100">
      <c r="A100" t="inlineStr">
        <is>
          <t>SARANA TEKNIK PERKASA</t>
        </is>
      </c>
      <c r="B100" t="inlineStr">
        <is>
          <t>Kota Tangerang Selatan</t>
        </is>
      </c>
      <c r="C100" t="inlineStr">
        <is>
          <t>081392617956</t>
        </is>
      </c>
      <c r="D100" t="inlineStr">
        <is>
          <t>ptstp2021@gmail.com</t>
        </is>
      </c>
      <c r="E100" t="inlineStr">
        <is>
          <t>https://lpjk.pu.go.id/search-badan-usaha-detail/aDd0VGhxSXZFVGJ4MVhRRE40bENxdz09</t>
        </is>
      </c>
      <c r="F100" t="n">
        <v>1</v>
      </c>
      <c r="G100" t="inlineStr">
        <is>
          <t>IN007</t>
        </is>
      </c>
      <c r="H100" t="inlineStr">
        <is>
          <t>16 Oktober 2020</t>
        </is>
      </c>
      <c r="I100" s="2" t="n">
        <v>46383</v>
      </c>
      <c r="J100" t="inlineStr">
        <is>
          <t>Pembekuan</t>
        </is>
      </c>
      <c r="K100" t="n">
        <v>87</v>
      </c>
      <c r="L100" t="inlineStr">
        <is>
          <t>27 Desember 2026</t>
        </is>
      </c>
      <c r="M100" t="inlineStr">
        <is>
          <t>Instalasi Saluran Air (Plambing)</t>
        </is>
      </c>
      <c r="N100" t="inlineStr">
        <is>
          <t>Spesialis</t>
        </is>
      </c>
      <c r="O100" t="inlineStr">
        <is>
          <t>20231221</t>
        </is>
      </c>
      <c r="P100" t="inlineStr">
        <is>
          <t>Banten</t>
        </is>
      </c>
      <c r="Q100" t="inlineStr"/>
    </row>
    <row r="101">
      <c r="A101" t="inlineStr">
        <is>
          <t>SARI BAHAGIA</t>
        </is>
      </c>
      <c r="B101" t="inlineStr">
        <is>
          <t>Kab. Jepara</t>
        </is>
      </c>
      <c r="C101" t="inlineStr">
        <is>
          <t>085326933523</t>
        </is>
      </c>
      <c r="D101" t="inlineStr">
        <is>
          <t>saribahagia@yahoo.co.id</t>
        </is>
      </c>
      <c r="E101" t="inlineStr">
        <is>
          <t>https://lpjk.pu.go.id/search-badan-usaha-detail/dExSSG9GeU43MEZRVDFKdHZmZkVwdz09</t>
        </is>
      </c>
      <c r="F101" t="n">
        <v>1</v>
      </c>
      <c r="G101" t="inlineStr">
        <is>
          <t>BS004</t>
        </is>
      </c>
      <c r="H101" t="inlineStr">
        <is>
          <t>6 Juni 2002</t>
        </is>
      </c>
      <c r="I101" s="2" t="n">
        <v>46383</v>
      </c>
      <c r="J101" t="inlineStr">
        <is>
          <t>Disetujui</t>
        </is>
      </c>
      <c r="K101" t="n">
        <v>87</v>
      </c>
      <c r="L101" t="inlineStr">
        <is>
          <t>27 Desember 2026</t>
        </is>
      </c>
      <c r="M101" t="inlineStr">
        <is>
          <t>Konstruksi Jaringan Irigasi dan Drainase</t>
        </is>
      </c>
      <c r="N101" t="inlineStr">
        <is>
          <t>K</t>
        </is>
      </c>
      <c r="O101" t="inlineStr">
        <is>
          <t>20231222</t>
        </is>
      </c>
      <c r="P101" t="inlineStr">
        <is>
          <t>Jawa Tengah</t>
        </is>
      </c>
      <c r="Q101" t="inlineStr"/>
    </row>
    <row r="102">
      <c r="A102" t="inlineStr">
        <is>
          <t>SENTRAL HIKMAH</t>
        </is>
      </c>
      <c r="B102" t="inlineStr">
        <is>
          <t>Kab. Kotabaru</t>
        </is>
      </c>
      <c r="C102" t="inlineStr">
        <is>
          <t>082149819244</t>
        </is>
      </c>
      <c r="D102" t="inlineStr">
        <is>
          <t>pt.eshadutainvestama@gmail.com</t>
        </is>
      </c>
      <c r="E102" t="inlineStr">
        <is>
          <t>https://lpjk.pu.go.id/search-badan-usaha-detail/ZkNBSEYwSlBnRy8rc1dpSit5dkNBZz09</t>
        </is>
      </c>
      <c r="F102" t="n">
        <v>12</v>
      </c>
      <c r="G102" t="inlineStr">
        <is>
          <t>BG002, BG004, BG005, BG006, BG009, BS001</t>
        </is>
      </c>
      <c r="H102" t="inlineStr">
        <is>
          <t>13 Januari 2014</t>
        </is>
      </c>
      <c r="I102" s="2" t="n">
        <v>46383</v>
      </c>
      <c r="J102" t="inlineStr">
        <is>
          <t>Disetujui</t>
        </is>
      </c>
      <c r="K102" t="n">
        <v>87</v>
      </c>
      <c r="L102" t="inlineStr">
        <is>
          <t>27 Desember 2026</t>
        </is>
      </c>
      <c r="M102" t="inlineStr">
        <is>
          <t>Konstruksi Bangunan Sipil Jalan, Konstruksi Gedung Kesehatan, Konstruksi Gedung Lainnya, Konstruksi Gedung Pendidikan, Konstruksi Gedung Perbelanjaan, Konstruksi Gedung Perkantoran</t>
        </is>
      </c>
      <c r="N102" t="inlineStr">
        <is>
          <t>K</t>
        </is>
      </c>
      <c r="O102" t="inlineStr">
        <is>
          <t>20231222, 20231223</t>
        </is>
      </c>
      <c r="P102" t="inlineStr">
        <is>
          <t>Kalimantan Selatan</t>
        </is>
      </c>
      <c r="Q102" t="inlineStr"/>
    </row>
    <row r="103">
      <c r="A103" t="inlineStr">
        <is>
          <t>SIDO AGUNG JAYA SAKTI</t>
        </is>
      </c>
      <c r="B103" t="inlineStr">
        <is>
          <t>Kab. Bantul</t>
        </is>
      </c>
      <c r="C103" t="inlineStr">
        <is>
          <t>085643455758</t>
        </is>
      </c>
      <c r="D103" t="inlineStr">
        <is>
          <t>pt.sidoagungjayasakti5758@gmail.com</t>
        </is>
      </c>
      <c r="E103" t="inlineStr">
        <is>
          <t>https://lpjk.pu.go.id/search-badan-usaha-detail/WVRSY3B6TWhzSU9TeE81WFYzOHFHdz09</t>
        </is>
      </c>
      <c r="F103" t="n">
        <v>2</v>
      </c>
      <c r="G103" t="inlineStr">
        <is>
          <t>BS001, BS004</t>
        </is>
      </c>
      <c r="H103" t="inlineStr">
        <is>
          <t>15 Januari 2016</t>
        </is>
      </c>
      <c r="I103" s="2" t="n">
        <v>46383</v>
      </c>
      <c r="J103" t="inlineStr">
        <is>
          <t>Disetujui</t>
        </is>
      </c>
      <c r="K103" t="n">
        <v>87</v>
      </c>
      <c r="L103" t="inlineStr">
        <is>
          <t>27 Desember 2026</t>
        </is>
      </c>
      <c r="M103" t="inlineStr">
        <is>
          <t>Konstruksi Bangunan Sipil Jalan, Konstruksi Jaringan Irigasi dan Drainase</t>
        </is>
      </c>
      <c r="N103" t="inlineStr">
        <is>
          <t>K</t>
        </is>
      </c>
      <c r="O103" t="inlineStr">
        <is>
          <t>20231223</t>
        </is>
      </c>
      <c r="P103" t="inlineStr">
        <is>
          <t>DI Yogyakarta</t>
        </is>
      </c>
      <c r="Q103" t="inlineStr"/>
    </row>
    <row r="104">
      <c r="A104" t="inlineStr">
        <is>
          <t>SIGMA GLOBAL INTI</t>
        </is>
      </c>
      <c r="B104" t="inlineStr">
        <is>
          <t>Kota Banda Aceh</t>
        </is>
      </c>
      <c r="C104" t="inlineStr">
        <is>
          <t>08126938309</t>
        </is>
      </c>
      <c r="D104" t="inlineStr">
        <is>
          <t>cvsgiconsultantdf@gmail.com</t>
        </is>
      </c>
      <c r="E104" t="inlineStr">
        <is>
          <t>https://lpjk.pu.go.id/search-badan-usaha-detail/M2s0bExuY3laeHNaaDVoakRrcWdYUT09</t>
        </is>
      </c>
      <c r="F104" t="n">
        <v>8</v>
      </c>
      <c r="G104" t="inlineStr">
        <is>
          <t>RK001, RK002, RK003, RK005</t>
        </is>
      </c>
      <c r="H104" t="inlineStr">
        <is>
          <t>28 September 2023</t>
        </is>
      </c>
      <c r="I104" s="2" t="n">
        <v>46383</v>
      </c>
      <c r="J104" t="inlineStr">
        <is>
          <t>Disetujui</t>
        </is>
      </c>
      <c r="K104" t="n">
        <v>87</v>
      </c>
      <c r="L104" t="inlineStr">
        <is>
          <t>27 Desember 2026</t>
        </is>
      </c>
      <c r="M104" t="inlineStr">
        <is>
          <t>Jasa Rekayasa Konstruksi Bangunan Gedung Hunian dan Non Hunian, Jasa Rekayasa Lainnya, Jasa Rekayasa Pekerjaan Teknik Sipil Sumber Daya Air, Jasa Rekayasa Pekerjaan Teknik Sipil Transportasi</t>
        </is>
      </c>
      <c r="N104" t="inlineStr">
        <is>
          <t>K</t>
        </is>
      </c>
      <c r="O104" t="inlineStr">
        <is>
          <t>20231114</t>
        </is>
      </c>
      <c r="P104" t="inlineStr">
        <is>
          <t>Aceh</t>
        </is>
      </c>
      <c r="Q104" t="inlineStr"/>
    </row>
    <row r="105">
      <c r="A105" t="inlineStr">
        <is>
          <t>SINAR CIPTA KARYA</t>
        </is>
      </c>
      <c r="B105" t="inlineStr">
        <is>
          <t>Kota Padang</t>
        </is>
      </c>
      <c r="C105" t="inlineStr">
        <is>
          <t>081363444481</t>
        </is>
      </c>
      <c r="D105" t="inlineStr">
        <is>
          <t>sinar.cipta9999@gmail.com</t>
        </is>
      </c>
      <c r="E105" t="inlineStr">
        <is>
          <t>https://lpjk.pu.go.id/search-badan-usaha-detail/SzZwOURXT3A4UzJJT3F5dCszVW00Zz09</t>
        </is>
      </c>
      <c r="F105" t="n">
        <v>1</v>
      </c>
      <c r="G105" t="inlineStr">
        <is>
          <t>BS007</t>
        </is>
      </c>
      <c r="H105" t="inlineStr">
        <is>
          <t>3 Oktober 2013</t>
        </is>
      </c>
      <c r="I105" s="2" t="n">
        <v>46383</v>
      </c>
      <c r="J105" t="inlineStr">
        <is>
          <t>Disetujui</t>
        </is>
      </c>
      <c r="K105" t="n">
        <v>87</v>
      </c>
      <c r="L105" t="inlineStr">
        <is>
          <t>27 Desember 2026</t>
        </is>
      </c>
      <c r="M105" t="inlineStr">
        <is>
          <t>Konstruksi Bangunan Sipil Elektrikal</t>
        </is>
      </c>
      <c r="N105" t="inlineStr">
        <is>
          <t>K</t>
        </is>
      </c>
      <c r="O105" t="inlineStr">
        <is>
          <t>20231227</t>
        </is>
      </c>
      <c r="P105" t="inlineStr">
        <is>
          <t>Sumatera Barat</t>
        </is>
      </c>
      <c r="Q105" t="inlineStr"/>
    </row>
    <row r="106">
      <c r="A106" t="inlineStr">
        <is>
          <t>STUDIO M</t>
        </is>
      </c>
      <c r="B106" t="inlineStr">
        <is>
          <t>Kota Balikpapan</t>
        </is>
      </c>
      <c r="C106" t="inlineStr">
        <is>
          <t>08115440928</t>
        </is>
      </c>
      <c r="D106" t="inlineStr">
        <is>
          <t>cv.studiombpp@gmail.com</t>
        </is>
      </c>
      <c r="E106" t="inlineStr">
        <is>
          <t>https://lpjk.pu.go.id/search-badan-usaha-detail/MkdMeWJEdHhVSjJEdlBFaVF6YjMzQT09</t>
        </is>
      </c>
      <c r="F106" t="n">
        <v>3</v>
      </c>
      <c r="G106" t="inlineStr">
        <is>
          <t>AR001, RK001, RK005</t>
        </is>
      </c>
      <c r="H106" t="inlineStr">
        <is>
          <t>27 Desember 1988</t>
        </is>
      </c>
      <c r="I106" s="2" t="n">
        <v>46383</v>
      </c>
      <c r="J106" t="inlineStr">
        <is>
          <t>Disetujui</t>
        </is>
      </c>
      <c r="K106" t="n">
        <v>87</v>
      </c>
      <c r="L106" t="inlineStr">
        <is>
          <t>27 Desember 2026</t>
        </is>
      </c>
      <c r="M106" t="inlineStr">
        <is>
          <t>Jasa Arsitektural Bangunan Gedung Hunian dan Non Hunian, Jasa Rekayasa Konstruksi Bangunan Gedung Hunian dan Non Hunian, Jasa Rekayasa Lainnya</t>
        </is>
      </c>
      <c r="N106" t="inlineStr">
        <is>
          <t>K</t>
        </is>
      </c>
      <c r="O106" t="inlineStr">
        <is>
          <t>20231221</t>
        </is>
      </c>
      <c r="P106" t="inlineStr">
        <is>
          <t>Kalimantan Timur</t>
        </is>
      </c>
      <c r="Q106" t="inlineStr"/>
    </row>
    <row r="107">
      <c r="A107" t="inlineStr">
        <is>
          <t>SUKANDA ART</t>
        </is>
      </c>
      <c r="B107" t="inlineStr">
        <is>
          <t>Kab. Gianyar</t>
        </is>
      </c>
      <c r="C107" t="inlineStr">
        <is>
          <t>082145003408</t>
        </is>
      </c>
      <c r="D107" t="inlineStr">
        <is>
          <t>cvsukandaart@gmail.com</t>
        </is>
      </c>
      <c r="E107" t="inlineStr">
        <is>
          <t>https://lpjk.pu.go.id/search-badan-usaha-detail/bXM5dUJpNU5VWnV0LzNDejV0TG1QUT09</t>
        </is>
      </c>
      <c r="F107" t="n">
        <v>1</v>
      </c>
      <c r="G107" t="inlineStr">
        <is>
          <t>AR001</t>
        </is>
      </c>
      <c r="H107" t="inlineStr">
        <is>
          <t>6 September 2000</t>
        </is>
      </c>
      <c r="I107" s="2" t="n">
        <v>46383</v>
      </c>
      <c r="J107" t="inlineStr">
        <is>
          <t>Disetujui</t>
        </is>
      </c>
      <c r="K107" t="n">
        <v>87</v>
      </c>
      <c r="L107" t="inlineStr">
        <is>
          <t>27 Desember 2026</t>
        </is>
      </c>
      <c r="M107" t="inlineStr">
        <is>
          <t>Jasa Arsitektural Bangunan Gedung Hunian dan Non Hunian</t>
        </is>
      </c>
      <c r="N107" t="inlineStr">
        <is>
          <t>K</t>
        </is>
      </c>
      <c r="O107" t="inlineStr">
        <is>
          <t>20231213</t>
        </is>
      </c>
      <c r="P107" t="inlineStr">
        <is>
          <t>Bali</t>
        </is>
      </c>
      <c r="Q107" t="inlineStr"/>
    </row>
    <row r="108">
      <c r="A108" t="inlineStr">
        <is>
          <t>SUKMAREKA YASAPRANATA</t>
        </is>
      </c>
      <c r="B108" t="inlineStr">
        <is>
          <t>Kota Banjarmasin</t>
        </is>
      </c>
      <c r="C108" t="inlineStr">
        <is>
          <t>081345101335</t>
        </is>
      </c>
      <c r="D108" t="inlineStr">
        <is>
          <t>sukmareka.yasapranata@gmail.com</t>
        </is>
      </c>
      <c r="E108" t="inlineStr">
        <is>
          <t>https://lpjk.pu.go.id/search-badan-usaha-detail/dkpHSjgvNFhTK3BaUjFQU2NoYWRmdz09</t>
        </is>
      </c>
      <c r="F108" t="n">
        <v>1</v>
      </c>
      <c r="G108" t="inlineStr">
        <is>
          <t>RK003</t>
        </is>
      </c>
      <c r="H108" t="inlineStr">
        <is>
          <t>24 Desember 2001</t>
        </is>
      </c>
      <c r="I108" s="2" t="n">
        <v>46383</v>
      </c>
      <c r="J108" t="inlineStr">
        <is>
          <t>Disetujui</t>
        </is>
      </c>
      <c r="K108" t="n">
        <v>87</v>
      </c>
      <c r="L108" t="inlineStr">
        <is>
          <t>27 Desember 2026</t>
        </is>
      </c>
      <c r="M108" t="inlineStr">
        <is>
          <t>Jasa Rekayasa Pekerjaan Teknik Sipil Transportasi</t>
        </is>
      </c>
      <c r="N108" t="inlineStr">
        <is>
          <t>K</t>
        </is>
      </c>
      <c r="O108" t="inlineStr">
        <is>
          <t>20231220</t>
        </is>
      </c>
      <c r="P108" t="inlineStr">
        <is>
          <t>Kalimantan Selatan</t>
        </is>
      </c>
      <c r="Q108" t="inlineStr"/>
    </row>
    <row r="109">
      <c r="A109" t="inlineStr">
        <is>
          <t>SUMBER POMPA PASURUAN</t>
        </is>
      </c>
      <c r="B109" t="inlineStr">
        <is>
          <t>Kab. Pasuruan</t>
        </is>
      </c>
      <c r="C109" t="inlineStr">
        <is>
          <t>082358950445</t>
        </is>
      </c>
      <c r="D109" t="inlineStr">
        <is>
          <t>sumberpompapasuruan@gmail.com</t>
        </is>
      </c>
      <c r="E109" t="inlineStr">
        <is>
          <t>https://lpjk.pu.go.id/search-badan-usaha-detail/N1p2eFpQMkM3RE5qek4yendKeTBjUT09</t>
        </is>
      </c>
      <c r="F109" t="n">
        <v>1</v>
      </c>
      <c r="G109" t="inlineStr">
        <is>
          <t>BS006</t>
        </is>
      </c>
      <c r="H109" t="inlineStr">
        <is>
          <t>1 September 2022</t>
        </is>
      </c>
      <c r="I109" s="2" t="n">
        <v>46383</v>
      </c>
      <c r="J109" t="inlineStr">
        <is>
          <t>Disetujui</t>
        </is>
      </c>
      <c r="K109" t="n">
        <v>87</v>
      </c>
      <c r="L109" t="inlineStr">
        <is>
          <t>27 Desember 2026</t>
        </is>
      </c>
      <c r="M109" t="inlineStr">
        <is>
          <t>Konstruksi Bangunan Sipil Prasarana dan Sarana Sistem Pengolahan Limbah Padat, Cair, dan Gas</t>
        </is>
      </c>
      <c r="N109" t="inlineStr">
        <is>
          <t>K</t>
        </is>
      </c>
      <c r="O109" t="inlineStr">
        <is>
          <t>20231223</t>
        </is>
      </c>
      <c r="P109" t="inlineStr">
        <is>
          <t>Jawa Timur</t>
        </is>
      </c>
      <c r="Q109" t="inlineStr"/>
    </row>
    <row r="110">
      <c r="A110" t="inlineStr">
        <is>
          <t>SURYA PUTRA PERDANA</t>
        </is>
      </c>
      <c r="B110" t="inlineStr">
        <is>
          <t>Kab. Bandung Barat</t>
        </is>
      </c>
      <c r="C110" t="inlineStr">
        <is>
          <t>081809363916</t>
        </is>
      </c>
      <c r="D110" t="inlineStr">
        <is>
          <t>cv.suryaputraperdana@gmail.com</t>
        </is>
      </c>
      <c r="E110" t="inlineStr">
        <is>
          <t>https://lpjk.pu.go.id/search-badan-usaha-detail/b0xTVStVN2JYZ1V1ZXJhRGQvTm5GZz09</t>
        </is>
      </c>
      <c r="F110" t="n">
        <v>2</v>
      </c>
      <c r="G110" t="inlineStr">
        <is>
          <t>BG009, BS001</t>
        </is>
      </c>
      <c r="H110" t="inlineStr">
        <is>
          <t>21 Mei 2019</t>
        </is>
      </c>
      <c r="I110" s="2" t="n">
        <v>46383</v>
      </c>
      <c r="J110" t="inlineStr">
        <is>
          <t>Disetujui</t>
        </is>
      </c>
      <c r="K110" t="n">
        <v>87</v>
      </c>
      <c r="L110" t="inlineStr">
        <is>
          <t>27 Desember 2026</t>
        </is>
      </c>
      <c r="M110" t="inlineStr">
        <is>
          <t>Konstruksi Bangunan Sipil Jalan, Konstruksi Gedung Lainnya</t>
        </is>
      </c>
      <c r="N110" t="inlineStr">
        <is>
          <t>K</t>
        </is>
      </c>
      <c r="O110" t="inlineStr">
        <is>
          <t>20231227</t>
        </is>
      </c>
      <c r="P110" t="inlineStr">
        <is>
          <t>Jawa Barat</t>
        </is>
      </c>
      <c r="Q110" t="inlineStr"/>
    </row>
    <row r="111">
      <c r="A111" t="inlineStr">
        <is>
          <t>SYAFIRA JAYA ABADI</t>
        </is>
      </c>
      <c r="B111" t="inlineStr">
        <is>
          <t>Kab. Karanganyar</t>
        </is>
      </c>
      <c r="C111" t="inlineStr">
        <is>
          <t>081253270159</t>
        </is>
      </c>
      <c r="D111" t="inlineStr">
        <is>
          <t>cvsyafirajayaabadi@gmail.com</t>
        </is>
      </c>
      <c r="E111" t="inlineStr">
        <is>
          <t>https://lpjk.pu.go.id/search-badan-usaha-detail/MFZnU0tldzBGTnFQUFU3bVIzTlNaQT09</t>
        </is>
      </c>
      <c r="F111" t="n">
        <v>3</v>
      </c>
      <c r="G111" t="inlineStr">
        <is>
          <t>BG005, BG006, BS004</t>
        </is>
      </c>
      <c r="H111" t="inlineStr">
        <is>
          <t>16 Desember 2020</t>
        </is>
      </c>
      <c r="I111" s="2" t="n">
        <v>46383</v>
      </c>
      <c r="J111" t="inlineStr">
        <is>
          <t>Disetujui</t>
        </is>
      </c>
      <c r="K111" t="n">
        <v>87</v>
      </c>
      <c r="L111" t="inlineStr">
        <is>
          <t>27 Desember 2026</t>
        </is>
      </c>
      <c r="M111" t="inlineStr">
        <is>
          <t>Konstruksi Gedung Kesehatan, Konstruksi Gedung Pendidikan, Konstruksi Jaringan Irigasi dan Drainase</t>
        </is>
      </c>
      <c r="N111" t="inlineStr">
        <is>
          <t>K</t>
        </is>
      </c>
      <c r="O111" t="inlineStr">
        <is>
          <t>20231223</t>
        </is>
      </c>
      <c r="P111" t="inlineStr">
        <is>
          <t>Jawa Tengah</t>
        </is>
      </c>
      <c r="Q111" t="inlineStr"/>
    </row>
    <row r="112">
      <c r="A112" t="inlineStr">
        <is>
          <t>SYAHPUTRA</t>
        </is>
      </c>
      <c r="B112" t="inlineStr">
        <is>
          <t>Kab. Kediri</t>
        </is>
      </c>
      <c r="C112" t="inlineStr">
        <is>
          <t>08125933292</t>
        </is>
      </c>
      <c r="D112" t="inlineStr">
        <is>
          <t>syahputracv@gmail.com</t>
        </is>
      </c>
      <c r="E112" t="inlineStr">
        <is>
          <t>https://lpjk.pu.go.id/search-badan-usaha-detail/RmFmQ1NiYldWOFBzSmpXdVlnSHdLdz09</t>
        </is>
      </c>
      <c r="F112" t="n">
        <v>1</v>
      </c>
      <c r="G112" t="inlineStr">
        <is>
          <t>BS001</t>
        </is>
      </c>
      <c r="H112" t="inlineStr">
        <is>
          <t>9 Januari 2008</t>
        </is>
      </c>
      <c r="I112" s="2" t="n">
        <v>46383</v>
      </c>
      <c r="J112" t="inlineStr">
        <is>
          <t>Disetujui</t>
        </is>
      </c>
      <c r="K112" t="n">
        <v>87</v>
      </c>
      <c r="L112" t="inlineStr">
        <is>
          <t>27 Desember 2026</t>
        </is>
      </c>
      <c r="M112" t="inlineStr">
        <is>
          <t>Konstruksi Bangunan Sipil Jalan</t>
        </is>
      </c>
      <c r="N112" t="inlineStr">
        <is>
          <t>K</t>
        </is>
      </c>
      <c r="O112" t="inlineStr">
        <is>
          <t>20231220</t>
        </is>
      </c>
      <c r="P112" t="inlineStr">
        <is>
          <t>Jawa Timur</t>
        </is>
      </c>
      <c r="Q112" t="inlineStr"/>
    </row>
    <row r="113">
      <c r="A113" t="inlineStr">
        <is>
          <t>TAPAK ANAK BINTAN</t>
        </is>
      </c>
      <c r="B113" t="inlineStr">
        <is>
          <t>Kota Tanjung Pinang</t>
        </is>
      </c>
      <c r="C113" t="inlineStr">
        <is>
          <t>082170261188</t>
        </is>
      </c>
      <c r="D113" t="inlineStr">
        <is>
          <t>cv.tapakanakbintan@gmail.com</t>
        </is>
      </c>
      <c r="E113" t="inlineStr">
        <is>
          <t>https://lpjk.pu.go.id/search-badan-usaha-detail/WUlydDNKcW1FbDdCbWJXNDhCWVBOQT09</t>
        </is>
      </c>
      <c r="F113" t="n">
        <v>1</v>
      </c>
      <c r="G113" t="inlineStr">
        <is>
          <t>BG001</t>
        </is>
      </c>
      <c r="H113" t="inlineStr">
        <is>
          <t>8 Juli 2019</t>
        </is>
      </c>
      <c r="I113" s="2" t="n">
        <v>46383</v>
      </c>
      <c r="J113" t="inlineStr">
        <is>
          <t>Disetujui</t>
        </is>
      </c>
      <c r="K113" t="n">
        <v>87</v>
      </c>
      <c r="L113" t="inlineStr">
        <is>
          <t>27 Desember 2026</t>
        </is>
      </c>
      <c r="M113" t="inlineStr">
        <is>
          <t>Konstruksi Gedung Hunian</t>
        </is>
      </c>
      <c r="N113" t="inlineStr">
        <is>
          <t>K</t>
        </is>
      </c>
      <c r="O113" t="inlineStr">
        <is>
          <t>20231227</t>
        </is>
      </c>
      <c r="P113" t="inlineStr">
        <is>
          <t>Kepulauan Riau</t>
        </is>
      </c>
      <c r="Q113" t="inlineStr"/>
    </row>
    <row r="114">
      <c r="A114" t="inlineStr">
        <is>
          <t>TERAJANAN KARYA ABADI</t>
        </is>
      </c>
      <c r="B114" t="inlineStr">
        <is>
          <t>Kab. Landak</t>
        </is>
      </c>
      <c r="C114" t="inlineStr">
        <is>
          <t>089693553248</t>
        </is>
      </c>
      <c r="D114" t="inlineStr">
        <is>
          <t>cvterajanankaryaabadi2023@gmail.com</t>
        </is>
      </c>
      <c r="E114" t="inlineStr">
        <is>
          <t>https://lpjk.pu.go.id/search-badan-usaha-detail/ZWpaTWJzYXlzSitpdUlGUHBEbGJ1dz09</t>
        </is>
      </c>
      <c r="F114" t="n">
        <v>2</v>
      </c>
      <c r="G114" t="inlineStr">
        <is>
          <t>BS001, BS002</t>
        </is>
      </c>
      <c r="H114" t="inlineStr">
        <is>
          <t>29 September 2005</t>
        </is>
      </c>
      <c r="I114" s="2" t="n">
        <v>46383</v>
      </c>
      <c r="J114" t="inlineStr">
        <is>
          <t>Disetujui</t>
        </is>
      </c>
      <c r="K114" t="n">
        <v>87</v>
      </c>
      <c r="L114" t="inlineStr">
        <is>
          <t>27 Desember 2026</t>
        </is>
      </c>
      <c r="M114" t="inlineStr">
        <is>
          <t>Bangunan Sipil Jembatan, Jalan Layang, Fly Over, dan Underpass, Konstruksi Bangunan Sipil Jalan</t>
        </is>
      </c>
      <c r="N114" t="inlineStr">
        <is>
          <t>K</t>
        </is>
      </c>
      <c r="O114" t="inlineStr">
        <is>
          <t>20231224, 20231228</t>
        </is>
      </c>
      <c r="P114" t="inlineStr">
        <is>
          <t>Kalimantan Barat</t>
        </is>
      </c>
      <c r="Q114" t="inlineStr"/>
    </row>
    <row r="115">
      <c r="A115" t="inlineStr">
        <is>
          <t>TERANG DUNIA ENERGI</t>
        </is>
      </c>
      <c r="B115" t="inlineStr">
        <is>
          <t>Kab. Serang</t>
        </is>
      </c>
      <c r="C115" t="inlineStr">
        <is>
          <t>0254396653</t>
        </is>
      </c>
      <c r="D115" t="inlineStr">
        <is>
          <t>terangdunia.e@gmail.com</t>
        </is>
      </c>
      <c r="E115" t="inlineStr">
        <is>
          <t>https://lpjk.pu.go.id/search-badan-usaha-detail/SS9QaHZ6VE9nZjdDVFZ4QlVaTFJBdz09</t>
        </is>
      </c>
      <c r="F115" t="n">
        <v>2</v>
      </c>
      <c r="G115" t="inlineStr">
        <is>
          <t>BG003</t>
        </is>
      </c>
      <c r="H115" t="inlineStr">
        <is>
          <t>31 Januari 2023</t>
        </is>
      </c>
      <c r="I115" s="2" t="n">
        <v>46383</v>
      </c>
      <c r="J115" t="inlineStr">
        <is>
          <t>Disetujui</t>
        </is>
      </c>
      <c r="K115" t="n">
        <v>87</v>
      </c>
      <c r="L115" t="inlineStr">
        <is>
          <t>27 Desember 2026</t>
        </is>
      </c>
      <c r="M115" t="inlineStr">
        <is>
          <t>Konstruksi Gedung Industri</t>
        </is>
      </c>
      <c r="N115" t="inlineStr">
        <is>
          <t>K</t>
        </is>
      </c>
      <c r="O115" t="inlineStr">
        <is>
          <t>20231222</t>
        </is>
      </c>
      <c r="P115" t="inlineStr">
        <is>
          <t>Banten</t>
        </is>
      </c>
      <c r="Q115" t="inlineStr"/>
    </row>
    <row r="116">
      <c r="A116" t="inlineStr">
        <is>
          <t>TIRTA SYNERGI UTAMA</t>
        </is>
      </c>
      <c r="B116" t="inlineStr">
        <is>
          <t>Kota Jambi</t>
        </is>
      </c>
      <c r="C116" t="inlineStr">
        <is>
          <t>082186383388</t>
        </is>
      </c>
      <c r="D116" t="inlineStr">
        <is>
          <t>tirtasynergiutama@gmail.com</t>
        </is>
      </c>
      <c r="E116" t="inlineStr">
        <is>
          <t>https://lpjk.pu.go.id/search-badan-usaha-detail/STlvZVNselVtM2hndVl0QitsNW1kUT09</t>
        </is>
      </c>
      <c r="F116" t="n">
        <v>2</v>
      </c>
      <c r="G116" t="inlineStr">
        <is>
          <t>BS001, BS002</t>
        </is>
      </c>
      <c r="H116" t="inlineStr">
        <is>
          <t>5 April 2023</t>
        </is>
      </c>
      <c r="I116" s="2" t="n">
        <v>46383</v>
      </c>
      <c r="J116" t="inlineStr">
        <is>
          <t>Pencabutan</t>
        </is>
      </c>
      <c r="K116" t="n">
        <v>87</v>
      </c>
      <c r="L116" t="inlineStr">
        <is>
          <t>27 Desember 2026</t>
        </is>
      </c>
      <c r="M116" t="inlineStr">
        <is>
          <t>Bangunan Sipil Jembatan, Jalan Layang, Fly Over, dan Underpass, Konstruksi Bangunan Sipil Jalan</t>
        </is>
      </c>
      <c r="N116" t="inlineStr">
        <is>
          <t>K</t>
        </is>
      </c>
      <c r="O116" t="inlineStr">
        <is>
          <t>20231227</t>
        </is>
      </c>
      <c r="P116" t="inlineStr">
        <is>
          <t>Jambi</t>
        </is>
      </c>
      <c r="Q116" t="inlineStr"/>
    </row>
    <row r="117">
      <c r="A117" t="inlineStr">
        <is>
          <t>TORAJA PANGESTU</t>
        </is>
      </c>
      <c r="B117" t="inlineStr">
        <is>
          <t>Kab. Cilacap</t>
        </is>
      </c>
      <c r="C117" t="inlineStr">
        <is>
          <t>085291796509</t>
        </is>
      </c>
      <c r="D117" t="inlineStr">
        <is>
          <t>keyla_ray@yahoo.com</t>
        </is>
      </c>
      <c r="E117" t="inlineStr">
        <is>
          <t>https://lpjk.pu.go.id/search-badan-usaha-detail/T0J1WE9vV1VpSjAxcGRrd0Iycmx4dz09</t>
        </is>
      </c>
      <c r="F117" t="n">
        <v>4</v>
      </c>
      <c r="G117" t="inlineStr">
        <is>
          <t>BG001, BG002, BG003, BS004</t>
        </is>
      </c>
      <c r="H117" t="inlineStr">
        <is>
          <t>17 Oktober 2001</t>
        </is>
      </c>
      <c r="I117" s="2" t="n">
        <v>46383</v>
      </c>
      <c r="J117" t="inlineStr">
        <is>
          <t>Disetujui</t>
        </is>
      </c>
      <c r="K117" t="n">
        <v>87</v>
      </c>
      <c r="L117" t="inlineStr">
        <is>
          <t>27 Desember 2026</t>
        </is>
      </c>
      <c r="M117" t="inlineStr">
        <is>
          <t>Konstruksi Gedung Hunian, Konstruksi Gedung Industri, Konstruksi Gedung Perkantoran, Konstruksi Jaringan Irigasi dan Drainase</t>
        </is>
      </c>
      <c r="N117" t="inlineStr">
        <is>
          <t>K</t>
        </is>
      </c>
      <c r="O117" t="inlineStr">
        <is>
          <t>20231222</t>
        </is>
      </c>
      <c r="P117" t="inlineStr">
        <is>
          <t>Jawa Tengah</t>
        </is>
      </c>
      <c r="Q117" t="inlineStr"/>
    </row>
    <row r="118">
      <c r="A118" t="inlineStr">
        <is>
          <t>TRI DAYA</t>
        </is>
      </c>
      <c r="B118" t="inlineStr">
        <is>
          <t>Kab. Tangerang</t>
        </is>
      </c>
      <c r="C118" t="inlineStr">
        <is>
          <t>0215519502</t>
        </is>
      </c>
      <c r="D118" t="inlineStr">
        <is>
          <t>tridaya.office@gmail.com</t>
        </is>
      </c>
      <c r="E118" t="inlineStr">
        <is>
          <t>https://lpjk.pu.go.id/search-badan-usaha-detail/QXgzK1VrNWJIMzNtaUcwS0U2M1hBUT09</t>
        </is>
      </c>
      <c r="F118" t="n">
        <v>2</v>
      </c>
      <c r="G118" t="inlineStr">
        <is>
          <t>BG006, BS001</t>
        </is>
      </c>
      <c r="H118" t="inlineStr">
        <is>
          <t>7 Agustus 1979</t>
        </is>
      </c>
      <c r="I118" s="2" t="n">
        <v>46383</v>
      </c>
      <c r="J118" t="inlineStr">
        <is>
          <t>Disetujui</t>
        </is>
      </c>
      <c r="K118" t="n">
        <v>87</v>
      </c>
      <c r="L118" t="inlineStr">
        <is>
          <t>27 Desember 2026</t>
        </is>
      </c>
      <c r="M118" t="inlineStr">
        <is>
          <t>Konstruksi Bangunan Sipil Jalan, Konstruksi Gedung Pendidikan</t>
        </is>
      </c>
      <c r="N118" t="inlineStr">
        <is>
          <t>K</t>
        </is>
      </c>
      <c r="O118" t="inlineStr">
        <is>
          <t>20231226</t>
        </is>
      </c>
      <c r="P118" t="inlineStr">
        <is>
          <t>Banten</t>
        </is>
      </c>
      <c r="Q118" t="inlineStr"/>
    </row>
    <row r="119">
      <c r="A119" t="inlineStr">
        <is>
          <t>TRIMURTI KARYA GEMILANG</t>
        </is>
      </c>
      <c r="B119" t="inlineStr">
        <is>
          <t>Kota Tangerang</t>
        </is>
      </c>
      <c r="C119" t="inlineStr">
        <is>
          <t>0816939052</t>
        </is>
      </c>
      <c r="D119" t="inlineStr">
        <is>
          <t>trimurtikaryagemilang@gmail.com</t>
        </is>
      </c>
      <c r="E119" t="inlineStr">
        <is>
          <t>https://lpjk.pu.go.id/search-badan-usaha-detail/MzhMTjgwb0R1Z0VCUlh0YVFQUXJ5dz09</t>
        </is>
      </c>
      <c r="F119" t="n">
        <v>16</v>
      </c>
      <c r="G119" t="inlineStr">
        <is>
          <t>BG002, BG005, BG006, BG008, BG009, BS001, BS002, BS004</t>
        </is>
      </c>
      <c r="H119" t="inlineStr">
        <is>
          <t>19 Juni 2024</t>
        </is>
      </c>
      <c r="I119" s="2" t="n">
        <v>46383</v>
      </c>
      <c r="J119" t="inlineStr">
        <is>
          <t>Disetujui</t>
        </is>
      </c>
      <c r="K119" t="n">
        <v>87</v>
      </c>
      <c r="L119" t="inlineStr">
        <is>
          <t>27 Desember 2026</t>
        </is>
      </c>
      <c r="M119" t="inlineStr">
        <is>
          <t>Bangunan Sipil Jembatan, Jalan Layang, Fly Over, dan Underpass, Konstruksi Bangunan Sipil Jalan, Konstruksi Gedung Kesehatan, Konstruksi Gedung Lainnya, Konstruksi Gedung Pendidikan, Konstruksi Gedung Perkantoran, Konstruksi Gedung Tempat Hiburan dan Olahraga, Konstruksi Jaringan Irigasi dan Drainase</t>
        </is>
      </c>
      <c r="N119" t="inlineStr">
        <is>
          <t>K</t>
        </is>
      </c>
      <c r="O119" t="inlineStr">
        <is>
          <t>20231228</t>
        </is>
      </c>
      <c r="P119" t="inlineStr">
        <is>
          <t>Banten</t>
        </is>
      </c>
      <c r="Q119" t="inlineStr"/>
    </row>
    <row r="120">
      <c r="A120" t="inlineStr">
        <is>
          <t>TRIO MISS</t>
        </is>
      </c>
      <c r="B120" t="inlineStr">
        <is>
          <t>Kota Sorong</t>
        </is>
      </c>
      <c r="C120" t="inlineStr">
        <is>
          <t>082197973345</t>
        </is>
      </c>
      <c r="D120" t="inlineStr">
        <is>
          <t>triomiss2025@gmail.com</t>
        </is>
      </c>
      <c r="E120" t="inlineStr">
        <is>
          <t>https://lpjk.pu.go.id/search-badan-usaha-detail/QVNiZVBlRmc1SkNVeFhORERQZ29ZUT09</t>
        </is>
      </c>
      <c r="F120" t="n">
        <v>3</v>
      </c>
      <c r="G120" t="inlineStr">
        <is>
          <t>BG009, BS001, BS004</t>
        </is>
      </c>
      <c r="H120" t="inlineStr">
        <is>
          <t>5 Januari 2011</t>
        </is>
      </c>
      <c r="I120" s="2" t="n">
        <v>46383</v>
      </c>
      <c r="J120" t="inlineStr">
        <is>
          <t>Disetujui</t>
        </is>
      </c>
      <c r="K120" t="n">
        <v>87</v>
      </c>
      <c r="L120" t="inlineStr">
        <is>
          <t>27 Desember 2026</t>
        </is>
      </c>
      <c r="M120" t="inlineStr">
        <is>
          <t>Konstruksi Bangunan Sipil Jalan, Konstruksi Gedung Lainnya, Konstruksi Jaringan Irigasi dan Drainase</t>
        </is>
      </c>
      <c r="N120" t="inlineStr">
        <is>
          <t>K</t>
        </is>
      </c>
      <c r="O120" t="inlineStr">
        <is>
          <t>20231227</t>
        </is>
      </c>
      <c r="P120" t="inlineStr">
        <is>
          <t>Papua Barat Daya</t>
        </is>
      </c>
      <c r="Q120" t="inlineStr"/>
    </row>
    <row r="121">
      <c r="A121" t="inlineStr">
        <is>
          <t>TUNAS KARYA</t>
        </is>
      </c>
      <c r="B121" t="inlineStr">
        <is>
          <t>Kab. Padang Lawas</t>
        </is>
      </c>
      <c r="C121" t="inlineStr">
        <is>
          <t>082273802830</t>
        </is>
      </c>
      <c r="D121" t="inlineStr">
        <is>
          <t>tunaskaryacv39@gmail.com</t>
        </is>
      </c>
      <c r="E121" t="inlineStr">
        <is>
          <t>https://lpjk.pu.go.id/search-badan-usaha-detail/bk1EZnJralFPbi9iK0UvcHM4VUJsdz09</t>
        </is>
      </c>
      <c r="F121" t="n">
        <v>1</v>
      </c>
      <c r="G121" t="inlineStr">
        <is>
          <t>BS005</t>
        </is>
      </c>
      <c r="H121" t="inlineStr">
        <is>
          <t>23 Juni 2014</t>
        </is>
      </c>
      <c r="I121" s="2" t="n">
        <v>46383</v>
      </c>
      <c r="J121" t="inlineStr">
        <is>
          <t>Disetujui</t>
        </is>
      </c>
      <c r="K121" t="n">
        <v>87</v>
      </c>
      <c r="L121" t="inlineStr">
        <is>
          <t>27 Desember 2026</t>
        </is>
      </c>
      <c r="M121" t="inlineStr">
        <is>
          <t>Konstruksi Bangunan Sipil Pengolahan Air Bersih</t>
        </is>
      </c>
      <c r="N121" t="inlineStr">
        <is>
          <t>K</t>
        </is>
      </c>
      <c r="O121" t="inlineStr">
        <is>
          <t>20231222</t>
        </is>
      </c>
      <c r="P121" t="inlineStr">
        <is>
          <t>Sumatera Utara</t>
        </is>
      </c>
      <c r="Q121" t="inlineStr"/>
    </row>
    <row r="122">
      <c r="A122" t="inlineStr">
        <is>
          <t>TUNAS KARYA BARU</t>
        </is>
      </c>
      <c r="B122" t="inlineStr">
        <is>
          <t>Kota Surabaya</t>
        </is>
      </c>
      <c r="C122" t="inlineStr">
        <is>
          <t>08133309613</t>
        </is>
      </c>
      <c r="D122" t="inlineStr">
        <is>
          <t>tunaskaryabarucv@gmail.com</t>
        </is>
      </c>
      <c r="E122" t="inlineStr">
        <is>
          <t>https://lpjk.pu.go.id/search-badan-usaha-detail/emkyU3BLcXRadGNSbDllcGhHUExXZz09</t>
        </is>
      </c>
      <c r="F122" t="n">
        <v>3</v>
      </c>
      <c r="G122" t="inlineStr">
        <is>
          <t>BG009, BS001, BS004</t>
        </is>
      </c>
      <c r="H122" t="inlineStr">
        <is>
          <t>2 November 2023</t>
        </is>
      </c>
      <c r="I122" s="2" t="n">
        <v>46383</v>
      </c>
      <c r="J122" t="inlineStr">
        <is>
          <t>Disetujui</t>
        </is>
      </c>
      <c r="K122" t="n">
        <v>87</v>
      </c>
      <c r="L122" t="inlineStr">
        <is>
          <t>27 Desember 2026</t>
        </is>
      </c>
      <c r="M122" t="inlineStr">
        <is>
          <t>Konstruksi Bangunan Sipil Jalan, Konstruksi Gedung Lainnya, Konstruksi Jaringan Irigasi dan Drainase</t>
        </is>
      </c>
      <c r="N122" t="inlineStr">
        <is>
          <t>K</t>
        </is>
      </c>
      <c r="O122" t="inlineStr">
        <is>
          <t>20231227, 20231228</t>
        </is>
      </c>
      <c r="P122" t="inlineStr">
        <is>
          <t>Jawa Timur</t>
        </is>
      </c>
      <c r="Q122" t="inlineStr"/>
    </row>
    <row r="123">
      <c r="A123" t="inlineStr">
        <is>
          <t>USAHA BELAJAR MANDIRI</t>
        </is>
      </c>
      <c r="B123" t="inlineStr">
        <is>
          <t>Kab. Nias Selatan</t>
        </is>
      </c>
      <c r="C123" t="inlineStr">
        <is>
          <t>082165787808</t>
        </is>
      </c>
      <c r="D123" t="inlineStr">
        <is>
          <t>cv.usahabelajarmandiri@gmail.com</t>
        </is>
      </c>
      <c r="E123" t="inlineStr">
        <is>
          <t>https://lpjk.pu.go.id/search-badan-usaha-detail/TXo2ZFhJa3FSU01PQ05EQWxmZmlBZz09</t>
        </is>
      </c>
      <c r="F123" t="n">
        <v>1</v>
      </c>
      <c r="G123" t="inlineStr">
        <is>
          <t>BS001</t>
        </is>
      </c>
      <c r="H123" t="inlineStr">
        <is>
          <t>22 Juli 2016</t>
        </is>
      </c>
      <c r="I123" s="2" t="n">
        <v>46383</v>
      </c>
      <c r="J123" t="inlineStr">
        <is>
          <t>Disetujui</t>
        </is>
      </c>
      <c r="K123" t="n">
        <v>87</v>
      </c>
      <c r="L123" t="inlineStr">
        <is>
          <t>27 Desember 2026</t>
        </is>
      </c>
      <c r="M123" t="inlineStr">
        <is>
          <t>Konstruksi Bangunan Sipil Jalan</t>
        </is>
      </c>
      <c r="N123" t="inlineStr">
        <is>
          <t>K</t>
        </is>
      </c>
      <c r="O123" t="inlineStr">
        <is>
          <t>20231219</t>
        </is>
      </c>
      <c r="P123" t="inlineStr">
        <is>
          <t>Sumatera Utara</t>
        </is>
      </c>
      <c r="Q123" t="inlineStr"/>
    </row>
    <row r="124">
      <c r="A124" t="inlineStr">
        <is>
          <t>WAHANA WAHYU KARYA</t>
        </is>
      </c>
      <c r="B124" t="inlineStr">
        <is>
          <t>Kota Surabaya</t>
        </is>
      </c>
      <c r="C124" t="inlineStr">
        <is>
          <t>99022606</t>
        </is>
      </c>
      <c r="D124" t="inlineStr">
        <is>
          <t>wahanawahyukarya@yahoo.com</t>
        </is>
      </c>
      <c r="E124" t="inlineStr">
        <is>
          <t>https://lpjk.pu.go.id/search-badan-usaha-detail/K2JGeGVYVEFmVHhoZTdDSnh5Y3c1UT09</t>
        </is>
      </c>
      <c r="F124" t="n">
        <v>2</v>
      </c>
      <c r="G124" t="inlineStr">
        <is>
          <t>BG009, BS003</t>
        </is>
      </c>
      <c r="H124" t="inlineStr">
        <is>
          <t>14 Maret 2012</t>
        </is>
      </c>
      <c r="I124" s="2" t="n">
        <v>46383</v>
      </c>
      <c r="J124" t="inlineStr">
        <is>
          <t>Disetujui</t>
        </is>
      </c>
      <c r="K124" t="n">
        <v>87</v>
      </c>
      <c r="L124" t="inlineStr">
        <is>
          <t>27 Desember 2026</t>
        </is>
      </c>
      <c r="M124" t="inlineStr">
        <is>
          <t>Konstruksi Gedung Lainnya, Konstruksi Jalan Rel</t>
        </is>
      </c>
      <c r="N124" t="inlineStr">
        <is>
          <t>K</t>
        </is>
      </c>
      <c r="O124" t="inlineStr">
        <is>
          <t>20231228</t>
        </is>
      </c>
      <c r="P124" t="inlineStr">
        <is>
          <t>Jawa Timur</t>
        </is>
      </c>
      <c r="Q124" t="inlineStr"/>
    </row>
    <row r="125">
      <c r="A125" t="inlineStr">
        <is>
          <t>WIDYA KARYA</t>
        </is>
      </c>
      <c r="B125" t="inlineStr">
        <is>
          <t>Kab. Kotawaringin Barat</t>
        </is>
      </c>
      <c r="C125" t="inlineStr">
        <is>
          <t>085346055499</t>
        </is>
      </c>
      <c r="D125" t="inlineStr">
        <is>
          <t>cv.widya_karya@ymail.com</t>
        </is>
      </c>
      <c r="E125" t="inlineStr">
        <is>
          <t>https://lpjk.pu.go.id/search-badan-usaha-detail/NmZKNmcyNGNVdy9OWDQxdzQ1cFJlZz09</t>
        </is>
      </c>
      <c r="F125" t="n">
        <v>2</v>
      </c>
      <c r="G125" t="inlineStr">
        <is>
          <t>BS001, BS002</t>
        </is>
      </c>
      <c r="H125" t="inlineStr">
        <is>
          <t>2 September 1991</t>
        </is>
      </c>
      <c r="I125" s="2" t="n">
        <v>46383</v>
      </c>
      <c r="J125" t="inlineStr">
        <is>
          <t>Disetujui</t>
        </is>
      </c>
      <c r="K125" t="n">
        <v>87</v>
      </c>
      <c r="L125" t="inlineStr">
        <is>
          <t>27 Desember 2026</t>
        </is>
      </c>
      <c r="M125" t="inlineStr">
        <is>
          <t>Bangunan Sipil Jembatan, Jalan Layang, Fly Over, dan Underpass, Konstruksi Bangunan Sipil Jalan</t>
        </is>
      </c>
      <c r="N125" t="inlineStr">
        <is>
          <t>K</t>
        </is>
      </c>
      <c r="O125" t="inlineStr">
        <is>
          <t>20231223</t>
        </is>
      </c>
      <c r="P125" t="inlineStr">
        <is>
          <t>Kalimantan Tengah</t>
        </is>
      </c>
      <c r="Q125" t="inlineStr"/>
    </row>
    <row r="126">
      <c r="A126" t="inlineStr">
        <is>
          <t>WIJAYA ENGINEERING KONSULTAN</t>
        </is>
      </c>
      <c r="B126" t="inlineStr">
        <is>
          <t>Kota Bandung</t>
        </is>
      </c>
      <c r="C126" t="inlineStr">
        <is>
          <t>081222247769</t>
        </is>
      </c>
      <c r="D126" t="inlineStr">
        <is>
          <t>ptwijayaengineeringkonsultan@gmail.com</t>
        </is>
      </c>
      <c r="E126" t="inlineStr">
        <is>
          <t>https://lpjk.pu.go.id/search-badan-usaha-detail/a1BqdEJSbmx0UkhlK1UyMFNNUE5Tdz09</t>
        </is>
      </c>
      <c r="F126" t="n">
        <v>3</v>
      </c>
      <c r="G126" t="inlineStr">
        <is>
          <t>RK001, RK002, RK003</t>
        </is>
      </c>
      <c r="H126" t="inlineStr">
        <is>
          <t>5 November 2021</t>
        </is>
      </c>
      <c r="I126" s="2" t="n">
        <v>46383</v>
      </c>
      <c r="J126" t="inlineStr">
        <is>
          <t>Disetujui</t>
        </is>
      </c>
      <c r="K126" t="n">
        <v>87</v>
      </c>
      <c r="L126" t="inlineStr">
        <is>
          <t>27 Desember 2026</t>
        </is>
      </c>
      <c r="M126" t="inlineStr">
        <is>
          <t>Jasa Rekayasa Konstruksi Bangunan Gedung Hunian dan Non Hunian, Jasa Rekayasa Pekerjaan Teknik Sipil Sumber Daya Air, Jasa Rekayasa Pekerjaan Teknik Sipil Transportasi</t>
        </is>
      </c>
      <c r="N126" t="inlineStr">
        <is>
          <t>K</t>
        </is>
      </c>
      <c r="O126" t="inlineStr">
        <is>
          <t>20231216</t>
        </is>
      </c>
      <c r="P126" t="inlineStr">
        <is>
          <t>Jawa Barat</t>
        </is>
      </c>
      <c r="Q126" t="inlineStr"/>
    </row>
    <row r="127">
      <c r="A127" t="inlineStr">
        <is>
          <t>YURINDO KARYA</t>
        </is>
      </c>
      <c r="B127" t="inlineStr">
        <is>
          <t>Kab. Lombok Timur</t>
        </is>
      </c>
      <c r="C127" t="inlineStr">
        <is>
          <t>081997972122</t>
        </is>
      </c>
      <c r="D127" t="inlineStr">
        <is>
          <t>yurindokarya@gmail.com</t>
        </is>
      </c>
      <c r="E127" t="inlineStr">
        <is>
          <t>https://lpjk.pu.go.id/search-badan-usaha-detail/WnpYVG9wSGR6ckNsckZtMWFQNTVSZz09</t>
        </is>
      </c>
      <c r="F127" t="n">
        <v>6</v>
      </c>
      <c r="G127" t="inlineStr">
        <is>
          <t>BS001, BS004, BS005</t>
        </is>
      </c>
      <c r="H127" t="inlineStr">
        <is>
          <t>21 Desember 2012</t>
        </is>
      </c>
      <c r="I127" s="2" t="n">
        <v>46383</v>
      </c>
      <c r="J127" t="inlineStr">
        <is>
          <t>Disetujui</t>
        </is>
      </c>
      <c r="K127" t="n">
        <v>87</v>
      </c>
      <c r="L127" t="inlineStr">
        <is>
          <t>27 Desember 2026</t>
        </is>
      </c>
      <c r="M127" t="inlineStr">
        <is>
          <t>Konstruksi Bangunan Sipil Jalan, Konstruksi Bangunan Sipil Pengolahan Air Bersih, Konstruksi Jaringan Irigasi dan Drainase</t>
        </is>
      </c>
      <c r="N127" t="inlineStr">
        <is>
          <t>K</t>
        </is>
      </c>
      <c r="O127" t="inlineStr">
        <is>
          <t>20231223</t>
        </is>
      </c>
      <c r="P127" t="inlineStr">
        <is>
          <t>Nusa Tenggara Barat</t>
        </is>
      </c>
      <c r="Q127" t="inlineStr"/>
    </row>
    <row r="128">
      <c r="A128" t="inlineStr">
        <is>
          <t>ZHAFRAN ASADEL JAYA</t>
        </is>
      </c>
      <c r="B128" t="inlineStr">
        <is>
          <t>Kota Samarinda</t>
        </is>
      </c>
      <c r="C128" t="inlineStr">
        <is>
          <t>081254877869</t>
        </is>
      </c>
      <c r="D128" t="inlineStr">
        <is>
          <t>cv.zhafranasadeljaya@gmail.com</t>
        </is>
      </c>
      <c r="E128" t="inlineStr">
        <is>
          <t>https://lpjk.pu.go.id/search-badan-usaha-detail/MXJXd3R2RGFXbU05SHRacWhoTEEvdz09</t>
        </is>
      </c>
      <c r="F128" t="n">
        <v>4</v>
      </c>
      <c r="G128" t="inlineStr">
        <is>
          <t>BG006, BG009, BS001, BS004</t>
        </is>
      </c>
      <c r="H128" t="inlineStr">
        <is>
          <t>27 November 2023</t>
        </is>
      </c>
      <c r="I128" s="2" t="n">
        <v>46383</v>
      </c>
      <c r="J128" t="inlineStr">
        <is>
          <t>Disetujui</t>
        </is>
      </c>
      <c r="K128" t="n">
        <v>87</v>
      </c>
      <c r="L128" t="inlineStr">
        <is>
          <t>27 Desember 2026</t>
        </is>
      </c>
      <c r="M128" t="inlineStr">
        <is>
          <t>Konstruksi Bangunan Sipil Jalan, Konstruksi Gedung Lainnya, Konstruksi Gedung Pendidikan, Konstruksi Jaringan Irigasi dan Drainase</t>
        </is>
      </c>
      <c r="N128" t="inlineStr">
        <is>
          <t>K</t>
        </is>
      </c>
      <c r="O128" t="inlineStr">
        <is>
          <t>20231214, 20231220</t>
        </is>
      </c>
      <c r="P128" t="inlineStr">
        <is>
          <t>Kalimantan Timur</t>
        </is>
      </c>
      <c r="Q1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9"/>
  <sheetViews>
    <sheetView workbookViewId="0">
      <selection activeCell="A1" sqref="A1"/>
    </sheetView>
  </sheetViews>
  <sheetFormatPr baseColWidth="8" defaultRowHeight="15"/>
  <cols>
    <col width="33" customWidth="1" min="1" max="1"/>
    <col width="27" customWidth="1" min="2" max="2"/>
    <col width="15" customWidth="1" min="3" max="3"/>
    <col width="41"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ASHRAF AIDHAM PUTRA PERKASA</t>
        </is>
      </c>
      <c r="B2" t="inlineStr">
        <is>
          <t>Kota Bekasi</t>
        </is>
      </c>
      <c r="C2" t="inlineStr">
        <is>
          <t>0811130859</t>
        </is>
      </c>
      <c r="D2" t="inlineStr">
        <is>
          <t>cv.ashrafaidhamputraperkasa@gmail.com</t>
        </is>
      </c>
      <c r="E2" t="inlineStr">
        <is>
          <t>https://lpjk.pu.go.id/search-badan-usaha-detail/dVlkSUhKSTUzSjgxQ1NncE1HTnMrUT09</t>
        </is>
      </c>
      <c r="F2" t="n">
        <v>1</v>
      </c>
      <c r="G2" t="inlineStr">
        <is>
          <t>BS006</t>
        </is>
      </c>
      <c r="H2" t="inlineStr">
        <is>
          <t>4 Juli 2022</t>
        </is>
      </c>
      <c r="I2" s="2" t="n">
        <v>46356</v>
      </c>
      <c r="J2" t="inlineStr">
        <is>
          <t>Disetujui</t>
        </is>
      </c>
      <c r="K2" t="n">
        <v>60</v>
      </c>
      <c r="L2" t="inlineStr">
        <is>
          <t>30 November 2026</t>
        </is>
      </c>
      <c r="M2" t="inlineStr">
        <is>
          <t>Konstruksi Bangunan Sipil Prasarana dan Sarana Sistem Pengolahan Limbah Padat, Cair, dan Gas</t>
        </is>
      </c>
      <c r="N2" t="inlineStr">
        <is>
          <t>K</t>
        </is>
      </c>
      <c r="O2" t="inlineStr">
        <is>
          <t>20231201</t>
        </is>
      </c>
      <c r="P2" t="inlineStr">
        <is>
          <t>Jawa Barat</t>
        </is>
      </c>
      <c r="Q2" s="3">
        <f>HYPERLINK("https://wa.me/62811130859?text=*[PENGINGAT MASA BERLAKU SBU ASHRAF AIDHAM PUTRA PERKASA]*%0A%0AYth. Pimpinan ASHRAF AIDHAM PUTRA PERKASA,%0AMohon izin menginformasikan status SBU Anda di sistem LPJK:%0A%0A📄 SBU: BS006%0A📅 Expired: 30 November 2026 (60 Hari Lagi)%0A%0AKami tim PT. ESDEA Assistance Management siap men-support proses perpanjangan segera agar administrasi proyek tidak terhambat%0A%0AApakah boleh saya bantu siapkan estimasi biaya dan waktu pengerjaannya?.", "Hubungi")</f>
        <v/>
      </c>
    </row>
    <row r="3">
      <c r="A3" t="inlineStr">
        <is>
          <t>CIPTA DAYA SELARAS</t>
        </is>
      </c>
      <c r="B3" t="inlineStr">
        <is>
          <t>Kota Adm. Jakarta Timur</t>
        </is>
      </c>
      <c r="C3" t="inlineStr">
        <is>
          <t>081286126085</t>
        </is>
      </c>
      <c r="D3" t="inlineStr">
        <is>
          <t>info@ptcadas.com</t>
        </is>
      </c>
      <c r="E3" t="inlineStr">
        <is>
          <t>https://lpjk.pu.go.id/search-badan-usaha-detail/YkFUeEIvaE4wWVhPWE1EVXkyZktRUT09</t>
        </is>
      </c>
      <c r="F3" t="n">
        <v>2</v>
      </c>
      <c r="G3" t="inlineStr">
        <is>
          <t>BS009</t>
        </is>
      </c>
      <c r="H3" t="inlineStr">
        <is>
          <t>7 Juli 2008</t>
        </is>
      </c>
      <c r="I3" s="2" t="n">
        <v>46356</v>
      </c>
      <c r="J3" t="inlineStr">
        <is>
          <t>Disetujui</t>
        </is>
      </c>
      <c r="K3" t="n">
        <v>60</v>
      </c>
      <c r="L3" t="inlineStr">
        <is>
          <t>30 November 2026</t>
        </is>
      </c>
      <c r="M3" t="inlineStr">
        <is>
          <t>Konstruksi Sentral Telekomunikasi</t>
        </is>
      </c>
      <c r="N3" t="inlineStr">
        <is>
          <t>K</t>
        </is>
      </c>
      <c r="O3" t="inlineStr">
        <is>
          <t>20231115</t>
        </is>
      </c>
      <c r="P3" t="inlineStr">
        <is>
          <t>DKI Jakarta</t>
        </is>
      </c>
      <c r="Q3" s="3">
        <f>HYPERLINK("https://wa.me/6281286126085?text=*[PENGINGAT MASA BERLAKU SBU CIPTA DAYA SELARAS]*%0A%0AYth. Pimpinan CIPTA DAYA SELARAS,%0AMohon izin menginformasikan status SBU Anda di sistem LPJK:%0A%0A📄 SBU: BS009%0A📅 Expired: 30 November 2026 (60 Hari Lagi)%0A%0AKami tim PT. ESDEA Assistance Management siap men-support proses perpanjangan segera agar administrasi proyek tidak terhambat%0A%0AApakah boleh saya bantu siapkan estimasi biaya dan waktu pengerjaannya?.", "Hubungi")</f>
        <v/>
      </c>
    </row>
    <row r="4">
      <c r="A4" t="inlineStr">
        <is>
          <t>JAYA ANUGERAH CAHAYA</t>
        </is>
      </c>
      <c r="B4" t="inlineStr">
        <is>
          <t>Kota Bekasi</t>
        </is>
      </c>
      <c r="C4" t="inlineStr">
        <is>
          <t>02129084705</t>
        </is>
      </c>
      <c r="D4" t="inlineStr">
        <is>
          <t>jayaancahaya@gmail.com</t>
        </is>
      </c>
      <c r="E4" t="inlineStr">
        <is>
          <t>https://lpjk.pu.go.id/search-badan-usaha-detail/dEZDbTVrcDUvR0IwVGtjUzFjQ1F2dz09</t>
        </is>
      </c>
      <c r="F4" t="n">
        <v>1</v>
      </c>
      <c r="G4" t="inlineStr">
        <is>
          <t>BS002</t>
        </is>
      </c>
      <c r="H4" t="inlineStr">
        <is>
          <t>11 Mei 2016</t>
        </is>
      </c>
      <c r="I4" s="2" t="n">
        <v>46356</v>
      </c>
      <c r="J4" t="inlineStr">
        <is>
          <t>Disetujui</t>
        </is>
      </c>
      <c r="K4" t="n">
        <v>60</v>
      </c>
      <c r="L4" t="inlineStr">
        <is>
          <t>30 November 2026</t>
        </is>
      </c>
      <c r="M4" t="inlineStr">
        <is>
          <t>Bangunan Sipil Jembatan, Jalan Layang, Fly Over, dan Underpass</t>
        </is>
      </c>
      <c r="N4" t="inlineStr">
        <is>
          <t>K</t>
        </is>
      </c>
      <c r="O4" t="inlineStr">
        <is>
          <t>20231125</t>
        </is>
      </c>
      <c r="P4" t="inlineStr">
        <is>
          <t>Jawa Barat</t>
        </is>
      </c>
      <c r="Q4" t="inlineStr"/>
    </row>
    <row r="5">
      <c r="A5" t="inlineStr">
        <is>
          <t>KARYA BERKAT AGUNG</t>
        </is>
      </c>
      <c r="B5" t="inlineStr">
        <is>
          <t>Kota Adm. Jakarta Timur</t>
        </is>
      </c>
      <c r="C5" t="inlineStr">
        <is>
          <t>081317523408</t>
        </is>
      </c>
      <c r="D5" t="inlineStr">
        <is>
          <t>karyaberkatagung99@gmail.com</t>
        </is>
      </c>
      <c r="E5" t="inlineStr">
        <is>
          <t>https://lpjk.pu.go.id/search-badan-usaha-detail/OEl5Y0xHN2dUbk1YNE1LR291N1dDZz09</t>
        </is>
      </c>
      <c r="F5" t="n">
        <v>2</v>
      </c>
      <c r="G5" t="inlineStr">
        <is>
          <t>BS001, BS004</t>
        </is>
      </c>
      <c r="H5" t="inlineStr">
        <is>
          <t>12 Juli 1999</t>
        </is>
      </c>
      <c r="I5" s="2" t="n">
        <v>46356</v>
      </c>
      <c r="J5" t="inlineStr">
        <is>
          <t>Disetujui</t>
        </is>
      </c>
      <c r="K5" t="n">
        <v>60</v>
      </c>
      <c r="L5" t="inlineStr">
        <is>
          <t>30 November 2026</t>
        </is>
      </c>
      <c r="M5" t="inlineStr">
        <is>
          <t>Konstruksi Bangunan Sipil Jalan, Konstruksi Jaringan Irigasi dan Drainase</t>
        </is>
      </c>
      <c r="N5" t="inlineStr">
        <is>
          <t>K</t>
        </is>
      </c>
      <c r="O5" t="inlineStr">
        <is>
          <t>20231031, 20231128</t>
        </is>
      </c>
      <c r="P5" t="inlineStr">
        <is>
          <t>DKI Jakarta</t>
        </is>
      </c>
      <c r="Q5" s="3">
        <f>HYPERLINK("https://wa.me/6281317523408?text=*[PENGINGAT MASA BERLAKU SBU KARYA BERKAT AGUNG]*%0A%0AYth. Pimpinan KARYA BERKAT AGUNG,%0AMohon izin menginformasikan status SBU Anda di sistem LPJK:%0A%0A📄 SBU: BS001, BS004%0A📅 Expired: 30 November 2026 (60 Hari Lagi)%0A%0AKami tim PT. ESDEA Assistance Management siap men-support proses perpanjangan segera agar administrasi proyek tidak terhambat%0A%0AApakah boleh saya bantu siapkan estimasi biaya dan waktu pengerjaannya?.", "Hubungi")</f>
        <v/>
      </c>
    </row>
    <row r="6">
      <c r="A6" t="inlineStr">
        <is>
          <t>MINA TRANSINDO TOTABUAN</t>
        </is>
      </c>
      <c r="B6" t="inlineStr">
        <is>
          <t>Kota Adm. Jakarta Timur</t>
        </is>
      </c>
      <c r="C6" t="inlineStr">
        <is>
          <t>02129067257</t>
        </is>
      </c>
      <c r="D6" t="inlineStr">
        <is>
          <t>menara.pp@gmail.com</t>
        </is>
      </c>
      <c r="E6" t="inlineStr">
        <is>
          <t>https://lpjk.pu.go.id/search-badan-usaha-detail/WUhEeUNGOVZKOVFjelFabVB2OXh1QT09</t>
        </is>
      </c>
      <c r="F6" t="n">
        <v>1</v>
      </c>
      <c r="G6" t="inlineStr">
        <is>
          <t>BG002</t>
        </is>
      </c>
      <c r="H6" t="inlineStr">
        <is>
          <t>20 April 1998</t>
        </is>
      </c>
      <c r="I6" s="2" t="n">
        <v>46356</v>
      </c>
      <c r="J6" t="inlineStr">
        <is>
          <t>Disetujui</t>
        </is>
      </c>
      <c r="K6" t="n">
        <v>60</v>
      </c>
      <c r="L6" t="inlineStr">
        <is>
          <t>30 November 2026</t>
        </is>
      </c>
      <c r="M6" t="inlineStr">
        <is>
          <t>Konstruksi Gedung Perkantoran</t>
        </is>
      </c>
      <c r="N6" t="inlineStr">
        <is>
          <t>K</t>
        </is>
      </c>
      <c r="O6" t="inlineStr">
        <is>
          <t>20231129</t>
        </is>
      </c>
      <c r="P6" t="inlineStr">
        <is>
          <t>DKI Jakarta</t>
        </is>
      </c>
      <c r="Q6" t="inlineStr"/>
    </row>
    <row r="7">
      <c r="A7" t="inlineStr">
        <is>
          <t>MITRA MINA SAN</t>
        </is>
      </c>
      <c r="B7" t="inlineStr">
        <is>
          <t>Kab. Bekasi</t>
        </is>
      </c>
      <c r="C7" t="inlineStr">
        <is>
          <t>081315146477</t>
        </is>
      </c>
      <c r="D7" t="inlineStr">
        <is>
          <t>mitra777@mitraminasan.com</t>
        </is>
      </c>
      <c r="E7" t="inlineStr">
        <is>
          <t>https://lpjk.pu.go.id/search-badan-usaha-detail/WjlZZzBkSTZWdFhWaDRRMFdTbXdXUT09</t>
        </is>
      </c>
      <c r="F7" t="n">
        <v>1</v>
      </c>
      <c r="G7" t="inlineStr">
        <is>
          <t>KP002</t>
        </is>
      </c>
      <c r="H7" t="inlineStr">
        <is>
          <t>9 April 2015</t>
        </is>
      </c>
      <c r="I7" s="2" t="n">
        <v>46356</v>
      </c>
      <c r="J7" t="inlineStr">
        <is>
          <t>Disetujui</t>
        </is>
      </c>
      <c r="K7" t="n">
        <v>60</v>
      </c>
      <c r="L7" t="inlineStr">
        <is>
          <t>30 November 2026</t>
        </is>
      </c>
      <c r="M7" t="inlineStr">
        <is>
          <t>Pekerjaan Konstruksi Prapabrikasi Bangunan Sipil</t>
        </is>
      </c>
      <c r="N7" t="inlineStr">
        <is>
          <t>Spesialis</t>
        </is>
      </c>
      <c r="O7" t="inlineStr">
        <is>
          <t>20231129</t>
        </is>
      </c>
      <c r="P7" t="inlineStr">
        <is>
          <t>Jawa Barat</t>
        </is>
      </c>
      <c r="Q7" s="3">
        <f>HYPERLINK("https://wa.me/6281315146477?text=*[PENGINGAT MASA BERLAKU SBU MITRA MINA SAN]*%0A%0AYth. Pimpinan MITRA MINA SAN,%0AMohon izin menginformasikan status SBU Anda di sistem LPJK:%0A%0A📄 SBU: KP002%0A📅 Expired: 30 November 2026 (60 Hari Lagi)%0A%0AKami tim PT. ESDEA Assistance Management siap men-support proses perpanjangan segera agar administrasi proyek tidak terhambat%0A%0AApakah boleh saya bantu siapkan estimasi biaya dan waktu pengerjaannya?.", "Hubungi")</f>
        <v/>
      </c>
    </row>
    <row r="8">
      <c r="A8" t="inlineStr">
        <is>
          <t>MODULE INTRACS YASATAMA</t>
        </is>
      </c>
      <c r="B8" t="inlineStr">
        <is>
          <t>Kab. Bekasi</t>
        </is>
      </c>
      <c r="C8" t="inlineStr">
        <is>
          <t>02189909398</t>
        </is>
      </c>
      <c r="D8" t="inlineStr">
        <is>
          <t>support@intracs.co.id</t>
        </is>
      </c>
      <c r="E8" t="inlineStr">
        <is>
          <t>https://lpjk.pu.go.id/search-badan-usaha-detail/a1psRjhlVEt4SC9ELzZxcmMzUUQ1UT09</t>
        </is>
      </c>
      <c r="F8" t="n">
        <v>1</v>
      </c>
      <c r="G8" t="inlineStr">
        <is>
          <t>IN011</t>
        </is>
      </c>
      <c r="H8" t="inlineStr">
        <is>
          <t>17 Maret 1995</t>
        </is>
      </c>
      <c r="I8" s="2" t="n">
        <v>46356</v>
      </c>
      <c r="J8" t="inlineStr">
        <is>
          <t>Disetujui</t>
        </is>
      </c>
      <c r="K8" t="n">
        <v>60</v>
      </c>
      <c r="L8" t="inlineStr">
        <is>
          <t>30 November 2026</t>
        </is>
      </c>
      <c r="M8" t="inlineStr">
        <is>
          <t>Instalasi Sinyal dan Rambu-rambu Jalan Raya</t>
        </is>
      </c>
      <c r="N8" t="inlineStr">
        <is>
          <t>Spesialis</t>
        </is>
      </c>
      <c r="O8" t="inlineStr">
        <is>
          <t>20231127</t>
        </is>
      </c>
      <c r="P8" t="inlineStr">
        <is>
          <t>Jawa Barat</t>
        </is>
      </c>
      <c r="Q8" t="inlineStr"/>
    </row>
    <row r="9">
      <c r="A9" t="inlineStr">
        <is>
          <t>PESONA GAZA</t>
        </is>
      </c>
      <c r="B9" t="inlineStr">
        <is>
          <t>Kota Depok</t>
        </is>
      </c>
      <c r="C9" t="inlineStr">
        <is>
          <t>087878772722</t>
        </is>
      </c>
      <c r="D9" t="inlineStr">
        <is>
          <t>fauzan.gaza@yahoo.com</t>
        </is>
      </c>
      <c r="E9" t="inlineStr">
        <is>
          <t>https://lpjk.pu.go.id/search-badan-usaha-detail/aHkwSDF5UFdGa25tRWtrVWtNS2E5UT09</t>
        </is>
      </c>
      <c r="F9" t="n">
        <v>3</v>
      </c>
      <c r="G9" t="inlineStr">
        <is>
          <t>BG001, BG006, BG009</t>
        </is>
      </c>
      <c r="H9" t="inlineStr">
        <is>
          <t>3 Februari 2010</t>
        </is>
      </c>
      <c r="I9" s="2" t="n">
        <v>46356</v>
      </c>
      <c r="J9" t="inlineStr">
        <is>
          <t>Disetujui</t>
        </is>
      </c>
      <c r="K9" t="n">
        <v>60</v>
      </c>
      <c r="L9" t="inlineStr">
        <is>
          <t>30 November 2026</t>
        </is>
      </c>
      <c r="M9" t="inlineStr">
        <is>
          <t>Konstruksi Gedung Hunian, Konstruksi Gedung Lainnya, Konstruksi Gedung Pendidikan</t>
        </is>
      </c>
      <c r="N9" t="inlineStr">
        <is>
          <t>K</t>
        </is>
      </c>
      <c r="O9" t="inlineStr">
        <is>
          <t>20231128</t>
        </is>
      </c>
      <c r="P9" t="inlineStr">
        <is>
          <t>Jawa Barat</t>
        </is>
      </c>
      <c r="Q9" s="3">
        <f>HYPERLINK("https://wa.me/6287878772722?text=*[PENGINGAT MASA BERLAKU SBU PESONA GAZA]*%0A%0AYth. Pimpinan PESONA GAZA,%0AMohon izin menginformasikan status SBU Anda di sistem LPJK:%0A%0A📄 SBU: BG001, BG006, BG009%0A📅 Expired: 30 November 2026 (60 Hari Lagi)%0A%0AKami tim PT. ESDEA Assistance Management siap men-support proses perpanjangan segera agar administrasi proyek tidak terhambat%0A%0AApakah boleh saya bantu siapkan estimasi biaya dan waktu pengerjaannya?.", "Hubungi")</f>
        <v/>
      </c>
    </row>
    <row r="10">
      <c r="A10" t="inlineStr">
        <is>
          <t>REZEKI SELARAS MANDIRI</t>
        </is>
      </c>
      <c r="B10" t="inlineStr">
        <is>
          <t>Kota Adm. Jakarta Timur</t>
        </is>
      </c>
      <c r="C10" t="inlineStr">
        <is>
          <t>021-85911279</t>
        </is>
      </c>
      <c r="D10" t="inlineStr">
        <is>
          <t>rezekiselarasmandiri@gmail.com</t>
        </is>
      </c>
      <c r="E10" t="inlineStr">
        <is>
          <t>https://lpjk.pu.go.id/search-badan-usaha-detail/bTJTR2RxMllpTEM1TVd6Nko4andWZz09</t>
        </is>
      </c>
      <c r="F10" t="n">
        <v>2</v>
      </c>
      <c r="G10" t="inlineStr">
        <is>
          <t>BG001, BG002</t>
        </is>
      </c>
      <c r="H10" t="inlineStr">
        <is>
          <t>22 November 2016</t>
        </is>
      </c>
      <c r="I10" s="2" t="n">
        <v>46356</v>
      </c>
      <c r="J10" t="inlineStr">
        <is>
          <t>Disetujui</t>
        </is>
      </c>
      <c r="K10" t="n">
        <v>60</v>
      </c>
      <c r="L10" t="inlineStr">
        <is>
          <t>30 November 2026</t>
        </is>
      </c>
      <c r="M10" t="inlineStr">
        <is>
          <t>Konstruksi Gedung Hunian, Konstruksi Gedung Perkantoran</t>
        </is>
      </c>
      <c r="N10" t="inlineStr">
        <is>
          <t>M</t>
        </is>
      </c>
      <c r="O10" t="inlineStr">
        <is>
          <t>20231128</t>
        </is>
      </c>
      <c r="P10" t="inlineStr">
        <is>
          <t>DKI Jakarta</t>
        </is>
      </c>
      <c r="Q10" t="inlineStr"/>
    </row>
    <row r="11">
      <c r="A11" t="inlineStr">
        <is>
          <t>TAMADO KONSTRUKSINDO SELARAS</t>
        </is>
      </c>
      <c r="B11" t="inlineStr">
        <is>
          <t>Kota Adm. Jakarta Timur</t>
        </is>
      </c>
      <c r="C11" t="inlineStr">
        <is>
          <t>22819637</t>
        </is>
      </c>
      <c r="D11" t="inlineStr">
        <is>
          <t>tamado_ks2013@yahoo.co.id</t>
        </is>
      </c>
      <c r="E11" t="inlineStr">
        <is>
          <t>https://lpjk.pu.go.id/search-badan-usaha-detail/Mm14WDBoekp3TzZtL1FvaHVvMWpQQT09</t>
        </is>
      </c>
      <c r="F11" t="n">
        <v>1</v>
      </c>
      <c r="G11" t="inlineStr">
        <is>
          <t>BS001</t>
        </is>
      </c>
      <c r="H11" t="inlineStr">
        <is>
          <t>20 Juni 2001</t>
        </is>
      </c>
      <c r="I11" s="2" t="n">
        <v>46356</v>
      </c>
      <c r="J11" t="inlineStr">
        <is>
          <t>Disetujui</t>
        </is>
      </c>
      <c r="K11" t="n">
        <v>60</v>
      </c>
      <c r="L11" t="inlineStr">
        <is>
          <t>30 November 2026</t>
        </is>
      </c>
      <c r="M11" t="inlineStr">
        <is>
          <t>Konstruksi Bangunan Sipil Jalan</t>
        </is>
      </c>
      <c r="N11" t="inlineStr">
        <is>
          <t>M</t>
        </is>
      </c>
      <c r="O11" t="inlineStr">
        <is>
          <t>20231124</t>
        </is>
      </c>
      <c r="P11" t="inlineStr">
        <is>
          <t>DKI Jakarta</t>
        </is>
      </c>
      <c r="Q11" t="inlineStr"/>
    </row>
    <row r="12">
      <c r="A12" t="inlineStr">
        <is>
          <t>ABIN PUTRA RAYA</t>
        </is>
      </c>
      <c r="B12" t="inlineStr">
        <is>
          <t>Kab. Cirebon</t>
        </is>
      </c>
      <c r="C12" t="inlineStr">
        <is>
          <t>0231248396</t>
        </is>
      </c>
      <c r="D12" t="inlineStr">
        <is>
          <t>pt.abinputraraya@gmail.com</t>
        </is>
      </c>
      <c r="E12" t="inlineStr">
        <is>
          <t>https://lpjk.pu.go.id/search-badan-usaha-detail/eS9obmpJdm5tMkFkUkJrSmNRSFpWUT09</t>
        </is>
      </c>
      <c r="F12" t="n">
        <v>1</v>
      </c>
      <c r="G12" t="inlineStr">
        <is>
          <t>BG009</t>
        </is>
      </c>
      <c r="H12" t="inlineStr">
        <is>
          <t>14 Februari 2011</t>
        </is>
      </c>
      <c r="I12" s="2" t="n">
        <v>46356</v>
      </c>
      <c r="J12" t="inlineStr">
        <is>
          <t>Disetujui</t>
        </is>
      </c>
      <c r="K12" t="n">
        <v>60</v>
      </c>
      <c r="L12" t="inlineStr">
        <is>
          <t>30 November 2026</t>
        </is>
      </c>
      <c r="M12" t="inlineStr">
        <is>
          <t>Konstruksi Gedung Lainnya</t>
        </is>
      </c>
      <c r="N12" t="inlineStr">
        <is>
          <t>K</t>
        </is>
      </c>
      <c r="O12" t="inlineStr">
        <is>
          <t>20231128</t>
        </is>
      </c>
      <c r="P12" t="inlineStr">
        <is>
          <t>Jawa Barat</t>
        </is>
      </c>
      <c r="Q12" t="inlineStr"/>
    </row>
    <row r="13">
      <c r="A13" t="inlineStr">
        <is>
          <t>ADI CIPTA</t>
        </is>
      </c>
      <c r="B13" t="inlineStr">
        <is>
          <t>Kota Mataram</t>
        </is>
      </c>
      <c r="C13" t="inlineStr">
        <is>
          <t>08123782303</t>
        </is>
      </c>
      <c r="D13" t="inlineStr">
        <is>
          <t>cv_adi_cipta@yahoo.co.id</t>
        </is>
      </c>
      <c r="E13" t="inlineStr">
        <is>
          <t>https://lpjk.pu.go.id/search-badan-usaha-detail/dExxVVBQYnU5UlphM1VXVzdiQlF1dz09</t>
        </is>
      </c>
      <c r="F13" t="n">
        <v>1</v>
      </c>
      <c r="G13" t="inlineStr">
        <is>
          <t>AL004</t>
        </is>
      </c>
      <c r="H13" t="inlineStr">
        <is>
          <t>27 September 1993</t>
        </is>
      </c>
      <c r="I13" s="2" t="n">
        <v>46356</v>
      </c>
      <c r="J13" t="inlineStr">
        <is>
          <t>Disetujui</t>
        </is>
      </c>
      <c r="K13" t="n">
        <v>60</v>
      </c>
      <c r="L13" t="inlineStr">
        <is>
          <t>30 November 2026</t>
        </is>
      </c>
      <c r="M13" t="inlineStr">
        <is>
          <t>Jasa Pengembangan Lingkungan Bangunan dan Lanskap</t>
        </is>
      </c>
      <c r="N13" t="inlineStr">
        <is>
          <t>K</t>
        </is>
      </c>
      <c r="O13" t="inlineStr">
        <is>
          <t>20231116</t>
        </is>
      </c>
      <c r="P13" t="inlineStr">
        <is>
          <t>Nusa Tenggara Barat</t>
        </is>
      </c>
      <c r="Q13" t="inlineStr"/>
    </row>
    <row r="14">
      <c r="A14" t="inlineStr">
        <is>
          <t>ADI JAYA LINTASMARGA</t>
        </is>
      </c>
      <c r="B14" t="inlineStr">
        <is>
          <t>Kab. Jember</t>
        </is>
      </c>
      <c r="C14" t="inlineStr">
        <is>
          <t>03314355031</t>
        </is>
      </c>
      <c r="D14" t="inlineStr">
        <is>
          <t>adijayalintasmarga@yahoo.com</t>
        </is>
      </c>
      <c r="E14" t="inlineStr">
        <is>
          <t>https://lpjk.pu.go.id/search-badan-usaha-detail/c08wUTJvYXZDVjFkc2NaZGpUOUY0QT09</t>
        </is>
      </c>
      <c r="F14" t="n">
        <v>1</v>
      </c>
      <c r="G14" t="inlineStr">
        <is>
          <t>BS001</t>
        </is>
      </c>
      <c r="H14" t="inlineStr">
        <is>
          <t>12 Maret 2011</t>
        </is>
      </c>
      <c r="I14" s="2" t="n">
        <v>46356</v>
      </c>
      <c r="J14" t="inlineStr">
        <is>
          <t>Disetujui</t>
        </is>
      </c>
      <c r="K14" t="n">
        <v>60</v>
      </c>
      <c r="L14" t="inlineStr">
        <is>
          <t>30 November 2026</t>
        </is>
      </c>
      <c r="M14" t="inlineStr">
        <is>
          <t>Konstruksi Bangunan Sipil Jalan</t>
        </is>
      </c>
      <c r="N14" t="inlineStr">
        <is>
          <t>K</t>
        </is>
      </c>
      <c r="O14" t="inlineStr">
        <is>
          <t>20231128</t>
        </is>
      </c>
      <c r="P14" t="inlineStr">
        <is>
          <t>Jawa Timur</t>
        </is>
      </c>
      <c r="Q14" t="inlineStr"/>
    </row>
    <row r="15">
      <c r="A15" t="inlineStr">
        <is>
          <t>AMMAR JAYA MANDIRI</t>
        </is>
      </c>
      <c r="B15" t="inlineStr">
        <is>
          <t>Kab. Cirebon</t>
        </is>
      </c>
      <c r="C15" t="inlineStr">
        <is>
          <t>081212222114</t>
        </is>
      </c>
      <c r="D15" t="inlineStr">
        <is>
          <t>cv.ajm151@gmail.com</t>
        </is>
      </c>
      <c r="E15" t="inlineStr">
        <is>
          <t>https://lpjk.pu.go.id/search-badan-usaha-detail/b05lYkJWaHY5d3BJb1VJNHV2MFFHUT09</t>
        </is>
      </c>
      <c r="F15" t="n">
        <v>2</v>
      </c>
      <c r="G15" t="inlineStr">
        <is>
          <t>BS002, BS004</t>
        </is>
      </c>
      <c r="H15" t="inlineStr">
        <is>
          <t>15 Januari 2020</t>
        </is>
      </c>
      <c r="I15" s="2" t="n">
        <v>46356</v>
      </c>
      <c r="J15" t="inlineStr">
        <is>
          <t>Disetujui, Pencabutan</t>
        </is>
      </c>
      <c r="K15" t="n">
        <v>60</v>
      </c>
      <c r="L15" t="inlineStr">
        <is>
          <t>30 November 2026</t>
        </is>
      </c>
      <c r="M15" t="inlineStr">
        <is>
          <t>Bangunan Sipil Jembatan, Jalan Layang, Fly Over, dan Underpass, Konstruksi Jaringan Irigasi dan Drainase</t>
        </is>
      </c>
      <c r="N15" t="inlineStr">
        <is>
          <t>K</t>
        </is>
      </c>
      <c r="O15" t="inlineStr">
        <is>
          <t>20231128, 20231201</t>
        </is>
      </c>
      <c r="P15" t="inlineStr">
        <is>
          <t>Jawa Barat</t>
        </is>
      </c>
      <c r="Q15" t="inlineStr"/>
    </row>
    <row r="16">
      <c r="A16" t="inlineStr">
        <is>
          <t>ANZA BUMI PERSADA</t>
        </is>
      </c>
      <c r="B16" t="inlineStr">
        <is>
          <t>Kota Bau Bau</t>
        </is>
      </c>
      <c r="C16" t="inlineStr">
        <is>
          <t>085270420840</t>
        </is>
      </c>
      <c r="D16" t="inlineStr">
        <is>
          <t>anzabumipersada@gmail.com</t>
        </is>
      </c>
      <c r="E16" t="inlineStr">
        <is>
          <t>https://lpjk.pu.go.id/search-badan-usaha-detail/aE9LSG5pemxlTjFCR3hnTFJ2UEtidz09</t>
        </is>
      </c>
      <c r="F16" t="n">
        <v>3</v>
      </c>
      <c r="G16" t="inlineStr">
        <is>
          <t>BG002, BG005, BG009</t>
        </is>
      </c>
      <c r="H16" t="inlineStr">
        <is>
          <t>19 Juli 2022</t>
        </is>
      </c>
      <c r="I16" s="2" t="n">
        <v>46356</v>
      </c>
      <c r="J16" t="inlineStr">
        <is>
          <t>Disetujui</t>
        </is>
      </c>
      <c r="K16" t="n">
        <v>60</v>
      </c>
      <c r="L16" t="inlineStr">
        <is>
          <t>30 November 2026</t>
        </is>
      </c>
      <c r="M16" t="inlineStr">
        <is>
          <t>Konstruksi Gedung Kesehatan, Konstruksi Gedung Lainnya, Konstruksi Gedung Perkantoran</t>
        </is>
      </c>
      <c r="N16" t="inlineStr">
        <is>
          <t>K</t>
        </is>
      </c>
      <c r="O16" t="inlineStr">
        <is>
          <t>20231110, 20231114</t>
        </is>
      </c>
      <c r="P16" t="inlineStr">
        <is>
          <t>Sulawesi Tenggara</t>
        </is>
      </c>
      <c r="Q16" t="inlineStr"/>
    </row>
    <row r="17">
      <c r="A17" t="inlineStr">
        <is>
          <t>ARDHANA BANGUN JAYA</t>
        </is>
      </c>
      <c r="B17" t="inlineStr">
        <is>
          <t>Kab. Blora</t>
        </is>
      </c>
      <c r="C17" t="inlineStr">
        <is>
          <t>081226164069</t>
        </is>
      </c>
      <c r="D17" t="inlineStr">
        <is>
          <t>ABJBLORA@GMAIL.COM</t>
        </is>
      </c>
      <c r="E17" t="inlineStr">
        <is>
          <t>https://lpjk.pu.go.id/search-badan-usaha-detail/SzZEYktxcFVkT0JGSzU3ZUxRazB2UT09</t>
        </is>
      </c>
      <c r="F17" t="n">
        <v>1</v>
      </c>
      <c r="G17" t="inlineStr">
        <is>
          <t>BG006</t>
        </is>
      </c>
      <c r="H17" t="inlineStr">
        <is>
          <t>15 Januari 2021</t>
        </is>
      </c>
      <c r="I17" s="2" t="n">
        <v>46356</v>
      </c>
      <c r="J17" t="inlineStr">
        <is>
          <t>Disetujui</t>
        </is>
      </c>
      <c r="K17" t="n">
        <v>60</v>
      </c>
      <c r="L17" t="inlineStr">
        <is>
          <t>30 November 2026</t>
        </is>
      </c>
      <c r="M17" t="inlineStr">
        <is>
          <t>Konstruksi Gedung Pendidikan</t>
        </is>
      </c>
      <c r="N17" t="inlineStr">
        <is>
          <t>K</t>
        </is>
      </c>
      <c r="O17" t="inlineStr">
        <is>
          <t>20231127</t>
        </is>
      </c>
      <c r="P17" t="inlineStr">
        <is>
          <t>Jawa Tengah</t>
        </is>
      </c>
      <c r="Q17" t="inlineStr"/>
    </row>
    <row r="18">
      <c r="A18" t="inlineStr">
        <is>
          <t>ASASTA GLOBAL MANDIRI</t>
        </is>
      </c>
      <c r="B18" t="inlineStr">
        <is>
          <t>Kota Adm. Jakarta Selatan</t>
        </is>
      </c>
      <c r="C18" t="inlineStr">
        <is>
          <t>0818103035</t>
        </is>
      </c>
      <c r="D18" t="inlineStr">
        <is>
          <t>myasastaglobal@gmail.com</t>
        </is>
      </c>
      <c r="E18" t="inlineStr">
        <is>
          <t>https://lpjk.pu.go.id/search-badan-usaha-detail/NURYNWpScFA3VHFNalZGbm5UcDRqUT09</t>
        </is>
      </c>
      <c r="F18" t="n">
        <v>1</v>
      </c>
      <c r="G18" t="inlineStr">
        <is>
          <t>IN004</t>
        </is>
      </c>
      <c r="H18" t="inlineStr">
        <is>
          <t>9 Oktober 2019</t>
        </is>
      </c>
      <c r="I18" s="2" t="n">
        <v>46356</v>
      </c>
      <c r="J18" t="inlineStr">
        <is>
          <t>Disetujui</t>
        </is>
      </c>
      <c r="K18" t="n">
        <v>60</v>
      </c>
      <c r="L18" t="inlineStr">
        <is>
          <t>30 November 2026</t>
        </is>
      </c>
      <c r="M18" t="inlineStr">
        <is>
          <t>Instalasi Minyak dan Gas</t>
        </is>
      </c>
      <c r="N18" t="inlineStr">
        <is>
          <t>Spesialis</t>
        </is>
      </c>
      <c r="O18" t="inlineStr">
        <is>
          <t>20231125</t>
        </is>
      </c>
      <c r="P18" t="inlineStr">
        <is>
          <t>DKI Jakarta</t>
        </is>
      </c>
      <c r="Q18" t="inlineStr"/>
    </row>
    <row r="19">
      <c r="A19" t="inlineStr">
        <is>
          <t>BANGUN BUMI ABADI</t>
        </is>
      </c>
      <c r="B19" t="inlineStr">
        <is>
          <t>Kota Tanjung Pinang</t>
        </is>
      </c>
      <c r="C19" t="inlineStr">
        <is>
          <t>081374387183</t>
        </is>
      </c>
      <c r="D19" t="inlineStr">
        <is>
          <t>bangunbumiabadi.pt@gmail.com</t>
        </is>
      </c>
      <c r="E19" t="inlineStr">
        <is>
          <t>https://lpjk.pu.go.id/search-badan-usaha-detail/K0ZXRzgwSUtlNnMvd2x2U01Tc1lWZz09</t>
        </is>
      </c>
      <c r="F19" t="n">
        <v>2</v>
      </c>
      <c r="G19" t="inlineStr">
        <is>
          <t>BG001, BG004</t>
        </is>
      </c>
      <c r="H19" t="inlineStr">
        <is>
          <t>13 Januari 2016</t>
        </is>
      </c>
      <c r="I19" s="2" t="n">
        <v>46356</v>
      </c>
      <c r="J19" t="inlineStr">
        <is>
          <t>Disetujui</t>
        </is>
      </c>
      <c r="K19" t="n">
        <v>60</v>
      </c>
      <c r="L19" t="inlineStr">
        <is>
          <t>30 November 2026</t>
        </is>
      </c>
      <c r="M19" t="inlineStr">
        <is>
          <t>Konstruksi Gedung Hunian, Konstruksi Gedung Perbelanjaan</t>
        </is>
      </c>
      <c r="N19" t="inlineStr">
        <is>
          <t>K</t>
        </is>
      </c>
      <c r="O19" t="inlineStr">
        <is>
          <t>20231130, 20231201</t>
        </is>
      </c>
      <c r="P19" t="inlineStr">
        <is>
          <t>Kepulauan Riau</t>
        </is>
      </c>
      <c r="Q19" t="inlineStr"/>
    </row>
    <row r="20">
      <c r="A20" t="inlineStr">
        <is>
          <t>BANGUN MAJU BERKARYA</t>
        </is>
      </c>
      <c r="B20" t="inlineStr">
        <is>
          <t>Kota Tangerang Selatan</t>
        </is>
      </c>
      <c r="C20" t="inlineStr">
        <is>
          <t>088223789783</t>
        </is>
      </c>
      <c r="D20" t="inlineStr">
        <is>
          <t>info@bmb.co.id</t>
        </is>
      </c>
      <c r="E20" t="inlineStr">
        <is>
          <t>https://lpjk.pu.go.id/search-badan-usaha-detail/R1pxNEFDSWxQZzJoUXg3NEpHR3ltUT09</t>
        </is>
      </c>
      <c r="F20" t="n">
        <v>1</v>
      </c>
      <c r="G20" t="inlineStr">
        <is>
          <t>PB003</t>
        </is>
      </c>
      <c r="H20" t="inlineStr">
        <is>
          <t>15 April 2019</t>
        </is>
      </c>
      <c r="I20" s="2" t="n">
        <v>46356</v>
      </c>
      <c r="J20" t="inlineStr">
        <is>
          <t>Disetujui</t>
        </is>
      </c>
      <c r="K20" t="n">
        <v>60</v>
      </c>
      <c r="L20" t="inlineStr">
        <is>
          <t>30 November 2026</t>
        </is>
      </c>
      <c r="M20" t="inlineStr">
        <is>
          <t>Pengerjaan Lantai, Dinding, Peralatan Saniter dan Plafon</t>
        </is>
      </c>
      <c r="N20" t="inlineStr">
        <is>
          <t>Spesialis</t>
        </is>
      </c>
      <c r="O20" t="inlineStr">
        <is>
          <t>20231129</t>
        </is>
      </c>
      <c r="P20" t="inlineStr">
        <is>
          <t>Banten</t>
        </is>
      </c>
      <c r="Q20" t="inlineStr"/>
    </row>
    <row r="21">
      <c r="A21" t="inlineStr">
        <is>
          <t>BANGUN SAMUDERA PRATAMA</t>
        </is>
      </c>
      <c r="B21" t="inlineStr">
        <is>
          <t>Kab. Cianjur</t>
        </is>
      </c>
      <c r="C21" t="inlineStr">
        <is>
          <t>081394666699</t>
        </is>
      </c>
      <c r="D21" t="inlineStr">
        <is>
          <t>bangunsamuderapratama@gmail.com</t>
        </is>
      </c>
      <c r="E21" t="inlineStr">
        <is>
          <t>https://lpjk.pu.go.id/search-badan-usaha-detail/eDYvY01IaC92QlBwWElyS1liNC9Gdz09</t>
        </is>
      </c>
      <c r="F21" t="n">
        <v>6</v>
      </c>
      <c r="G21" t="inlineStr">
        <is>
          <t>BG006, BG009, BS004</t>
        </is>
      </c>
      <c r="H21" t="inlineStr">
        <is>
          <t>8 Maret 2013</t>
        </is>
      </c>
      <c r="I21" s="2" t="n">
        <v>46356</v>
      </c>
      <c r="J21" t="inlineStr">
        <is>
          <t>Disetujui</t>
        </is>
      </c>
      <c r="K21" t="n">
        <v>60</v>
      </c>
      <c r="L21" t="inlineStr">
        <is>
          <t>30 November 2026</t>
        </is>
      </c>
      <c r="M21" t="inlineStr">
        <is>
          <t>Konstruksi Gedung Lainnya, Konstruksi Gedung Pendidikan, Konstruksi Jaringan Irigasi dan Drainase</t>
        </is>
      </c>
      <c r="N21" t="inlineStr">
        <is>
          <t>K</t>
        </is>
      </c>
      <c r="O21" t="inlineStr">
        <is>
          <t>20231130, 20231201</t>
        </is>
      </c>
      <c r="P21" t="inlineStr">
        <is>
          <t>Jawa Barat</t>
        </is>
      </c>
      <c r="Q21" t="inlineStr"/>
    </row>
    <row r="22">
      <c r="A22" t="inlineStr">
        <is>
          <t>BINA KARYA LOGAM MANDIRI</t>
        </is>
      </c>
      <c r="B22" t="inlineStr">
        <is>
          <t>Kab. Deli Serdang</t>
        </is>
      </c>
      <c r="C22" t="inlineStr">
        <is>
          <t>0617941300</t>
        </is>
      </c>
      <c r="D22" t="inlineStr">
        <is>
          <t>blogammandiri@gmail.com</t>
        </is>
      </c>
      <c r="E22" t="inlineStr">
        <is>
          <t>https://lpjk.pu.go.id/search-badan-usaha-detail/WndLeTYxaVBEVTFKT3Y2WVk3N1E4QT09</t>
        </is>
      </c>
      <c r="F22" t="n">
        <v>1</v>
      </c>
      <c r="G22" t="inlineStr">
        <is>
          <t>IN001</t>
        </is>
      </c>
      <c r="H22" t="inlineStr">
        <is>
          <t>20 Juni 2005</t>
        </is>
      </c>
      <c r="I22" s="2" t="n">
        <v>46356</v>
      </c>
      <c r="J22" t="inlineStr">
        <is>
          <t>Disetujui</t>
        </is>
      </c>
      <c r="K22" t="n">
        <v>60</v>
      </c>
      <c r="L22" t="inlineStr">
        <is>
          <t>30 November 2026</t>
        </is>
      </c>
      <c r="M22" t="inlineStr">
        <is>
          <t>Instalasi Mekanikal</t>
        </is>
      </c>
      <c r="N22" t="inlineStr">
        <is>
          <t>Spesialis</t>
        </is>
      </c>
      <c r="O22" t="inlineStr">
        <is>
          <t>20231114</t>
        </is>
      </c>
      <c r="P22" t="inlineStr">
        <is>
          <t>Sumatera Utara</t>
        </is>
      </c>
      <c r="Q22" t="inlineStr"/>
    </row>
    <row r="23">
      <c r="A23" t="inlineStr">
        <is>
          <t>BINTANG PRIMA INTERPRISE</t>
        </is>
      </c>
      <c r="B23" t="inlineStr">
        <is>
          <t>Kab. Boven Digoel</t>
        </is>
      </c>
      <c r="C23" t="inlineStr">
        <is>
          <t>085244177171</t>
        </is>
      </c>
      <c r="D23" t="inlineStr">
        <is>
          <t>cv.bintangprimainterprise@gmail.com</t>
        </is>
      </c>
      <c r="E23" t="inlineStr">
        <is>
          <t>https://lpjk.pu.go.id/search-badan-usaha-detail/QXhhM0ZOcERicVBNNThlK1Z3ODBadz09</t>
        </is>
      </c>
      <c r="F23" t="n">
        <v>2</v>
      </c>
      <c r="G23" t="inlineStr">
        <is>
          <t>BG001</t>
        </is>
      </c>
      <c r="H23" t="inlineStr">
        <is>
          <t>1 Februari 2011</t>
        </is>
      </c>
      <c r="I23" s="2" t="n">
        <v>46356</v>
      </c>
      <c r="J23" t="inlineStr">
        <is>
          <t>Disetujui</t>
        </is>
      </c>
      <c r="K23" t="n">
        <v>60</v>
      </c>
      <c r="L23" t="inlineStr">
        <is>
          <t>30 November 2026</t>
        </is>
      </c>
      <c r="M23" t="inlineStr">
        <is>
          <t>Konstruksi Gedung Hunian</t>
        </is>
      </c>
      <c r="N23" t="inlineStr">
        <is>
          <t>K</t>
        </is>
      </c>
      <c r="O23" t="inlineStr">
        <is>
          <t>20231201</t>
        </is>
      </c>
      <c r="P23" t="inlineStr">
        <is>
          <t>Papua Selatan</t>
        </is>
      </c>
      <c r="Q23" t="inlineStr"/>
    </row>
    <row r="24">
      <c r="A24" t="inlineStr">
        <is>
          <t>BUMI INSAN PERKASA</t>
        </is>
      </c>
      <c r="B24" t="inlineStr">
        <is>
          <t>Kota Cilegon</t>
        </is>
      </c>
      <c r="C24" t="inlineStr">
        <is>
          <t>085939190052</t>
        </is>
      </c>
      <c r="D24" t="inlineStr">
        <is>
          <t>pt.bumiinsanperkasa@yahoo.com</t>
        </is>
      </c>
      <c r="E24" t="inlineStr">
        <is>
          <t>https://lpjk.pu.go.id/search-badan-usaha-detail/MVNSUVNtTHRXV3ZhckRmZVdRc2k3dz09</t>
        </is>
      </c>
      <c r="F24" t="n">
        <v>2</v>
      </c>
      <c r="G24" t="inlineStr">
        <is>
          <t>BG003, BG009</t>
        </is>
      </c>
      <c r="H24" t="inlineStr">
        <is>
          <t>3 Maret 2016</t>
        </is>
      </c>
      <c r="I24" s="2" t="n">
        <v>46356</v>
      </c>
      <c r="J24" t="inlineStr">
        <is>
          <t>Disetujui</t>
        </is>
      </c>
      <c r="K24" t="n">
        <v>60</v>
      </c>
      <c r="L24" t="inlineStr">
        <is>
          <t>30 November 2026</t>
        </is>
      </c>
      <c r="M24" t="inlineStr">
        <is>
          <t>Konstruksi Gedung Industri, Konstruksi Gedung Lainnya</t>
        </is>
      </c>
      <c r="N24" t="inlineStr">
        <is>
          <t>K</t>
        </is>
      </c>
      <c r="O24" t="inlineStr">
        <is>
          <t>20231125</t>
        </is>
      </c>
      <c r="P24" t="inlineStr">
        <is>
          <t>Banten</t>
        </is>
      </c>
      <c r="Q24" t="inlineStr"/>
    </row>
    <row r="25">
      <c r="A25" t="inlineStr">
        <is>
          <t>CAHAYA LENTERA PERKASA</t>
        </is>
      </c>
      <c r="B25" t="inlineStr">
        <is>
          <t>Kab. Magelang</t>
        </is>
      </c>
      <c r="C25" t="inlineStr">
        <is>
          <t>081227504077</t>
        </is>
      </c>
      <c r="D25" t="inlineStr">
        <is>
          <t>cahayalentera5758@gmail.com</t>
        </is>
      </c>
      <c r="E25" t="inlineStr">
        <is>
          <t>https://lpjk.pu.go.id/search-badan-usaha-detail/eTJKWmpkdzdyRGhDKzJabHREVUJDZz09</t>
        </is>
      </c>
      <c r="F25" t="n">
        <v>1</v>
      </c>
      <c r="G25" t="inlineStr">
        <is>
          <t>BG001</t>
        </is>
      </c>
      <c r="H25" t="inlineStr">
        <is>
          <t>13 November 2023</t>
        </is>
      </c>
      <c r="I25" s="2" t="n">
        <v>46356</v>
      </c>
      <c r="J25" t="inlineStr">
        <is>
          <t>Pencabutan</t>
        </is>
      </c>
      <c r="K25" t="n">
        <v>60</v>
      </c>
      <c r="L25" t="inlineStr">
        <is>
          <t>30 November 2026</t>
        </is>
      </c>
      <c r="M25" t="inlineStr">
        <is>
          <t>Konstruksi Gedung Hunian</t>
        </is>
      </c>
      <c r="N25" t="inlineStr">
        <is>
          <t>K</t>
        </is>
      </c>
      <c r="O25" t="inlineStr">
        <is>
          <t>20231106</t>
        </is>
      </c>
      <c r="P25" t="inlineStr">
        <is>
          <t>Jawa Tengah</t>
        </is>
      </c>
      <c r="Q25" t="inlineStr"/>
    </row>
    <row r="26">
      <c r="A26" t="inlineStr">
        <is>
          <t>CAHAYA MANDIRI</t>
        </is>
      </c>
      <c r="B26" t="inlineStr">
        <is>
          <t>Kab. Cianjur</t>
        </is>
      </c>
      <c r="C26" t="inlineStr">
        <is>
          <t>085624873713</t>
        </is>
      </c>
      <c r="D26" t="inlineStr">
        <is>
          <t>cahayamandiri111@yahoo.com</t>
        </is>
      </c>
      <c r="E26" t="inlineStr">
        <is>
          <t>https://lpjk.pu.go.id/search-badan-usaha-detail/ZWV2a2ZxbDYwb2Y1UnNMRUw1VU9DZz09</t>
        </is>
      </c>
      <c r="F26" t="n">
        <v>2</v>
      </c>
      <c r="G26" t="inlineStr">
        <is>
          <t>BG002, BG009</t>
        </is>
      </c>
      <c r="H26" t="inlineStr">
        <is>
          <t>16 Februari 2015</t>
        </is>
      </c>
      <c r="I26" s="2" t="n">
        <v>46356</v>
      </c>
      <c r="J26" t="inlineStr">
        <is>
          <t>Disetujui</t>
        </is>
      </c>
      <c r="K26" t="n">
        <v>60</v>
      </c>
      <c r="L26" t="inlineStr">
        <is>
          <t>30 November 2026</t>
        </is>
      </c>
      <c r="M26" t="inlineStr">
        <is>
          <t>Konstruksi Gedung Lainnya, Konstruksi Gedung Perkantoran</t>
        </is>
      </c>
      <c r="N26" t="inlineStr">
        <is>
          <t>K</t>
        </is>
      </c>
      <c r="O26" t="inlineStr">
        <is>
          <t>20231201, 20231203</t>
        </is>
      </c>
      <c r="P26" t="inlineStr">
        <is>
          <t>Jawa Barat</t>
        </is>
      </c>
      <c r="Q26" t="inlineStr"/>
    </row>
    <row r="27">
      <c r="A27" t="inlineStr">
        <is>
          <t>CENDRAWASIH ABADI MAKMUR</t>
        </is>
      </c>
      <c r="B27" t="inlineStr">
        <is>
          <t>Kab. Jayawijaya</t>
        </is>
      </c>
      <c r="C27" t="inlineStr">
        <is>
          <t>082173048888</t>
        </is>
      </c>
      <c r="D27" t="inlineStr">
        <is>
          <t>pt.cendrawasihabadimakmur@gmail.com</t>
        </is>
      </c>
      <c r="E27" t="inlineStr">
        <is>
          <t>https://lpjk.pu.go.id/search-badan-usaha-detail/dDdWNG14WjNIWkYzc2crUjFsVkNHZz09</t>
        </is>
      </c>
      <c r="F27" t="n">
        <v>3</v>
      </c>
      <c r="G27" t="inlineStr">
        <is>
          <t>BG001, BG002, BG005</t>
        </is>
      </c>
      <c r="H27" t="inlineStr">
        <is>
          <t>14 April 2014</t>
        </is>
      </c>
      <c r="I27" s="2" t="n">
        <v>46356</v>
      </c>
      <c r="J27" t="inlineStr">
        <is>
          <t>Disetujui</t>
        </is>
      </c>
      <c r="K27" t="n">
        <v>60</v>
      </c>
      <c r="L27" t="inlineStr">
        <is>
          <t>30 November 2026</t>
        </is>
      </c>
      <c r="M27" t="inlineStr">
        <is>
          <t>Konstruksi Gedung Hunian, Konstruksi Gedung Kesehatan, Konstruksi Gedung Perkantoran</t>
        </is>
      </c>
      <c r="N27" t="inlineStr">
        <is>
          <t>M</t>
        </is>
      </c>
      <c r="O27" t="inlineStr">
        <is>
          <t>20231127, 20231129</t>
        </is>
      </c>
      <c r="P27" t="inlineStr">
        <is>
          <t>Papua Pegunungan</t>
        </is>
      </c>
      <c r="Q27" t="inlineStr"/>
    </row>
    <row r="28">
      <c r="A28" t="inlineStr">
        <is>
          <t>CHELSI PERDANA</t>
        </is>
      </c>
      <c r="B28" t="inlineStr">
        <is>
          <t>Kab. Morowali Utara</t>
        </is>
      </c>
      <c r="C28" t="inlineStr">
        <is>
          <t>082188356867</t>
        </is>
      </c>
      <c r="D28" t="inlineStr">
        <is>
          <t>cvchelsiperdana26@gmail.com</t>
        </is>
      </c>
      <c r="E28" t="inlineStr">
        <is>
          <t>https://lpjk.pu.go.id/search-badan-usaha-detail/WXdXWk8zUWE1TjdNNHlZajNzQ1U2Zz09</t>
        </is>
      </c>
      <c r="F28" t="n">
        <v>1</v>
      </c>
      <c r="G28" t="inlineStr">
        <is>
          <t>BS004</t>
        </is>
      </c>
      <c r="H28" t="inlineStr">
        <is>
          <t>9 Mei 2019</t>
        </is>
      </c>
      <c r="I28" s="2" t="n">
        <v>46356</v>
      </c>
      <c r="J28" t="inlineStr">
        <is>
          <t>Disetujui</t>
        </is>
      </c>
      <c r="K28" t="n">
        <v>60</v>
      </c>
      <c r="L28" t="inlineStr">
        <is>
          <t>30 November 2026</t>
        </is>
      </c>
      <c r="M28" t="inlineStr">
        <is>
          <t>Konstruksi Jaringan Irigasi dan Drainase</t>
        </is>
      </c>
      <c r="N28" t="inlineStr">
        <is>
          <t>K</t>
        </is>
      </c>
      <c r="O28" t="inlineStr">
        <is>
          <t>20231201</t>
        </is>
      </c>
      <c r="P28" t="inlineStr">
        <is>
          <t>Sulawesi Tengah</t>
        </is>
      </c>
      <c r="Q28" t="inlineStr"/>
    </row>
    <row r="29">
      <c r="A29" t="inlineStr">
        <is>
          <t>CIPTA PRAKARSA PAPUA</t>
        </is>
      </c>
      <c r="B29" t="inlineStr">
        <is>
          <t>Kab. Sorong</t>
        </is>
      </c>
      <c r="C29" t="inlineStr">
        <is>
          <t>082112123385</t>
        </is>
      </c>
      <c r="D29" t="inlineStr">
        <is>
          <t>ciptaprakarsapapua@gmail.com</t>
        </is>
      </c>
      <c r="E29" t="inlineStr">
        <is>
          <t>https://lpjk.pu.go.id/search-badan-usaha-detail/TFpCeWtkcHJNdEtLZmx0NkRWZ09rdz09</t>
        </is>
      </c>
      <c r="F29" t="n">
        <v>10</v>
      </c>
      <c r="G29" t="inlineStr">
        <is>
          <t>BG001, BG002, BG005, BG006, BG009</t>
        </is>
      </c>
      <c r="H29" t="inlineStr">
        <is>
          <t>3 Januari 2014</t>
        </is>
      </c>
      <c r="I29" s="2" t="n">
        <v>46356</v>
      </c>
      <c r="J29" t="inlineStr">
        <is>
          <t>Disetujui</t>
        </is>
      </c>
      <c r="K29" t="n">
        <v>60</v>
      </c>
      <c r="L29" t="inlineStr">
        <is>
          <t>30 November 2026</t>
        </is>
      </c>
      <c r="M29" t="inlineStr">
        <is>
          <t>Konstruksi Gedung Hunian, Konstruksi Gedung Kesehatan, Konstruksi Gedung Lainnya, Konstruksi Gedung Pendidikan, Konstruksi Gedung Perkantoran</t>
        </is>
      </c>
      <c r="N29" t="inlineStr">
        <is>
          <t>K</t>
        </is>
      </c>
      <c r="O29" t="inlineStr">
        <is>
          <t>20231117</t>
        </is>
      </c>
      <c r="P29" t="inlineStr">
        <is>
          <t>Papua Barat Daya</t>
        </is>
      </c>
      <c r="Q29" t="inlineStr"/>
    </row>
    <row r="30">
      <c r="A30" t="inlineStr">
        <is>
          <t>CITRA ABADI TIRTA</t>
        </is>
      </c>
      <c r="B30" t="inlineStr">
        <is>
          <t>Kota Adm. Jakarta Pusat</t>
        </is>
      </c>
      <c r="C30" t="inlineStr">
        <is>
          <t>0811118407</t>
        </is>
      </c>
      <c r="D30" t="inlineStr">
        <is>
          <t>ptcitraabaditirta@gmail.com</t>
        </is>
      </c>
      <c r="E30" t="inlineStr">
        <is>
          <t>https://lpjk.pu.go.id/search-badan-usaha-detail/OWJybGVuQ3pDenROQ05xdUxzTS85dz09</t>
        </is>
      </c>
      <c r="F30" t="n">
        <v>1</v>
      </c>
      <c r="G30" t="inlineStr">
        <is>
          <t>BG009</t>
        </is>
      </c>
      <c r="H30" t="inlineStr">
        <is>
          <t>23 Februari 2023</t>
        </is>
      </c>
      <c r="I30" s="2" t="n">
        <v>46356</v>
      </c>
      <c r="J30" t="inlineStr">
        <is>
          <t>Disetujui</t>
        </is>
      </c>
      <c r="K30" t="n">
        <v>60</v>
      </c>
      <c r="L30" t="inlineStr">
        <is>
          <t>30 November 2026</t>
        </is>
      </c>
      <c r="M30" t="inlineStr">
        <is>
          <t>Konstruksi Gedung Lainnya</t>
        </is>
      </c>
      <c r="N30" t="inlineStr">
        <is>
          <t>K</t>
        </is>
      </c>
      <c r="O30" t="inlineStr">
        <is>
          <t>20231031</t>
        </is>
      </c>
      <c r="P30" t="inlineStr">
        <is>
          <t>DKI Jakarta</t>
        </is>
      </c>
      <c r="Q30" t="inlineStr"/>
    </row>
    <row r="31">
      <c r="A31" t="inlineStr">
        <is>
          <t>CITRA JAYA PERKASA</t>
        </is>
      </c>
      <c r="B31" t="inlineStr">
        <is>
          <t>Kota Batam</t>
        </is>
      </c>
      <c r="C31" t="inlineStr">
        <is>
          <t>081270174811</t>
        </is>
      </c>
      <c r="D31" t="inlineStr">
        <is>
          <t>citrajp168@gmail.com</t>
        </is>
      </c>
      <c r="E31" t="inlineStr">
        <is>
          <t>https://lpjk.pu.go.id/search-badan-usaha-detail/Z3JhN29Zd0xlbHV6VzNjOS9iL01NZz09</t>
        </is>
      </c>
      <c r="F31" t="n">
        <v>5</v>
      </c>
      <c r="G31" t="inlineStr">
        <is>
          <t>BG003, BG004, BG006, BG007, BG009</t>
        </is>
      </c>
      <c r="H31" t="inlineStr">
        <is>
          <t>4 April 2007</t>
        </is>
      </c>
      <c r="I31" s="2" t="n">
        <v>46356</v>
      </c>
      <c r="J31" t="inlineStr">
        <is>
          <t>Pencabutan</t>
        </is>
      </c>
      <c r="K31" t="n">
        <v>60</v>
      </c>
      <c r="L31" t="inlineStr">
        <is>
          <t>30 November 2026</t>
        </is>
      </c>
      <c r="M31" t="inlineStr">
        <is>
          <t>Konstruksi Gedung Industri, Konstruksi Gedung Lainnya, Konstruksi Gedung Pendidikan, Konstruksi Gedung Penginapan, Konstruksi Gedung Perbelanjaan</t>
        </is>
      </c>
      <c r="N31" t="inlineStr">
        <is>
          <t>K</t>
        </is>
      </c>
      <c r="O31" t="inlineStr">
        <is>
          <t>20231128, 20231130</t>
        </is>
      </c>
      <c r="P31" t="inlineStr">
        <is>
          <t>Kepulauan Riau</t>
        </is>
      </c>
      <c r="Q31" t="inlineStr"/>
    </row>
    <row r="32">
      <c r="A32" t="inlineStr">
        <is>
          <t>DAS KONSTRUKSI NUSANTARA</t>
        </is>
      </c>
      <c r="B32" t="inlineStr">
        <is>
          <t>Kota Makassar</t>
        </is>
      </c>
      <c r="C32" t="inlineStr">
        <is>
          <t>085242259296</t>
        </is>
      </c>
      <c r="D32" t="inlineStr">
        <is>
          <t>pt.dask@yahoo.com</t>
        </is>
      </c>
      <c r="E32" t="inlineStr">
        <is>
          <t>https://lpjk.pu.go.id/search-badan-usaha-detail/cHQ0TXpHMVMxZC9SZC9xM2hOY3NGdz09</t>
        </is>
      </c>
      <c r="F32" t="n">
        <v>1</v>
      </c>
      <c r="G32" t="inlineStr">
        <is>
          <t>BS004</t>
        </is>
      </c>
      <c r="H32" t="inlineStr">
        <is>
          <t>24 April 2012</t>
        </is>
      </c>
      <c r="I32" s="2" t="n">
        <v>46356</v>
      </c>
      <c r="J32" t="inlineStr">
        <is>
          <t>Pembekuan</t>
        </is>
      </c>
      <c r="K32" t="n">
        <v>60</v>
      </c>
      <c r="L32" t="inlineStr">
        <is>
          <t>30 November 2026</t>
        </is>
      </c>
      <c r="M32" t="inlineStr">
        <is>
          <t>Konstruksi Jaringan Irigasi dan Drainase</t>
        </is>
      </c>
      <c r="N32" t="inlineStr">
        <is>
          <t>M</t>
        </is>
      </c>
      <c r="O32" t="inlineStr">
        <is>
          <t>20231130</t>
        </is>
      </c>
      <c r="P32" t="inlineStr">
        <is>
          <t>Sulawesi Selatan</t>
        </is>
      </c>
      <c r="Q32" t="inlineStr"/>
    </row>
    <row r="33">
      <c r="A33" t="inlineStr">
        <is>
          <t>DELIMA KURNIA PRATAMA</t>
        </is>
      </c>
      <c r="B33" t="inlineStr">
        <is>
          <t>Kota Cilegon</t>
        </is>
      </c>
      <c r="C33" t="inlineStr">
        <is>
          <t>0254601284</t>
        </is>
      </c>
      <c r="D33" t="inlineStr">
        <is>
          <t>delimakurniapratama@yahoo.com</t>
        </is>
      </c>
      <c r="E33" t="inlineStr">
        <is>
          <t>https://lpjk.pu.go.id/search-badan-usaha-detail/WXozUW9nUk1iRG93RlpkakpCdk1Zdz09</t>
        </is>
      </c>
      <c r="F33" t="n">
        <v>2</v>
      </c>
      <c r="G33" t="inlineStr">
        <is>
          <t>BG003</t>
        </is>
      </c>
      <c r="H33" t="inlineStr">
        <is>
          <t>26 Februari 2015</t>
        </is>
      </c>
      <c r="I33" s="2" t="n">
        <v>46356</v>
      </c>
      <c r="J33" t="inlineStr">
        <is>
          <t>Disetujui</t>
        </is>
      </c>
      <c r="K33" t="n">
        <v>60</v>
      </c>
      <c r="L33" t="inlineStr">
        <is>
          <t>30 November 2026</t>
        </is>
      </c>
      <c r="M33" t="inlineStr">
        <is>
          <t>Konstruksi Gedung Industri</t>
        </is>
      </c>
      <c r="N33" t="inlineStr">
        <is>
          <t>K</t>
        </is>
      </c>
      <c r="O33" t="inlineStr">
        <is>
          <t>20231129</t>
        </is>
      </c>
      <c r="P33" t="inlineStr">
        <is>
          <t>Banten</t>
        </is>
      </c>
      <c r="Q33" t="inlineStr"/>
    </row>
    <row r="34">
      <c r="A34" t="inlineStr">
        <is>
          <t>DWIKARYA CIPTA GEMILANG</t>
        </is>
      </c>
      <c r="B34" t="inlineStr">
        <is>
          <t>Kab. Serang</t>
        </is>
      </c>
      <c r="C34" t="inlineStr">
        <is>
          <t>02547962745</t>
        </is>
      </c>
      <c r="D34" t="inlineStr">
        <is>
          <t>pt.dwikaryaciptagemilang87@gmail.com</t>
        </is>
      </c>
      <c r="E34" t="inlineStr">
        <is>
          <t>https://lpjk.pu.go.id/search-badan-usaha-detail/ckhXRDhsUldoRDlsTTN1QjBtYzd3QT09</t>
        </is>
      </c>
      <c r="F34" t="n">
        <v>2</v>
      </c>
      <c r="G34" t="inlineStr">
        <is>
          <t>BG009</t>
        </is>
      </c>
      <c r="H34" t="inlineStr">
        <is>
          <t>30 Desember 2015</t>
        </is>
      </c>
      <c r="I34" s="2" t="n">
        <v>46356</v>
      </c>
      <c r="J34" t="inlineStr">
        <is>
          <t>Pencabutan</t>
        </is>
      </c>
      <c r="K34" t="n">
        <v>60</v>
      </c>
      <c r="L34" t="inlineStr">
        <is>
          <t>30 November 2026</t>
        </is>
      </c>
      <c r="M34" t="inlineStr">
        <is>
          <t>Konstruksi Gedung Lainnya</t>
        </is>
      </c>
      <c r="N34" t="inlineStr">
        <is>
          <t>K</t>
        </is>
      </c>
      <c r="O34" t="inlineStr">
        <is>
          <t>20231129</t>
        </is>
      </c>
      <c r="P34" t="inlineStr">
        <is>
          <t>Banten</t>
        </is>
      </c>
      <c r="Q34" t="inlineStr"/>
    </row>
    <row r="35">
      <c r="A35" t="inlineStr">
        <is>
          <t>ERA BARU SEJAHTERA</t>
        </is>
      </c>
      <c r="B35" t="inlineStr">
        <is>
          <t>Kota Surabaya</t>
        </is>
      </c>
      <c r="C35" t="inlineStr">
        <is>
          <t>0816523998</t>
        </is>
      </c>
      <c r="D35" t="inlineStr">
        <is>
          <t>cverabarusejahtera@gmail.com</t>
        </is>
      </c>
      <c r="E35" t="inlineStr">
        <is>
          <t>https://lpjk.pu.go.id/search-badan-usaha-detail/VUpvL1BCNCtwNWR5VUlNYnRPbWMrUT09</t>
        </is>
      </c>
      <c r="F35" t="n">
        <v>1</v>
      </c>
      <c r="G35" t="inlineStr">
        <is>
          <t>BS017</t>
        </is>
      </c>
      <c r="H35" t="inlineStr">
        <is>
          <t>29 September 1997</t>
        </is>
      </c>
      <c r="I35" s="2" t="n">
        <v>46356</v>
      </c>
      <c r="J35" t="inlineStr">
        <is>
          <t>Disetujui</t>
        </is>
      </c>
      <c r="K35" t="n">
        <v>60</v>
      </c>
      <c r="L35" t="inlineStr">
        <is>
          <t>30 November 2026</t>
        </is>
      </c>
      <c r="M35" t="inlineStr">
        <is>
          <t>Konstruksi Bangunan Sipil Lainnya Ytdl</t>
        </is>
      </c>
      <c r="N35" t="inlineStr">
        <is>
          <t>K</t>
        </is>
      </c>
      <c r="O35" t="inlineStr">
        <is>
          <t>20231124</t>
        </is>
      </c>
      <c r="P35" t="inlineStr">
        <is>
          <t>Jawa Timur</t>
        </is>
      </c>
      <c r="Q35" t="inlineStr"/>
    </row>
    <row r="36">
      <c r="A36" t="inlineStr">
        <is>
          <t>FADHIL SYAHPUTRA</t>
        </is>
      </c>
      <c r="B36" t="inlineStr">
        <is>
          <t>Kab. Kutai Timur</t>
        </is>
      </c>
      <c r="C36" t="inlineStr">
        <is>
          <t>081273575234</t>
        </is>
      </c>
      <c r="D36" t="inlineStr">
        <is>
          <t>fadhilsyahputra508@gmail.com</t>
        </is>
      </c>
      <c r="E36" t="inlineStr">
        <is>
          <t>https://lpjk.pu.go.id/search-badan-usaha-detail/OW1PNGZQQUxqK0w1TFZxVTJocDR3Zz09</t>
        </is>
      </c>
      <c r="F36" t="n">
        <v>4</v>
      </c>
      <c r="G36" t="inlineStr">
        <is>
          <t>BS001, BS004</t>
        </is>
      </c>
      <c r="H36" t="inlineStr">
        <is>
          <t>27 November 2023</t>
        </is>
      </c>
      <c r="I36" s="2" t="n">
        <v>46356</v>
      </c>
      <c r="J36" t="inlineStr">
        <is>
          <t>Disetujui</t>
        </is>
      </c>
      <c r="K36" t="n">
        <v>60</v>
      </c>
      <c r="L36" t="inlineStr">
        <is>
          <t>30 November 2026</t>
        </is>
      </c>
      <c r="M36" t="inlineStr">
        <is>
          <t>Konstruksi Bangunan Sipil Jalan, Konstruksi Jaringan Irigasi dan Drainase</t>
        </is>
      </c>
      <c r="N36" t="inlineStr">
        <is>
          <t>K</t>
        </is>
      </c>
      <c r="O36" t="inlineStr">
        <is>
          <t>20231129, 20231201</t>
        </is>
      </c>
      <c r="P36" t="inlineStr">
        <is>
          <t>Kalimantan Timur</t>
        </is>
      </c>
      <c r="Q36" t="inlineStr"/>
    </row>
    <row r="37">
      <c r="A37" t="inlineStr">
        <is>
          <t>FATIH LAKSANA INDAH</t>
        </is>
      </c>
      <c r="B37" t="inlineStr">
        <is>
          <t>Kab. Cirebon</t>
        </is>
      </c>
      <c r="C37" t="inlineStr">
        <is>
          <t>081395649889</t>
        </is>
      </c>
      <c r="D37" t="inlineStr">
        <is>
          <t>fatihlaksanaindah.cv@gmail.com</t>
        </is>
      </c>
      <c r="E37" t="inlineStr">
        <is>
          <t>https://lpjk.pu.go.id/search-badan-usaha-detail/Vjk5UjN5Q3MzQzJJYUc5S0lPRlUxZz09</t>
        </is>
      </c>
      <c r="F37" t="n">
        <v>4</v>
      </c>
      <c r="G37" t="inlineStr">
        <is>
          <t>BG002, BG005, BG006, BG009</t>
        </is>
      </c>
      <c r="H37" t="inlineStr">
        <is>
          <t>10 Februari 2017</t>
        </is>
      </c>
      <c r="I37" s="2" t="n">
        <v>46356</v>
      </c>
      <c r="J37" t="inlineStr">
        <is>
          <t>Disetujui</t>
        </is>
      </c>
      <c r="K37" t="n">
        <v>60</v>
      </c>
      <c r="L37" t="inlineStr">
        <is>
          <t>30 November 2026</t>
        </is>
      </c>
      <c r="M37" t="inlineStr">
        <is>
          <t>Konstruksi Gedung Kesehatan, Konstruksi Gedung Lainnya, Konstruksi Gedung Pendidikan, Konstruksi Gedung Perkantoran</t>
        </is>
      </c>
      <c r="N37" t="inlineStr">
        <is>
          <t>K</t>
        </is>
      </c>
      <c r="O37" t="inlineStr">
        <is>
          <t>20231124</t>
        </is>
      </c>
      <c r="P37" t="inlineStr">
        <is>
          <t>Jawa Barat</t>
        </is>
      </c>
      <c r="Q37" t="inlineStr"/>
    </row>
    <row r="38">
      <c r="A38" t="inlineStr">
        <is>
          <t>FIKAWAN UTAMA</t>
        </is>
      </c>
      <c r="B38" t="inlineStr">
        <is>
          <t>Kab. Bandung</t>
        </is>
      </c>
      <c r="C38" t="inlineStr">
        <is>
          <t>02254412585</t>
        </is>
      </c>
      <c r="D38" t="inlineStr">
        <is>
          <t>rella.fikawanutama@gmail.com</t>
        </is>
      </c>
      <c r="E38" t="inlineStr">
        <is>
          <t>https://lpjk.pu.go.id/search-badan-usaha-detail/Uk5xWUtIRmNYOFVCc0UrZUxEdGFDUT09</t>
        </is>
      </c>
      <c r="F38" t="n">
        <v>4</v>
      </c>
      <c r="G38" t="inlineStr">
        <is>
          <t>BG009, BS007</t>
        </is>
      </c>
      <c r="H38" t="inlineStr">
        <is>
          <t>14 Februari 2012</t>
        </is>
      </c>
      <c r="I38" s="2" t="n">
        <v>46356</v>
      </c>
      <c r="J38" t="inlineStr">
        <is>
          <t>Pembekuan</t>
        </is>
      </c>
      <c r="K38" t="n">
        <v>60</v>
      </c>
      <c r="L38" t="inlineStr">
        <is>
          <t>30 November 2026</t>
        </is>
      </c>
      <c r="M38" t="inlineStr">
        <is>
          <t>Konstruksi Bangunan Sipil Elektrikal, Konstruksi Gedung Lainnya</t>
        </is>
      </c>
      <c r="N38" t="inlineStr">
        <is>
          <t>M</t>
        </is>
      </c>
      <c r="O38" t="inlineStr">
        <is>
          <t>20231116, 20231205</t>
        </is>
      </c>
      <c r="P38" t="inlineStr">
        <is>
          <t>Jawa Barat</t>
        </is>
      </c>
      <c r="Q38" t="inlineStr"/>
    </row>
    <row r="39">
      <c r="A39" t="inlineStr">
        <is>
          <t>GATRACO</t>
        </is>
      </c>
      <c r="B39" t="inlineStr">
        <is>
          <t>Kab. Aceh Tengah</t>
        </is>
      </c>
      <c r="C39" t="inlineStr">
        <is>
          <t>082368374500</t>
        </is>
      </c>
      <c r="D39" t="inlineStr">
        <is>
          <t>gatraco3@gmail.com</t>
        </is>
      </c>
      <c r="E39" t="inlineStr">
        <is>
          <t>https://lpjk.pu.go.id/search-badan-usaha-detail/azlVQlUwcElXNGJMMFdxVW9hWmd0Zz09</t>
        </is>
      </c>
      <c r="F39" t="n">
        <v>1</v>
      </c>
      <c r="G39" t="inlineStr">
        <is>
          <t>BS004</t>
        </is>
      </c>
      <c r="H39" t="inlineStr">
        <is>
          <t>27 Maret 2001</t>
        </is>
      </c>
      <c r="I39" s="2" t="n">
        <v>46356</v>
      </c>
      <c r="J39" t="inlineStr">
        <is>
          <t>Disetujui</t>
        </is>
      </c>
      <c r="K39" t="n">
        <v>60</v>
      </c>
      <c r="L39" t="inlineStr">
        <is>
          <t>30 November 2026</t>
        </is>
      </c>
      <c r="M39" t="inlineStr">
        <is>
          <t>Konstruksi Jaringan Irigasi dan Drainase</t>
        </is>
      </c>
      <c r="N39" t="inlineStr">
        <is>
          <t>K</t>
        </is>
      </c>
      <c r="O39" t="inlineStr">
        <is>
          <t>20231108</t>
        </is>
      </c>
      <c r="P39" t="inlineStr">
        <is>
          <t>Aceh</t>
        </is>
      </c>
      <c r="Q39" t="inlineStr"/>
    </row>
    <row r="40">
      <c r="A40" t="inlineStr">
        <is>
          <t>GRAHA TERUSAN JASA</t>
        </is>
      </c>
      <c r="B40" t="inlineStr">
        <is>
          <t>Kab. Indramayu</t>
        </is>
      </c>
      <c r="C40" t="inlineStr">
        <is>
          <t>082221290819</t>
        </is>
      </c>
      <c r="D40" t="inlineStr">
        <is>
          <t>terusanjasa99@gmail.com</t>
        </is>
      </c>
      <c r="E40" t="inlineStr">
        <is>
          <t>https://lpjk.pu.go.id/search-badan-usaha-detail/RlRmOVB2Q00ySjJVS0NPZFBRdmtiQT09</t>
        </is>
      </c>
      <c r="F40" t="n">
        <v>1</v>
      </c>
      <c r="G40" t="inlineStr">
        <is>
          <t>BG009</t>
        </is>
      </c>
      <c r="H40" t="inlineStr">
        <is>
          <t>18 Juli 2023</t>
        </is>
      </c>
      <c r="I40" s="2" t="n">
        <v>46356</v>
      </c>
      <c r="J40" t="inlineStr">
        <is>
          <t>Disetujui</t>
        </is>
      </c>
      <c r="K40" t="n">
        <v>60</v>
      </c>
      <c r="L40" t="inlineStr">
        <is>
          <t>30 November 2026</t>
        </is>
      </c>
      <c r="M40" t="inlineStr">
        <is>
          <t>Konstruksi Gedung Lainnya</t>
        </is>
      </c>
      <c r="N40" t="inlineStr">
        <is>
          <t>K</t>
        </is>
      </c>
      <c r="O40" t="inlineStr">
        <is>
          <t>20231124</t>
        </is>
      </c>
      <c r="P40" t="inlineStr">
        <is>
          <t>Jawa Barat</t>
        </is>
      </c>
      <c r="Q40" t="inlineStr"/>
    </row>
    <row r="41">
      <c r="A41" t="inlineStr">
        <is>
          <t>GUMARANG</t>
        </is>
      </c>
      <c r="B41" t="inlineStr">
        <is>
          <t>Kab. Cilacap</t>
        </is>
      </c>
      <c r="C41" t="inlineStr">
        <is>
          <t>0282541677</t>
        </is>
      </c>
      <c r="D41" t="inlineStr">
        <is>
          <t>cvgumarang_clp@yahoo.co.id</t>
        </is>
      </c>
      <c r="E41" t="inlineStr">
        <is>
          <t>https://lpjk.pu.go.id/search-badan-usaha-detail/a3RocDVkTysybFV3WWxmRkpPbUdNQT09</t>
        </is>
      </c>
      <c r="F41" t="n">
        <v>1</v>
      </c>
      <c r="G41" t="inlineStr">
        <is>
          <t>BS001</t>
        </is>
      </c>
      <c r="H41" t="inlineStr">
        <is>
          <t>11 Januari 1994</t>
        </is>
      </c>
      <c r="I41" s="2" t="n">
        <v>46356</v>
      </c>
      <c r="J41" t="inlineStr">
        <is>
          <t>Disetujui</t>
        </is>
      </c>
      <c r="K41" t="n">
        <v>60</v>
      </c>
      <c r="L41" t="inlineStr">
        <is>
          <t>30 November 2026</t>
        </is>
      </c>
      <c r="M41" t="inlineStr">
        <is>
          <t>Konstruksi Bangunan Sipil Jalan</t>
        </is>
      </c>
      <c r="N41" t="inlineStr">
        <is>
          <t>K</t>
        </is>
      </c>
      <c r="O41" t="inlineStr">
        <is>
          <t>20231129</t>
        </is>
      </c>
      <c r="P41" t="inlineStr">
        <is>
          <t>Jawa Tengah</t>
        </is>
      </c>
      <c r="Q41" t="inlineStr"/>
    </row>
    <row r="42">
      <c r="A42" t="inlineStr">
        <is>
          <t>INDOJATI SARI TEKNOLOGI</t>
        </is>
      </c>
      <c r="B42" t="inlineStr">
        <is>
          <t>Kota Adm. Jakarta Selatan</t>
        </is>
      </c>
      <c r="C42" t="inlineStr">
        <is>
          <t>081218999980</t>
        </is>
      </c>
      <c r="D42" t="inlineStr">
        <is>
          <t>indojatisariteknologi@gmail.com</t>
        </is>
      </c>
      <c r="E42" t="inlineStr">
        <is>
          <t>https://lpjk.pu.go.id/search-badan-usaha-detail/RnpnRlYzdnoxQWpWZjAvSW93U1JKUT09</t>
        </is>
      </c>
      <c r="F42" t="n">
        <v>1</v>
      </c>
      <c r="G42" t="inlineStr">
        <is>
          <t>IN004</t>
        </is>
      </c>
      <c r="H42" t="inlineStr">
        <is>
          <t>9 Juni 2016</t>
        </is>
      </c>
      <c r="I42" s="2" t="n">
        <v>46356</v>
      </c>
      <c r="J42" t="inlineStr">
        <is>
          <t>Pembekuan</t>
        </is>
      </c>
      <c r="K42" t="n">
        <v>60</v>
      </c>
      <c r="L42" t="inlineStr">
        <is>
          <t>30 November 2026</t>
        </is>
      </c>
      <c r="M42" t="inlineStr">
        <is>
          <t>Instalasi Minyak dan Gas</t>
        </is>
      </c>
      <c r="N42" t="inlineStr">
        <is>
          <t>Spesialis</t>
        </is>
      </c>
      <c r="O42" t="inlineStr">
        <is>
          <t>20231122</t>
        </is>
      </c>
      <c r="P42" t="inlineStr">
        <is>
          <t>DKI Jakarta</t>
        </is>
      </c>
      <c r="Q42" t="inlineStr"/>
    </row>
    <row r="43">
      <c r="A43" t="inlineStr">
        <is>
          <t>JAPARI JAGADDHITA</t>
        </is>
      </c>
      <c r="B43" t="inlineStr">
        <is>
          <t>Kab. Sleman</t>
        </is>
      </c>
      <c r="C43" t="inlineStr">
        <is>
          <t>085643014586</t>
        </is>
      </c>
      <c r="D43" t="inlineStr">
        <is>
          <t>cv.japarijagaddhita@gmail.com</t>
        </is>
      </c>
      <c r="E43" t="inlineStr">
        <is>
          <t>https://lpjk.pu.go.id/search-badan-usaha-detail/NlVZSUFHYitJMStMNzJuK3pUK1lmUT09</t>
        </is>
      </c>
      <c r="F43" t="n">
        <v>5</v>
      </c>
      <c r="G43" t="inlineStr">
        <is>
          <t>AR001, AR002, RK001, RK002, RK003</t>
        </is>
      </c>
      <c r="H43" t="inlineStr">
        <is>
          <t>18 Juli 2020</t>
        </is>
      </c>
      <c r="I43" s="2" t="n">
        <v>46356</v>
      </c>
      <c r="J43" t="inlineStr">
        <is>
          <t>Disetujui</t>
        </is>
      </c>
      <c r="K43" t="n">
        <v>60</v>
      </c>
      <c r="L43" t="inlineStr">
        <is>
          <t>30 November 2026</t>
        </is>
      </c>
      <c r="M43" t="inlineStr">
        <is>
          <t>Jasa Arsitektural Bangunan Gedung Hunian dan Non Hunian, Jasa Arsitektural Lainnya, Jasa Rekayasa Konstruksi Bangunan Gedung Hunian dan Non Hunian, Jasa Rekayasa Pekerjaan Teknik Sipil Sumber Daya Air, Jasa Rekayasa Pekerjaan Teknik Sipil Transportasi</t>
        </is>
      </c>
      <c r="N43" t="inlineStr">
        <is>
          <t>K</t>
        </is>
      </c>
      <c r="O43" t="inlineStr">
        <is>
          <t>20231121</t>
        </is>
      </c>
      <c r="P43" t="inlineStr">
        <is>
          <t>DI Yogyakarta</t>
        </is>
      </c>
      <c r="Q43" t="inlineStr"/>
    </row>
    <row r="44">
      <c r="A44" t="inlineStr">
        <is>
          <t>JASMINE CAHAYA GEMILANG</t>
        </is>
      </c>
      <c r="B44" t="inlineStr">
        <is>
          <t>Kota Tangerang</t>
        </is>
      </c>
      <c r="C44" t="inlineStr">
        <is>
          <t>085719366949</t>
        </is>
      </c>
      <c r="D44" t="inlineStr">
        <is>
          <t>cv.jasminecg@gmail.com</t>
        </is>
      </c>
      <c r="E44" t="inlineStr">
        <is>
          <t>https://lpjk.pu.go.id/search-badan-usaha-detail/b1FpYmF1R1RsMlE3cmFSWENYckVaZz09</t>
        </is>
      </c>
      <c r="F44" t="n">
        <v>1</v>
      </c>
      <c r="G44" t="inlineStr">
        <is>
          <t>BS001</t>
        </is>
      </c>
      <c r="H44" t="inlineStr">
        <is>
          <t>1 Desember 2022</t>
        </is>
      </c>
      <c r="I44" s="2" t="n">
        <v>46356</v>
      </c>
      <c r="J44" t="inlineStr">
        <is>
          <t>Disetujui</t>
        </is>
      </c>
      <c r="K44" t="n">
        <v>60</v>
      </c>
      <c r="L44" t="inlineStr">
        <is>
          <t>30 November 2026</t>
        </is>
      </c>
      <c r="M44" t="inlineStr">
        <is>
          <t>Konstruksi Bangunan Sipil Jalan</t>
        </is>
      </c>
      <c r="N44" t="inlineStr">
        <is>
          <t>K</t>
        </is>
      </c>
      <c r="O44" t="inlineStr">
        <is>
          <t>20231130</t>
        </is>
      </c>
      <c r="P44" t="inlineStr">
        <is>
          <t>Banten</t>
        </is>
      </c>
      <c r="Q44" t="inlineStr"/>
    </row>
    <row r="45">
      <c r="A45" t="inlineStr">
        <is>
          <t>JATI MAS</t>
        </is>
      </c>
      <c r="B45" t="inlineStr">
        <is>
          <t>Kab. Jember</t>
        </is>
      </c>
      <c r="C45" t="inlineStr">
        <is>
          <t>081249672030</t>
        </is>
      </c>
      <c r="D45" t="inlineStr">
        <is>
          <t>cvjatimas121@gmail.com</t>
        </is>
      </c>
      <c r="E45" t="inlineStr">
        <is>
          <t>https://lpjk.pu.go.id/search-badan-usaha-detail/MWhTdTVGZ0xUcm9SN3U2a2ZvSkNKRlEwV0pyeXRLQVRjeHFRL21QczNsaz0</t>
        </is>
      </c>
      <c r="F45" t="n">
        <v>2</v>
      </c>
      <c r="G45" t="inlineStr">
        <is>
          <t>BG001, BG002</t>
        </is>
      </c>
      <c r="H45" t="inlineStr">
        <is>
          <t>7 Februari 2025</t>
        </is>
      </c>
      <c r="I45" s="2" t="n">
        <v>46356</v>
      </c>
      <c r="J45" t="inlineStr">
        <is>
          <t>Disetujui</t>
        </is>
      </c>
      <c r="K45" t="n">
        <v>60</v>
      </c>
      <c r="L45" t="inlineStr">
        <is>
          <t>30 November 2026</t>
        </is>
      </c>
      <c r="M45" t="inlineStr">
        <is>
          <t>Konstruksi Gedung Hunian, Konstruksi Gedung Perkantoran</t>
        </is>
      </c>
      <c r="N45" t="inlineStr">
        <is>
          <t>K</t>
        </is>
      </c>
      <c r="O45" t="inlineStr">
        <is>
          <t>20231129</t>
        </is>
      </c>
      <c r="P45" t="inlineStr">
        <is>
          <t>Jawa Timur</t>
        </is>
      </c>
      <c r="Q45" t="inlineStr"/>
    </row>
    <row r="46">
      <c r="A46" t="inlineStr">
        <is>
          <t>JEMBATAN MAS ENGINEERING</t>
        </is>
      </c>
      <c r="B46" t="inlineStr">
        <is>
          <t>Kota Adm. Jakarta Utara</t>
        </is>
      </c>
      <c r="C46" t="inlineStr">
        <is>
          <t>02126914619</t>
        </is>
      </c>
      <c r="D46" t="inlineStr">
        <is>
          <t>ejembatanmas@gmail.com</t>
        </is>
      </c>
      <c r="E46" t="inlineStr">
        <is>
          <t>https://lpjk.pu.go.id/search-badan-usaha-detail/N214VDRpdEFCMktMdk1QMmZzK0tLdz09</t>
        </is>
      </c>
      <c r="F46" t="n">
        <v>1</v>
      </c>
      <c r="G46" t="inlineStr">
        <is>
          <t>KK001</t>
        </is>
      </c>
      <c r="H46" t="inlineStr">
        <is>
          <t>11 November 2013</t>
        </is>
      </c>
      <c r="I46" s="2" t="n">
        <v>46356</v>
      </c>
      <c r="J46" t="inlineStr">
        <is>
          <t>Pembekuan</t>
        </is>
      </c>
      <c r="K46" t="n">
        <v>60</v>
      </c>
      <c r="L46" t="inlineStr">
        <is>
          <t>30 November 2026</t>
        </is>
      </c>
      <c r="M46" t="inlineStr">
        <is>
          <t>Pondasi Konstruksi</t>
        </is>
      </c>
      <c r="N46" t="inlineStr">
        <is>
          <t>Spesialis</t>
        </is>
      </c>
      <c r="O46" t="inlineStr">
        <is>
          <t>20231130</t>
        </is>
      </c>
      <c r="P46" t="inlineStr">
        <is>
          <t>DKI Jakarta</t>
        </is>
      </c>
      <c r="Q46" t="inlineStr"/>
    </row>
    <row r="47">
      <c r="A47" t="inlineStr">
        <is>
          <t>KARYA KAMEFADA WIJAYA INDONESIA</t>
        </is>
      </c>
      <c r="B47" t="inlineStr">
        <is>
          <t>Kota Bandar Lampung</t>
        </is>
      </c>
      <c r="C47" t="inlineStr">
        <is>
          <t>081367743843</t>
        </is>
      </c>
      <c r="D47" t="inlineStr">
        <is>
          <t>pt.karyakamefada2007@gmail.com</t>
        </is>
      </c>
      <c r="E47" t="inlineStr">
        <is>
          <t>https://lpjk.pu.go.id/search-badan-usaha-detail/YTJEVTJ1RHh5T2lPWVhHUjdGbDFtdz09</t>
        </is>
      </c>
      <c r="F47" t="n">
        <v>1</v>
      </c>
      <c r="G47" t="inlineStr">
        <is>
          <t>BG001</t>
        </is>
      </c>
      <c r="H47" t="inlineStr">
        <is>
          <t>22 Januari 2007</t>
        </is>
      </c>
      <c r="I47" s="2" t="n">
        <v>46356</v>
      </c>
      <c r="J47" t="inlineStr">
        <is>
          <t>Disetujui</t>
        </is>
      </c>
      <c r="K47" t="n">
        <v>60</v>
      </c>
      <c r="L47" t="inlineStr">
        <is>
          <t>30 November 2026</t>
        </is>
      </c>
      <c r="M47" t="inlineStr">
        <is>
          <t>Konstruksi Gedung Hunian</t>
        </is>
      </c>
      <c r="N47" t="inlineStr">
        <is>
          <t>M</t>
        </is>
      </c>
      <c r="O47" t="inlineStr">
        <is>
          <t>20231116</t>
        </is>
      </c>
      <c r="P47" t="inlineStr">
        <is>
          <t>Lampung</t>
        </is>
      </c>
      <c r="Q47" t="inlineStr"/>
    </row>
    <row r="48">
      <c r="A48" t="inlineStr">
        <is>
          <t>KARYA LESTARI</t>
        </is>
      </c>
      <c r="B48" t="inlineStr">
        <is>
          <t>Kab. Gresik</t>
        </is>
      </c>
      <c r="C48" t="inlineStr">
        <is>
          <t>08123119452</t>
        </is>
      </c>
      <c r="D48" t="inlineStr">
        <is>
          <t>zulkarnain.kl80@gmail.com</t>
        </is>
      </c>
      <c r="E48" t="inlineStr">
        <is>
          <t>https://lpjk.pu.go.id/search-badan-usaha-detail/Y3ErSUFaU1JuTEZDVlYvQXA2WUZSQT09</t>
        </is>
      </c>
      <c r="F48" t="n">
        <v>1</v>
      </c>
      <c r="G48" t="inlineStr">
        <is>
          <t>BS005</t>
        </is>
      </c>
      <c r="H48" t="inlineStr">
        <is>
          <t>30 Januari 2003</t>
        </is>
      </c>
      <c r="I48" s="2" t="n">
        <v>46356</v>
      </c>
      <c r="J48" t="inlineStr">
        <is>
          <t>Disetujui</t>
        </is>
      </c>
      <c r="K48" t="n">
        <v>60</v>
      </c>
      <c r="L48" t="inlineStr">
        <is>
          <t>30 November 2026</t>
        </is>
      </c>
      <c r="M48" t="inlineStr">
        <is>
          <t>Konstruksi Bangunan Sipil Pengolahan Air Bersih</t>
        </is>
      </c>
      <c r="N48" t="inlineStr">
        <is>
          <t>K</t>
        </is>
      </c>
      <c r="O48" t="inlineStr">
        <is>
          <t>20231124</t>
        </is>
      </c>
      <c r="P48" t="inlineStr">
        <is>
          <t>Jawa Timur</t>
        </is>
      </c>
      <c r="Q48" t="inlineStr"/>
    </row>
    <row r="49">
      <c r="A49" t="inlineStr">
        <is>
          <t>KARYA PEMBANGUNAN KONSTRUKSI</t>
        </is>
      </c>
      <c r="B49" t="inlineStr">
        <is>
          <t>Kab. Bandung</t>
        </is>
      </c>
      <c r="C49" t="inlineStr">
        <is>
          <t>085315092340</t>
        </is>
      </c>
      <c r="D49" t="inlineStr">
        <is>
          <t>cv.kpk05@gmail.com</t>
        </is>
      </c>
      <c r="E49" t="inlineStr">
        <is>
          <t>https://lpjk.pu.go.id/search-badan-usaha-detail/enhDWERTWWJDOE9QdTEwQjNBTFVmZz09</t>
        </is>
      </c>
      <c r="F49" t="n">
        <v>1</v>
      </c>
      <c r="G49" t="inlineStr">
        <is>
          <t>BS001</t>
        </is>
      </c>
      <c r="H49" t="inlineStr">
        <is>
          <t>28 Januari 2013</t>
        </is>
      </c>
      <c r="I49" s="2" t="n">
        <v>46356</v>
      </c>
      <c r="J49" t="inlineStr">
        <is>
          <t>Disetujui</t>
        </is>
      </c>
      <c r="K49" t="n">
        <v>60</v>
      </c>
      <c r="L49" t="inlineStr">
        <is>
          <t>30 November 2026</t>
        </is>
      </c>
      <c r="M49" t="inlineStr">
        <is>
          <t>Konstruksi Bangunan Sipil Jalan</t>
        </is>
      </c>
      <c r="N49" t="inlineStr">
        <is>
          <t>K</t>
        </is>
      </c>
      <c r="O49" t="inlineStr">
        <is>
          <t>20231201</t>
        </is>
      </c>
      <c r="P49" t="inlineStr">
        <is>
          <t>Jawa Barat</t>
        </is>
      </c>
      <c r="Q49" t="inlineStr"/>
    </row>
    <row r="50">
      <c r="A50" t="inlineStr">
        <is>
          <t>KARYA SEJAHTERA KONSTRUKSI</t>
        </is>
      </c>
      <c r="B50" t="inlineStr">
        <is>
          <t>Kab. Tangerang</t>
        </is>
      </c>
      <c r="C50" t="inlineStr">
        <is>
          <t>0215473294</t>
        </is>
      </c>
      <c r="D50" t="inlineStr">
        <is>
          <t>ks.konstruksi@gmail.com</t>
        </is>
      </c>
      <c r="E50" t="inlineStr">
        <is>
          <t>https://lpjk.pu.go.id/search-badan-usaha-detail/OG1mN1dZUElSSm95eHdsdEl5b3VzWlhyOERGUFhiZXRpWVNmeERseEhtRT0</t>
        </is>
      </c>
      <c r="F50" t="n">
        <v>4</v>
      </c>
      <c r="G50" t="inlineStr">
        <is>
          <t>BG002, BG003, BG004, BG009</t>
        </is>
      </c>
      <c r="H50" t="inlineStr">
        <is>
          <t>9 November 2023</t>
        </is>
      </c>
      <c r="I50" s="2" t="n">
        <v>46356</v>
      </c>
      <c r="J50" t="inlineStr">
        <is>
          <t>Disetujui</t>
        </is>
      </c>
      <c r="K50" t="n">
        <v>60</v>
      </c>
      <c r="L50" t="inlineStr">
        <is>
          <t>30 November 2026</t>
        </is>
      </c>
      <c r="M50" t="inlineStr">
        <is>
          <t>Konstruksi Gedung Industri, Konstruksi Gedung Lainnya, Konstruksi Gedung Perbelanjaan, Konstruksi Gedung Perkantoran</t>
        </is>
      </c>
      <c r="N50" t="inlineStr">
        <is>
          <t>K</t>
        </is>
      </c>
      <c r="O50" t="inlineStr">
        <is>
          <t>20231128, 20231129</t>
        </is>
      </c>
      <c r="P50" t="inlineStr">
        <is>
          <t>Banten</t>
        </is>
      </c>
      <c r="Q50" t="inlineStr"/>
    </row>
    <row r="51">
      <c r="A51" t="inlineStr">
        <is>
          <t>KENCANA</t>
        </is>
      </c>
      <c r="B51" t="inlineStr">
        <is>
          <t>Kab. Blitar</t>
        </is>
      </c>
      <c r="C51" t="inlineStr">
        <is>
          <t>081331379233</t>
        </is>
      </c>
      <c r="D51" t="inlineStr">
        <is>
          <t>kantorkencana@gmail.com</t>
        </is>
      </c>
      <c r="E51" t="inlineStr">
        <is>
          <t>https://lpjk.pu.go.id/search-badan-usaha-detail/RGYxWXhuWTRNSGRZb1gzRk5sUHNrdz09</t>
        </is>
      </c>
      <c r="F51" t="n">
        <v>1</v>
      </c>
      <c r="G51" t="inlineStr">
        <is>
          <t>BS004</t>
        </is>
      </c>
      <c r="H51" t="inlineStr">
        <is>
          <t>27 April 2015</t>
        </is>
      </c>
      <c r="I51" s="2" t="n">
        <v>46356</v>
      </c>
      <c r="J51" t="inlineStr">
        <is>
          <t>Disetujui</t>
        </is>
      </c>
      <c r="K51" t="n">
        <v>60</v>
      </c>
      <c r="L51" t="inlineStr">
        <is>
          <t>30 November 2026</t>
        </is>
      </c>
      <c r="M51" t="inlineStr">
        <is>
          <t>Konstruksi Jaringan Irigasi dan Drainase</t>
        </is>
      </c>
      <c r="N51" t="inlineStr">
        <is>
          <t>K</t>
        </is>
      </c>
      <c r="O51" t="inlineStr">
        <is>
          <t>20231127</t>
        </is>
      </c>
      <c r="P51" t="inlineStr">
        <is>
          <t>Jawa Timur</t>
        </is>
      </c>
      <c r="Q51" t="inlineStr"/>
    </row>
    <row r="52">
      <c r="A52" t="inlineStr">
        <is>
          <t>KURNIA UTAMA</t>
        </is>
      </c>
      <c r="B52" t="inlineStr">
        <is>
          <t>Kab. Bengkalis</t>
        </is>
      </c>
      <c r="C52" t="inlineStr">
        <is>
          <t>081266131008</t>
        </is>
      </c>
      <c r="D52" t="inlineStr">
        <is>
          <t>cv.kurniautama01@gmail.com</t>
        </is>
      </c>
      <c r="E52" t="inlineStr">
        <is>
          <t>https://lpjk.pu.go.id/search-badan-usaha-detail/eFFWZ1VRY3NiTmg2S0VTWWdTVzRxZz09</t>
        </is>
      </c>
      <c r="F52" t="n">
        <v>1</v>
      </c>
      <c r="G52" t="inlineStr">
        <is>
          <t>BS001</t>
        </is>
      </c>
      <c r="H52" t="inlineStr">
        <is>
          <t>12 Juli 2012</t>
        </is>
      </c>
      <c r="I52" s="2" t="n">
        <v>46356</v>
      </c>
      <c r="J52" t="inlineStr">
        <is>
          <t>Disetujui</t>
        </is>
      </c>
      <c r="K52" t="n">
        <v>60</v>
      </c>
      <c r="L52" t="inlineStr">
        <is>
          <t>30 November 2026</t>
        </is>
      </c>
      <c r="M52" t="inlineStr">
        <is>
          <t>Konstruksi Bangunan Sipil Jalan</t>
        </is>
      </c>
      <c r="N52" t="inlineStr">
        <is>
          <t>K</t>
        </is>
      </c>
      <c r="O52" t="inlineStr">
        <is>
          <t>20231130</t>
        </is>
      </c>
      <c r="P52" t="inlineStr">
        <is>
          <t>Riau</t>
        </is>
      </c>
      <c r="Q52" t="inlineStr"/>
    </row>
    <row r="53">
      <c r="A53" t="inlineStr">
        <is>
          <t>LAWANG BAGUS</t>
        </is>
      </c>
      <c r="B53" t="inlineStr">
        <is>
          <t>Kota Surabaya</t>
        </is>
      </c>
      <c r="C53" t="inlineStr">
        <is>
          <t>081906670661</t>
        </is>
      </c>
      <c r="D53" t="inlineStr">
        <is>
          <t>akassogi@gmail.com</t>
        </is>
      </c>
      <c r="E53" t="inlineStr">
        <is>
          <t>https://lpjk.pu.go.id/search-badan-usaha-detail/dUczZ3N2NjZxWHdGY2pwY29XV3lDZz09</t>
        </is>
      </c>
      <c r="F53" t="n">
        <v>1</v>
      </c>
      <c r="G53" t="inlineStr">
        <is>
          <t>BG001</t>
        </is>
      </c>
      <c r="H53" t="inlineStr">
        <is>
          <t>11 September 2019</t>
        </is>
      </c>
      <c r="I53" s="2" t="n">
        <v>46356</v>
      </c>
      <c r="J53" t="inlineStr">
        <is>
          <t>Disetujui</t>
        </is>
      </c>
      <c r="K53" t="n">
        <v>60</v>
      </c>
      <c r="L53" t="inlineStr">
        <is>
          <t>30 November 2026</t>
        </is>
      </c>
      <c r="M53" t="inlineStr">
        <is>
          <t>Konstruksi Gedung Hunian</t>
        </is>
      </c>
      <c r="N53" t="inlineStr">
        <is>
          <t>K</t>
        </is>
      </c>
      <c r="O53" t="inlineStr">
        <is>
          <t>20231121</t>
        </is>
      </c>
      <c r="P53" t="inlineStr">
        <is>
          <t>Jawa Timur</t>
        </is>
      </c>
      <c r="Q53" t="inlineStr"/>
    </row>
    <row r="54">
      <c r="A54" t="inlineStr">
        <is>
          <t>MAHKOTA BINA SUKSES</t>
        </is>
      </c>
      <c r="B54" t="inlineStr">
        <is>
          <t>Kota Batam</t>
        </is>
      </c>
      <c r="C54" t="inlineStr">
        <is>
          <t>08117019101</t>
        </is>
      </c>
      <c r="D54" t="inlineStr">
        <is>
          <t>suksesmbs@gmail.com</t>
        </is>
      </c>
      <c r="E54" t="inlineStr">
        <is>
          <t>https://lpjk.pu.go.id/search-badan-usaha-detail/SVN1cHJFakZpY3VTc09icEkrdXd6QT09</t>
        </is>
      </c>
      <c r="F54" t="n">
        <v>1</v>
      </c>
      <c r="G54" t="inlineStr">
        <is>
          <t>BG003</t>
        </is>
      </c>
      <c r="H54" t="inlineStr">
        <is>
          <t>22 September 2023</t>
        </is>
      </c>
      <c r="I54" s="2" t="n">
        <v>46356</v>
      </c>
      <c r="J54" t="inlineStr">
        <is>
          <t>Disetujui</t>
        </is>
      </c>
      <c r="K54" t="n">
        <v>60</v>
      </c>
      <c r="L54" t="inlineStr">
        <is>
          <t>30 November 2026</t>
        </is>
      </c>
      <c r="M54" t="inlineStr">
        <is>
          <t>Konstruksi Gedung Industri</t>
        </is>
      </c>
      <c r="N54" t="inlineStr">
        <is>
          <t>K</t>
        </is>
      </c>
      <c r="O54" t="inlineStr">
        <is>
          <t>20231127</t>
        </is>
      </c>
      <c r="P54" t="inlineStr">
        <is>
          <t>Kepulauan Riau</t>
        </is>
      </c>
      <c r="Q54" t="inlineStr"/>
    </row>
    <row r="55">
      <c r="A55" t="inlineStr">
        <is>
          <t>MARTAWIJAYA</t>
        </is>
      </c>
      <c r="B55" t="inlineStr">
        <is>
          <t>Kota Palembang</t>
        </is>
      </c>
      <c r="C55" t="inlineStr">
        <is>
          <t>081273345224</t>
        </is>
      </c>
      <c r="D55" t="inlineStr">
        <is>
          <t>martawijayapalembang131@gmail.com</t>
        </is>
      </c>
      <c r="E55" t="inlineStr">
        <is>
          <t>https://lpjk.pu.go.id/search-badan-usaha-detail/MGgyTEN5cXdiN1BhcENtZERFVmdkdz09</t>
        </is>
      </c>
      <c r="F55" t="n">
        <v>1</v>
      </c>
      <c r="G55" t="inlineStr">
        <is>
          <t>BS001</t>
        </is>
      </c>
      <c r="H55" t="inlineStr">
        <is>
          <t>26 Oktober 1998</t>
        </is>
      </c>
      <c r="I55" s="2" t="n">
        <v>46356</v>
      </c>
      <c r="J55" t="inlineStr">
        <is>
          <t>Disetujui</t>
        </is>
      </c>
      <c r="K55" t="n">
        <v>60</v>
      </c>
      <c r="L55" t="inlineStr">
        <is>
          <t>30 November 2026</t>
        </is>
      </c>
      <c r="M55" t="inlineStr">
        <is>
          <t>Konstruksi Bangunan Sipil Jalan</t>
        </is>
      </c>
      <c r="N55" t="inlineStr">
        <is>
          <t>K</t>
        </is>
      </c>
      <c r="O55" t="inlineStr">
        <is>
          <t>20231109</t>
        </is>
      </c>
      <c r="P55" t="inlineStr">
        <is>
          <t>Sumatera Selatan</t>
        </is>
      </c>
      <c r="Q55" t="inlineStr"/>
    </row>
    <row r="56">
      <c r="A56" t="inlineStr">
        <is>
          <t>MEDIA AKSES INDONESIA</t>
        </is>
      </c>
      <c r="B56" t="inlineStr">
        <is>
          <t>Kab. Serang</t>
        </is>
      </c>
      <c r="C56" t="inlineStr">
        <is>
          <t>081218158981</t>
        </is>
      </c>
      <c r="D56" t="inlineStr">
        <is>
          <t>info@mai.id</t>
        </is>
      </c>
      <c r="E56" t="inlineStr">
        <is>
          <t>https://lpjk.pu.go.id/search-badan-usaha-detail/czZhYXFNQUVBRXF2UHN3Y0V5WmtUdz09</t>
        </is>
      </c>
      <c r="F56" t="n">
        <v>1</v>
      </c>
      <c r="G56" t="inlineStr">
        <is>
          <t>BS009</t>
        </is>
      </c>
      <c r="H56" t="inlineStr">
        <is>
          <t>17 Agustus 2023</t>
        </is>
      </c>
      <c r="I56" s="2" t="n">
        <v>46356</v>
      </c>
      <c r="J56" t="inlineStr">
        <is>
          <t>Disetujui</t>
        </is>
      </c>
      <c r="K56" t="n">
        <v>60</v>
      </c>
      <c r="L56" t="inlineStr">
        <is>
          <t>30 November 2026</t>
        </is>
      </c>
      <c r="M56" t="inlineStr">
        <is>
          <t>Konstruksi Sentral Telekomunikasi</t>
        </is>
      </c>
      <c r="N56" t="inlineStr">
        <is>
          <t>K</t>
        </is>
      </c>
      <c r="O56" t="inlineStr">
        <is>
          <t>20231127</t>
        </is>
      </c>
      <c r="P56" t="inlineStr">
        <is>
          <t>Banten</t>
        </is>
      </c>
      <c r="Q56" t="inlineStr"/>
    </row>
    <row r="57">
      <c r="A57" t="inlineStr">
        <is>
          <t>MILENIUM 2001</t>
        </is>
      </c>
      <c r="B57" t="inlineStr">
        <is>
          <t>Kab. Tapanuli Utara</t>
        </is>
      </c>
      <c r="C57" t="inlineStr">
        <is>
          <t>081265077980</t>
        </is>
      </c>
      <c r="D57" t="inlineStr">
        <is>
          <t>sosionggalon.hutabarat@gmail.com</t>
        </is>
      </c>
      <c r="E57" t="inlineStr">
        <is>
          <t>https://lpjk.pu.go.id/search-badan-usaha-detail/T21icmN1TUtZZXc5NnFCcmQwMWRxdz09</t>
        </is>
      </c>
      <c r="F57" t="n">
        <v>2</v>
      </c>
      <c r="G57" t="inlineStr">
        <is>
          <t>BG005, BG006</t>
        </is>
      </c>
      <c r="H57" t="inlineStr">
        <is>
          <t>1 September 2020</t>
        </is>
      </c>
      <c r="I57" s="2" t="n">
        <v>46356</v>
      </c>
      <c r="J57" t="inlineStr">
        <is>
          <t>Disetujui</t>
        </is>
      </c>
      <c r="K57" t="n">
        <v>60</v>
      </c>
      <c r="L57" t="inlineStr">
        <is>
          <t>30 November 2026</t>
        </is>
      </c>
      <c r="M57" t="inlineStr">
        <is>
          <t>Konstruksi Gedung Kesehatan, Konstruksi Gedung Pendidikan</t>
        </is>
      </c>
      <c r="N57" t="inlineStr">
        <is>
          <t>K</t>
        </is>
      </c>
      <c r="O57" t="inlineStr">
        <is>
          <t>20231121</t>
        </is>
      </c>
      <c r="P57" t="inlineStr">
        <is>
          <t>Sumatera Utara</t>
        </is>
      </c>
      <c r="Q57" t="inlineStr"/>
    </row>
    <row r="58">
      <c r="A58" t="inlineStr">
        <is>
          <t>MITRA ANDALAN KONSTRUKSI</t>
        </is>
      </c>
      <c r="B58" t="inlineStr">
        <is>
          <t>Kota Salatiga</t>
        </is>
      </c>
      <c r="C58" t="inlineStr">
        <is>
          <t>0811270539</t>
        </is>
      </c>
      <c r="D58" t="inlineStr">
        <is>
          <t>pt.mitra_andalan_konstruksi@yahoo.co.id</t>
        </is>
      </c>
      <c r="E58" t="inlineStr">
        <is>
          <t>https://lpjk.pu.go.id/search-badan-usaha-detail/RlFHRkZCTEkzOTZIQVYzaVdzNkFkQT09</t>
        </is>
      </c>
      <c r="F58" t="n">
        <v>3</v>
      </c>
      <c r="G58" t="inlineStr">
        <is>
          <t>BG001, BG002, BG003</t>
        </is>
      </c>
      <c r="H58" t="inlineStr">
        <is>
          <t>20 November 2002</t>
        </is>
      </c>
      <c r="I58" s="2" t="n">
        <v>46356</v>
      </c>
      <c r="J58" t="inlineStr">
        <is>
          <t>Disetujui</t>
        </is>
      </c>
      <c r="K58" t="n">
        <v>60</v>
      </c>
      <c r="L58" t="inlineStr">
        <is>
          <t>30 November 2026</t>
        </is>
      </c>
      <c r="M58" t="inlineStr">
        <is>
          <t>Konstruksi Gedung Hunian, Konstruksi Gedung Industri, Konstruksi Gedung Perkantoran</t>
        </is>
      </c>
      <c r="N58" t="inlineStr">
        <is>
          <t>K</t>
        </is>
      </c>
      <c r="O58" t="inlineStr">
        <is>
          <t>20231115, 20231123</t>
        </is>
      </c>
      <c r="P58" t="inlineStr">
        <is>
          <t>Jawa Tengah</t>
        </is>
      </c>
      <c r="Q58" t="inlineStr"/>
    </row>
    <row r="59">
      <c r="A59" t="inlineStr">
        <is>
          <t>MITRA TEHNIK</t>
        </is>
      </c>
      <c r="B59" t="inlineStr">
        <is>
          <t>Kab. Madiun</t>
        </is>
      </c>
      <c r="C59" t="inlineStr">
        <is>
          <t>089616714400</t>
        </is>
      </c>
      <c r="D59" t="inlineStr">
        <is>
          <t>mtehnik75@gmail.com</t>
        </is>
      </c>
      <c r="E59" t="inlineStr">
        <is>
          <t>https://lpjk.pu.go.id/search-badan-usaha-detail/NDE4aGVrTldFemowMUwyc3Ixd0R4UT09</t>
        </is>
      </c>
      <c r="F59" t="n">
        <v>4</v>
      </c>
      <c r="G59" t="inlineStr">
        <is>
          <t>BG006, BG009, BS004, BS010</t>
        </is>
      </c>
      <c r="H59" t="inlineStr">
        <is>
          <t>6 Agustus 2016</t>
        </is>
      </c>
      <c r="I59" s="2" t="n">
        <v>46356</v>
      </c>
      <c r="J59" t="inlineStr">
        <is>
          <t>Disetujui</t>
        </is>
      </c>
      <c r="K59" t="n">
        <v>60</v>
      </c>
      <c r="L59" t="inlineStr">
        <is>
          <t>30 November 2026</t>
        </is>
      </c>
      <c r="M59" t="inlineStr">
        <is>
          <t>Konstruksi Bangunan Prasarana Sumber Daya Air, Konstruksi Gedung Lainnya, Konstruksi Gedung Pendidikan, Konstruksi Jaringan Irigasi dan Drainase</t>
        </is>
      </c>
      <c r="N59" t="inlineStr">
        <is>
          <t>K</t>
        </is>
      </c>
      <c r="O59" t="inlineStr">
        <is>
          <t>20231130, 20231201</t>
        </is>
      </c>
      <c r="P59" t="inlineStr">
        <is>
          <t>Jawa Timur</t>
        </is>
      </c>
      <c r="Q59" t="inlineStr"/>
    </row>
    <row r="60">
      <c r="A60" t="inlineStr">
        <is>
          <t>MOJO WIJAYA KARYA</t>
        </is>
      </c>
      <c r="B60" t="inlineStr">
        <is>
          <t>Kota Kupang</t>
        </is>
      </c>
      <c r="C60" t="inlineStr">
        <is>
          <t>08123991257</t>
        </is>
      </c>
      <c r="D60" t="inlineStr">
        <is>
          <t>mojo_wijaya@yahoo.com</t>
        </is>
      </c>
      <c r="E60" t="inlineStr">
        <is>
          <t>https://lpjk.pu.go.id/search-badan-usaha-detail/Qmx3VklHeXlZWFBsOU84dG5pZW9xdz09</t>
        </is>
      </c>
      <c r="F60" t="n">
        <v>3</v>
      </c>
      <c r="G60" t="inlineStr">
        <is>
          <t>BG005, BG006, BS001</t>
        </is>
      </c>
      <c r="H60" t="inlineStr">
        <is>
          <t>27 Januari 2005</t>
        </is>
      </c>
      <c r="I60" s="2" t="n">
        <v>46356</v>
      </c>
      <c r="J60" t="inlineStr">
        <is>
          <t>Pembekuan</t>
        </is>
      </c>
      <c r="K60" t="n">
        <v>60</v>
      </c>
      <c r="L60" t="inlineStr">
        <is>
          <t>30 November 2026</t>
        </is>
      </c>
      <c r="M60" t="inlineStr">
        <is>
          <t>Konstruksi Bangunan Sipil Jalan, Konstruksi Gedung Kesehatan, Konstruksi Gedung Pendidikan</t>
        </is>
      </c>
      <c r="N60" t="inlineStr">
        <is>
          <t>M</t>
        </is>
      </c>
      <c r="O60" t="inlineStr">
        <is>
          <t>20231130, 20231201</t>
        </is>
      </c>
      <c r="P60" t="inlineStr">
        <is>
          <t>Nusa Tenggara Timur</t>
        </is>
      </c>
      <c r="Q60" t="inlineStr"/>
    </row>
    <row r="61">
      <c r="A61" t="inlineStr">
        <is>
          <t>MUARA MITRA MANDIRI</t>
        </is>
      </c>
      <c r="B61" t="inlineStr">
        <is>
          <t>Kab. Sleman</t>
        </is>
      </c>
      <c r="C61" t="inlineStr">
        <is>
          <t>02744462655</t>
        </is>
      </c>
      <c r="D61" t="inlineStr">
        <is>
          <t>muaramitramandiri@yahoo.com</t>
        </is>
      </c>
      <c r="E61" t="inlineStr">
        <is>
          <t>https://lpjk.pu.go.id/search-badan-usaha-detail/bjluSmRQek9HVlRacHU2a2FYQUNhdz09</t>
        </is>
      </c>
      <c r="F61" t="n">
        <v>4</v>
      </c>
      <c r="G61" t="inlineStr">
        <is>
          <t>BG002, BG005, BG006, BG009</t>
        </is>
      </c>
      <c r="H61" t="inlineStr">
        <is>
          <t>26 September 2008</t>
        </is>
      </c>
      <c r="I61" s="2" t="n">
        <v>46356</v>
      </c>
      <c r="J61" t="inlineStr">
        <is>
          <t>Disetujui</t>
        </is>
      </c>
      <c r="K61" t="n">
        <v>60</v>
      </c>
      <c r="L61" t="inlineStr">
        <is>
          <t>30 November 2026</t>
        </is>
      </c>
      <c r="M61" t="inlineStr">
        <is>
          <t>Konstruksi Gedung Kesehatan, Konstruksi Gedung Lainnya, Konstruksi Gedung Pendidikan, Konstruksi Gedung Perkantoran</t>
        </is>
      </c>
      <c r="N61" t="inlineStr">
        <is>
          <t>B, M</t>
        </is>
      </c>
      <c r="O61" t="inlineStr">
        <is>
          <t>20231103, 20231106, 20231128, 20231129</t>
        </is>
      </c>
      <c r="P61" t="inlineStr">
        <is>
          <t>DI Yogyakarta</t>
        </is>
      </c>
      <c r="Q61" t="inlineStr"/>
    </row>
    <row r="62">
      <c r="A62" t="inlineStr">
        <is>
          <t>MULYA JAYA ABADI</t>
        </is>
      </c>
      <c r="B62" t="inlineStr">
        <is>
          <t>Kab. Hulu Sungai Utara</t>
        </is>
      </c>
      <c r="C62" t="inlineStr">
        <is>
          <t>085332509284</t>
        </is>
      </c>
      <c r="D62" t="inlineStr">
        <is>
          <t>mulyajayaabadi15@gmail.com</t>
        </is>
      </c>
      <c r="E62" t="inlineStr">
        <is>
          <t>https://lpjk.pu.go.id/search-badan-usaha-detail/UGVSdmxrVjZhSWxaMFBqUTZuR0JBUT09</t>
        </is>
      </c>
      <c r="F62" t="n">
        <v>3</v>
      </c>
      <c r="G62" t="inlineStr">
        <is>
          <t>BG001, BG002, BG009</t>
        </is>
      </c>
      <c r="H62" t="inlineStr">
        <is>
          <t>12 Februari 2009</t>
        </is>
      </c>
      <c r="I62" s="2" t="n">
        <v>46356</v>
      </c>
      <c r="J62" t="inlineStr">
        <is>
          <t>Disetujui</t>
        </is>
      </c>
      <c r="K62" t="n">
        <v>60</v>
      </c>
      <c r="L62" t="inlineStr">
        <is>
          <t>30 November 2026</t>
        </is>
      </c>
      <c r="M62" t="inlineStr">
        <is>
          <t>Konstruksi Gedung Hunian, Konstruksi Gedung Lainnya, Konstruksi Gedung Perkantoran</t>
        </is>
      </c>
      <c r="N62" t="inlineStr">
        <is>
          <t>K</t>
        </is>
      </c>
      <c r="O62" t="inlineStr">
        <is>
          <t>20230831, 20230904, 20231128</t>
        </is>
      </c>
      <c r="P62" t="inlineStr">
        <is>
          <t>Kalimantan Selatan</t>
        </is>
      </c>
      <c r="Q62" t="inlineStr"/>
    </row>
    <row r="63">
      <c r="A63" t="inlineStr">
        <is>
          <t>MUTIARA SERASAN</t>
        </is>
      </c>
      <c r="B63" t="inlineStr">
        <is>
          <t>Kab. Muara Enim</t>
        </is>
      </c>
      <c r="C63" t="inlineStr">
        <is>
          <t>08989287188</t>
        </is>
      </c>
      <c r="D63" t="inlineStr">
        <is>
          <t>mutiaraserasan@gmail.com</t>
        </is>
      </c>
      <c r="E63" t="inlineStr">
        <is>
          <t>https://lpjk.pu.go.id/search-badan-usaha-detail/ZEhLR1NjQW45T3F0T0pWT05PMFQ1Zz09</t>
        </is>
      </c>
      <c r="F63" t="n">
        <v>4</v>
      </c>
      <c r="G63" t="inlineStr">
        <is>
          <t>BG009, BS004</t>
        </is>
      </c>
      <c r="H63" t="inlineStr">
        <is>
          <t>28 Maret 2023</t>
        </is>
      </c>
      <c r="I63" s="2" t="n">
        <v>46356</v>
      </c>
      <c r="J63" t="inlineStr">
        <is>
          <t>Disetujui</t>
        </is>
      </c>
      <c r="K63" t="n">
        <v>60</v>
      </c>
      <c r="L63" t="inlineStr">
        <is>
          <t>30 November 2026</t>
        </is>
      </c>
      <c r="M63" t="inlineStr">
        <is>
          <t>Konstruksi Gedung Lainnya, Konstruksi Jaringan Irigasi dan Drainase</t>
        </is>
      </c>
      <c r="N63" t="inlineStr">
        <is>
          <t>K</t>
        </is>
      </c>
      <c r="O63" t="inlineStr">
        <is>
          <t>20231121</t>
        </is>
      </c>
      <c r="P63" t="inlineStr">
        <is>
          <t>Sumatera Selatan</t>
        </is>
      </c>
      <c r="Q63" t="inlineStr"/>
    </row>
    <row r="64">
      <c r="A64" t="inlineStr">
        <is>
          <t>NAGA BODAS PAMUNGKAS</t>
        </is>
      </c>
      <c r="B64" t="inlineStr">
        <is>
          <t>Kab. Bandung</t>
        </is>
      </c>
      <c r="C64" t="inlineStr">
        <is>
          <t>081320050303</t>
        </is>
      </c>
      <c r="D64" t="inlineStr">
        <is>
          <t>nagabodaspamungkas@gmail.com</t>
        </is>
      </c>
      <c r="E64" t="inlineStr">
        <is>
          <t>https://lpjk.pu.go.id/search-badan-usaha-detail/REc0ZlpoUkp1ZFNYNlcxamh1aUxWZz09</t>
        </is>
      </c>
      <c r="F64" t="n">
        <v>7</v>
      </c>
      <c r="G64" t="inlineStr">
        <is>
          <t>BG005, BG006, BG009, BS001, BS004, BS005, BS006</t>
        </is>
      </c>
      <c r="H64" t="inlineStr">
        <is>
          <t>24 Oktober 2023</t>
        </is>
      </c>
      <c r="I64" s="2" t="n">
        <v>46356</v>
      </c>
      <c r="J64" t="inlineStr">
        <is>
          <t>Disetujui</t>
        </is>
      </c>
      <c r="K64" t="n">
        <v>60</v>
      </c>
      <c r="L64" t="inlineStr">
        <is>
          <t>30 November 2026</t>
        </is>
      </c>
      <c r="M64" t="inlineStr">
        <is>
          <t>Konstruksi Bangunan Sipil Jalan, Konstruksi Bangunan Sipil Pengolahan Air Bersih, Konstruksi Bangunan Sipil Prasarana dan Sarana Sistem Pengolahan Limbah Padat, Cair, dan Gas, Konstruksi Gedung Kesehatan, Konstruksi Gedung Lainnya, Konstruksi Gedung Pendidikan, Konstruksi Jaringan Irigasi dan Drainase</t>
        </is>
      </c>
      <c r="N64" t="inlineStr">
        <is>
          <t>K</t>
        </is>
      </c>
      <c r="O64" t="inlineStr">
        <is>
          <t>20231130</t>
        </is>
      </c>
      <c r="P64" t="inlineStr">
        <is>
          <t>Jawa Barat</t>
        </is>
      </c>
      <c r="Q64" t="inlineStr"/>
    </row>
    <row r="65">
      <c r="A65" t="inlineStr">
        <is>
          <t>NURUL JANNAH</t>
        </is>
      </c>
      <c r="B65" t="inlineStr">
        <is>
          <t>Kota Balikpapan</t>
        </is>
      </c>
      <c r="C65" t="inlineStr">
        <is>
          <t>081235531695</t>
        </is>
      </c>
      <c r="D65" t="inlineStr">
        <is>
          <t>cvnuruljannah@gmail.com</t>
        </is>
      </c>
      <c r="E65" t="inlineStr">
        <is>
          <t>https://lpjk.pu.go.id/search-badan-usaha-detail/a1AxamZ6YUVIdmF1Z1owVTYwT0l5dz09</t>
        </is>
      </c>
      <c r="F65" t="n">
        <v>3</v>
      </c>
      <c r="G65" t="inlineStr">
        <is>
          <t>BG006, BG009, BS001</t>
        </is>
      </c>
      <c r="H65" t="inlineStr">
        <is>
          <t>12 Oktober 2015</t>
        </is>
      </c>
      <c r="I65" s="2" t="n">
        <v>46356</v>
      </c>
      <c r="J65" t="inlineStr">
        <is>
          <t>Disetujui</t>
        </is>
      </c>
      <c r="K65" t="n">
        <v>60</v>
      </c>
      <c r="L65" t="inlineStr">
        <is>
          <t>30 November 2026</t>
        </is>
      </c>
      <c r="M65" t="inlineStr">
        <is>
          <t>Konstruksi Bangunan Sipil Jalan, Konstruksi Gedung Lainnya, Konstruksi Gedung Pendidikan</t>
        </is>
      </c>
      <c r="N65" t="inlineStr">
        <is>
          <t>K</t>
        </is>
      </c>
      <c r="O65" t="inlineStr">
        <is>
          <t>20231130</t>
        </is>
      </c>
      <c r="P65" t="inlineStr">
        <is>
          <t>Kalimantan Timur</t>
        </is>
      </c>
      <c r="Q65" t="inlineStr"/>
    </row>
    <row r="66">
      <c r="A66" t="inlineStr">
        <is>
          <t>PANDAWA PERKASA SURYA</t>
        </is>
      </c>
      <c r="B66" t="inlineStr">
        <is>
          <t>Kab. Bengkalis</t>
        </is>
      </c>
      <c r="C66" t="inlineStr">
        <is>
          <t>085274058164</t>
        </is>
      </c>
      <c r="D66" t="inlineStr">
        <is>
          <t>misgiono1976@gmail.com</t>
        </is>
      </c>
      <c r="E66" t="inlineStr">
        <is>
          <t>https://lpjk.pu.go.id/search-badan-usaha-detail/dFFsM1pjYk1qTXhFUytmK1VtYWtmQT09</t>
        </is>
      </c>
      <c r="F66" t="n">
        <v>8</v>
      </c>
      <c r="G66" t="inlineStr">
        <is>
          <t>BG005, BG009, BS001, BS004</t>
        </is>
      </c>
      <c r="H66" t="inlineStr">
        <is>
          <t>27 September 2013</t>
        </is>
      </c>
      <c r="I66" s="2" t="n">
        <v>46356</v>
      </c>
      <c r="J66" t="inlineStr">
        <is>
          <t>Disetujui</t>
        </is>
      </c>
      <c r="K66" t="n">
        <v>60</v>
      </c>
      <c r="L66" t="inlineStr">
        <is>
          <t>30 November 2026</t>
        </is>
      </c>
      <c r="M66" t="inlineStr">
        <is>
          <t>Konstruksi Bangunan Sipil Jalan, Konstruksi Gedung Kesehatan, Konstruksi Gedung Lainnya, Konstruksi Jaringan Irigasi dan Drainase</t>
        </is>
      </c>
      <c r="N66" t="inlineStr">
        <is>
          <t>K</t>
        </is>
      </c>
      <c r="O66" t="inlineStr">
        <is>
          <t>20231121</t>
        </is>
      </c>
      <c r="P66" t="inlineStr">
        <is>
          <t>Riau</t>
        </is>
      </c>
      <c r="Q66" t="inlineStr"/>
    </row>
    <row r="67">
      <c r="A67" t="inlineStr">
        <is>
          <t>POWERINDO LEMBAH TIDAR</t>
        </is>
      </c>
      <c r="B67" t="inlineStr">
        <is>
          <t>Kab. Bangka Selatan</t>
        </is>
      </c>
      <c r="C67" t="inlineStr">
        <is>
          <t>08121882001</t>
        </is>
      </c>
      <c r="D67" t="inlineStr">
        <is>
          <t>powerindolembahtidar@gmail.com</t>
        </is>
      </c>
      <c r="E67" t="inlineStr">
        <is>
          <t>https://lpjk.pu.go.id/search-badan-usaha-detail/bXljYXlNSjlLNHQxM3IvWTVEWldVZz09</t>
        </is>
      </c>
      <c r="F67" t="n">
        <v>4</v>
      </c>
      <c r="G67" t="inlineStr">
        <is>
          <t>BG001, BG003</t>
        </is>
      </c>
      <c r="H67" t="inlineStr">
        <is>
          <t>26 Agustus 2021</t>
        </is>
      </c>
      <c r="I67" s="2" t="n">
        <v>46356</v>
      </c>
      <c r="J67" t="inlineStr">
        <is>
          <t>Disetujui</t>
        </is>
      </c>
      <c r="K67" t="n">
        <v>60</v>
      </c>
      <c r="L67" t="inlineStr">
        <is>
          <t>30 November 2026</t>
        </is>
      </c>
      <c r="M67" t="inlineStr">
        <is>
          <t>Konstruksi Gedung Hunian, Konstruksi Gedung Industri</t>
        </is>
      </c>
      <c r="N67" t="inlineStr">
        <is>
          <t>K</t>
        </is>
      </c>
      <c r="O67" t="inlineStr">
        <is>
          <t>20231128</t>
        </is>
      </c>
      <c r="P67" t="inlineStr">
        <is>
          <t>Kepulauan Bangka Belitung</t>
        </is>
      </c>
      <c r="Q67" t="inlineStr"/>
    </row>
    <row r="68">
      <c r="A68" t="inlineStr">
        <is>
          <t>PRANATADIATAMA JAYA ABADI</t>
        </is>
      </c>
      <c r="B68" t="inlineStr">
        <is>
          <t>Kab. Kotawaringin Timur</t>
        </is>
      </c>
      <c r="C68" t="inlineStr">
        <is>
          <t>0895383314260</t>
        </is>
      </c>
      <c r="D68" t="inlineStr">
        <is>
          <t>cv.pranatadiatama.jaya.abadi@gmail.com</t>
        </is>
      </c>
      <c r="E68" t="inlineStr">
        <is>
          <t>https://lpjk.pu.go.id/search-badan-usaha-detail/YVhlckNsemdCTkc5R0FURGYwSW9LQT09</t>
        </is>
      </c>
      <c r="F68" t="n">
        <v>2</v>
      </c>
      <c r="G68" t="inlineStr">
        <is>
          <t>BS001</t>
        </is>
      </c>
      <c r="H68" t="inlineStr">
        <is>
          <t>14 November 2023</t>
        </is>
      </c>
      <c r="I68" s="2" t="n">
        <v>46356</v>
      </c>
      <c r="J68" t="inlineStr">
        <is>
          <t>Disetujui</t>
        </is>
      </c>
      <c r="K68" t="n">
        <v>60</v>
      </c>
      <c r="L68" t="inlineStr">
        <is>
          <t>30 November 2026</t>
        </is>
      </c>
      <c r="M68" t="inlineStr">
        <is>
          <t>Konstruksi Bangunan Sipil Jalan</t>
        </is>
      </c>
      <c r="N68" t="inlineStr">
        <is>
          <t>K</t>
        </is>
      </c>
      <c r="O68" t="inlineStr">
        <is>
          <t>20231129</t>
        </is>
      </c>
      <c r="P68" t="inlineStr">
        <is>
          <t>Kalimantan Tengah</t>
        </is>
      </c>
      <c r="Q68" t="inlineStr"/>
    </row>
    <row r="69">
      <c r="A69" t="inlineStr">
        <is>
          <t>PRIMA KARYA MANDIRI</t>
        </is>
      </c>
      <c r="B69" t="inlineStr">
        <is>
          <t>Kota Bontang</t>
        </is>
      </c>
      <c r="C69" t="inlineStr">
        <is>
          <t>085246602240</t>
        </is>
      </c>
      <c r="D69" t="inlineStr">
        <is>
          <t>cv.pkmbontang@yahoo.com</t>
        </is>
      </c>
      <c r="E69" t="inlineStr">
        <is>
          <t>https://lpjk.pu.go.id/search-badan-usaha-detail/SFN1RTE1TjFLNEh0RmRPVEVIRFh0Zz09</t>
        </is>
      </c>
      <c r="F69" t="n">
        <v>3</v>
      </c>
      <c r="G69" t="inlineStr">
        <is>
          <t>BS001, BS004, BS016</t>
        </is>
      </c>
      <c r="H69" t="inlineStr">
        <is>
          <t>3 Agustus 2012</t>
        </is>
      </c>
      <c r="I69" s="2" t="n">
        <v>46356</v>
      </c>
      <c r="J69" t="inlineStr">
        <is>
          <t>Disetujui</t>
        </is>
      </c>
      <c r="K69" t="n">
        <v>60</v>
      </c>
      <c r="L69" t="inlineStr">
        <is>
          <t>30 November 2026</t>
        </is>
      </c>
      <c r="M69" t="inlineStr">
        <is>
          <t>Konstruksi Bangunan Sipil Fasilitas Olah Raga, Konstruksi Bangunan Sipil Jalan, Konstruksi Jaringan Irigasi dan Drainase</t>
        </is>
      </c>
      <c r="N69" t="inlineStr">
        <is>
          <t>K</t>
        </is>
      </c>
      <c r="O69" t="inlineStr">
        <is>
          <t>20231130, 20231201</t>
        </is>
      </c>
      <c r="P69" t="inlineStr">
        <is>
          <t>Kalimantan Timur</t>
        </is>
      </c>
      <c r="Q69" t="inlineStr"/>
    </row>
    <row r="70">
      <c r="A70" t="inlineStr">
        <is>
          <t>PUNCAK SEJAHTERA ABADI</t>
        </is>
      </c>
      <c r="B70" t="inlineStr">
        <is>
          <t>Kab. Merauke</t>
        </is>
      </c>
      <c r="C70" t="inlineStr">
        <is>
          <t>082141049134</t>
        </is>
      </c>
      <c r="D70" t="inlineStr">
        <is>
          <t>rikaujuto@gmail.com</t>
        </is>
      </c>
      <c r="E70" t="inlineStr">
        <is>
          <t>https://lpjk.pu.go.id/search-badan-usaha-detail/a0ZzU2N1N3QyNlFndW16eXJOSzZ5dz09</t>
        </is>
      </c>
      <c r="F70" t="n">
        <v>1</v>
      </c>
      <c r="G70" t="inlineStr">
        <is>
          <t>BG006</t>
        </is>
      </c>
      <c r="H70" t="inlineStr">
        <is>
          <t>12 Desember 2014</t>
        </is>
      </c>
      <c r="I70" s="2" t="n">
        <v>46356</v>
      </c>
      <c r="J70" t="inlineStr">
        <is>
          <t>Disetujui</t>
        </is>
      </c>
      <c r="K70" t="n">
        <v>60</v>
      </c>
      <c r="L70" t="inlineStr">
        <is>
          <t>30 November 2026</t>
        </is>
      </c>
      <c r="M70" t="inlineStr">
        <is>
          <t>Konstruksi Gedung Pendidikan</t>
        </is>
      </c>
      <c r="N70" t="inlineStr">
        <is>
          <t>M</t>
        </is>
      </c>
      <c r="O70" t="inlineStr">
        <is>
          <t>20230801</t>
        </is>
      </c>
      <c r="P70" t="inlineStr">
        <is>
          <t>Papua Selatan</t>
        </is>
      </c>
      <c r="Q70" t="inlineStr"/>
    </row>
    <row r="71">
      <c r="A71" t="inlineStr">
        <is>
          <t>PURNAMA</t>
        </is>
      </c>
      <c r="B71" t="inlineStr">
        <is>
          <t>Kota Surabaya</t>
        </is>
      </c>
      <c r="C71" t="inlineStr">
        <is>
          <t>0317420346</t>
        </is>
      </c>
      <c r="D71" t="inlineStr">
        <is>
          <t>purnamamanukan22@gmail.com</t>
        </is>
      </c>
      <c r="E71" t="inlineStr">
        <is>
          <t>https://lpjk.pu.go.id/search-badan-usaha-detail/WVFTanUybjlPZFVjOVNwZTZWMHVRQT09</t>
        </is>
      </c>
      <c r="F71" t="n">
        <v>4</v>
      </c>
      <c r="G71" t="inlineStr">
        <is>
          <t>BG005, BS001</t>
        </is>
      </c>
      <c r="H71" t="inlineStr">
        <is>
          <t>22 Juli 2005</t>
        </is>
      </c>
      <c r="I71" s="2" t="n">
        <v>46356</v>
      </c>
      <c r="J71" t="inlineStr">
        <is>
          <t>Disetujui</t>
        </is>
      </c>
      <c r="K71" t="n">
        <v>60</v>
      </c>
      <c r="L71" t="inlineStr">
        <is>
          <t>30 November 2026</t>
        </is>
      </c>
      <c r="M71" t="inlineStr">
        <is>
          <t>Konstruksi Bangunan Sipil Jalan, Konstruksi Gedung Kesehatan</t>
        </is>
      </c>
      <c r="N71" t="inlineStr">
        <is>
          <t>K</t>
        </is>
      </c>
      <c r="O71" t="inlineStr">
        <is>
          <t>20231116, 20231201</t>
        </is>
      </c>
      <c r="P71" t="inlineStr">
        <is>
          <t>Jawa Timur</t>
        </is>
      </c>
      <c r="Q71" t="inlineStr"/>
    </row>
    <row r="72">
      <c r="A72" t="inlineStr">
        <is>
          <t>PURNAMA RAYA ABADI</t>
        </is>
      </c>
      <c r="B72" t="inlineStr">
        <is>
          <t>Kab. Sidoarjo</t>
        </is>
      </c>
      <c r="C72" t="inlineStr">
        <is>
          <t>081332281777</t>
        </is>
      </c>
      <c r="D72" t="inlineStr">
        <is>
          <t>purnamaraya.abadi01@gmail.com</t>
        </is>
      </c>
      <c r="E72" t="inlineStr">
        <is>
          <t>https://lpjk.pu.go.id/search-badan-usaha-detail/b1llV0V3b2hTeXM2QWpsZlZleEROZz09</t>
        </is>
      </c>
      <c r="F72" t="n">
        <v>2</v>
      </c>
      <c r="G72" t="inlineStr">
        <is>
          <t>BG006</t>
        </is>
      </c>
      <c r="H72" t="inlineStr">
        <is>
          <t>29 Februari 2016</t>
        </is>
      </c>
      <c r="I72" s="2" t="n">
        <v>46356</v>
      </c>
      <c r="J72" t="inlineStr">
        <is>
          <t>Disetujui</t>
        </is>
      </c>
      <c r="K72" t="n">
        <v>60</v>
      </c>
      <c r="L72" t="inlineStr">
        <is>
          <t>30 November 2026</t>
        </is>
      </c>
      <c r="M72" t="inlineStr">
        <is>
          <t>Konstruksi Gedung Pendidikan</t>
        </is>
      </c>
      <c r="N72" t="inlineStr">
        <is>
          <t>K</t>
        </is>
      </c>
      <c r="O72" t="inlineStr">
        <is>
          <t>20231129</t>
        </is>
      </c>
      <c r="P72" t="inlineStr">
        <is>
          <t>Jawa Timur</t>
        </is>
      </c>
      <c r="Q72" t="inlineStr"/>
    </row>
    <row r="73">
      <c r="A73" t="inlineStr">
        <is>
          <t>PUTRA ELSA MANDIRI</t>
        </is>
      </c>
      <c r="B73" t="inlineStr">
        <is>
          <t>Kota Bukittinggi</t>
        </is>
      </c>
      <c r="C73" t="inlineStr">
        <is>
          <t>08126726779</t>
        </is>
      </c>
      <c r="D73" t="inlineStr">
        <is>
          <t>putra.em@gmail.com</t>
        </is>
      </c>
      <c r="E73" t="inlineStr">
        <is>
          <t>https://lpjk.pu.go.id/search-badan-usaha-detail/VXFWdTEyRkg1N3FXRXhicDNqODFDZz09</t>
        </is>
      </c>
      <c r="F73" t="n">
        <v>1</v>
      </c>
      <c r="G73" t="inlineStr">
        <is>
          <t>BG005</t>
        </is>
      </c>
      <c r="H73" t="inlineStr">
        <is>
          <t>11 September 2002</t>
        </is>
      </c>
      <c r="I73" s="2" t="n">
        <v>46356</v>
      </c>
      <c r="J73" t="inlineStr">
        <is>
          <t>Disetujui</t>
        </is>
      </c>
      <c r="K73" t="n">
        <v>60</v>
      </c>
      <c r="L73" t="inlineStr">
        <is>
          <t>30 November 2026</t>
        </is>
      </c>
      <c r="M73" t="inlineStr">
        <is>
          <t>Konstruksi Gedung Kesehatan</t>
        </is>
      </c>
      <c r="N73" t="inlineStr">
        <is>
          <t>K</t>
        </is>
      </c>
      <c r="O73" t="inlineStr">
        <is>
          <t>20231120</t>
        </is>
      </c>
      <c r="P73" t="inlineStr">
        <is>
          <t>Sumatera Barat</t>
        </is>
      </c>
      <c r="Q73" t="inlineStr"/>
    </row>
    <row r="74">
      <c r="A74" t="inlineStr">
        <is>
          <t>SANDY ENGINEERING CONSULTANT</t>
        </is>
      </c>
      <c r="B74" t="inlineStr">
        <is>
          <t>Kota Bengkulu</t>
        </is>
      </c>
      <c r="C74" t="inlineStr">
        <is>
          <t>085381999584</t>
        </is>
      </c>
      <c r="D74" t="inlineStr">
        <is>
          <t>sanecoconsultant@rocketmail.com</t>
        </is>
      </c>
      <c r="E74" t="inlineStr">
        <is>
          <t>https://lpjk.pu.go.id/search-badan-usaha-detail/TkVsVnY2KytDeFMxSUxucWt2cUZlUT09</t>
        </is>
      </c>
      <c r="F74" t="n">
        <v>3</v>
      </c>
      <c r="G74" t="inlineStr">
        <is>
          <t>RK001, RK002, RK003</t>
        </is>
      </c>
      <c r="H74" t="inlineStr">
        <is>
          <t>22 Juni 2012</t>
        </is>
      </c>
      <c r="I74" s="2" t="n">
        <v>46356</v>
      </c>
      <c r="J74" t="inlineStr">
        <is>
          <t>Disetujui</t>
        </is>
      </c>
      <c r="K74" t="n">
        <v>60</v>
      </c>
      <c r="L74" t="inlineStr">
        <is>
          <t>30 November 2026</t>
        </is>
      </c>
      <c r="M74" t="inlineStr">
        <is>
          <t>Jasa Rekayasa Konstruksi Bangunan Gedung Hunian dan Non Hunian, Jasa Rekayasa Pekerjaan Teknik Sipil Sumber Daya Air, Jasa Rekayasa Pekerjaan Teknik Sipil Transportasi</t>
        </is>
      </c>
      <c r="N74" t="inlineStr">
        <is>
          <t>K</t>
        </is>
      </c>
      <c r="O74" t="inlineStr">
        <is>
          <t>20231101</t>
        </is>
      </c>
      <c r="P74" t="inlineStr">
        <is>
          <t>Bengkulu</t>
        </is>
      </c>
      <c r="Q74" t="inlineStr"/>
    </row>
    <row r="75">
      <c r="A75" t="inlineStr">
        <is>
          <t>SARI MUNCUL MEGUNUNG</t>
        </is>
      </c>
      <c r="B75" t="inlineStr">
        <is>
          <t>Kab. Gianyar</t>
        </is>
      </c>
      <c r="C75" t="inlineStr">
        <is>
          <t>0811386443</t>
        </is>
      </c>
      <c r="D75" t="inlineStr">
        <is>
          <t>munculmegunung38@gmail.com</t>
        </is>
      </c>
      <c r="E75" t="inlineStr">
        <is>
          <t>https://lpjk.pu.go.id/search-badan-usaha-detail/NWxGV0pPdVpZQ091SURqNDY3bGxwQT09</t>
        </is>
      </c>
      <c r="F75" t="n">
        <v>1</v>
      </c>
      <c r="G75" t="inlineStr">
        <is>
          <t>BS001</t>
        </is>
      </c>
      <c r="H75" t="inlineStr">
        <is>
          <t>5 Maret 2008</t>
        </is>
      </c>
      <c r="I75" s="2" t="n">
        <v>46356</v>
      </c>
      <c r="J75" t="inlineStr">
        <is>
          <t>Disetujui</t>
        </is>
      </c>
      <c r="K75" t="n">
        <v>60</v>
      </c>
      <c r="L75" t="inlineStr">
        <is>
          <t>30 November 2026</t>
        </is>
      </c>
      <c r="M75" t="inlineStr">
        <is>
          <t>Konstruksi Bangunan Sipil Jalan</t>
        </is>
      </c>
      <c r="N75" t="inlineStr">
        <is>
          <t>K</t>
        </is>
      </c>
      <c r="O75" t="inlineStr">
        <is>
          <t>20230729</t>
        </is>
      </c>
      <c r="P75" t="inlineStr">
        <is>
          <t>Bali</t>
        </is>
      </c>
      <c r="Q75" t="inlineStr"/>
    </row>
    <row r="76">
      <c r="A76" t="inlineStr">
        <is>
          <t>SATRIA BUANA PAMULA SAKTI</t>
        </is>
      </c>
      <c r="B76" t="inlineStr">
        <is>
          <t>Kab. Banyumas</t>
        </is>
      </c>
      <c r="C76" t="inlineStr">
        <is>
          <t>02816844586</t>
        </is>
      </c>
      <c r="D76" t="inlineStr">
        <is>
          <t>buana_satria001@yahoo.co.id</t>
        </is>
      </c>
      <c r="E76" t="inlineStr">
        <is>
          <t>https://lpjk.pu.go.id/search-badan-usaha-detail/MDY1SUQvNjZqMkhFRkk4b2hSTHNLZz09</t>
        </is>
      </c>
      <c r="F76" t="n">
        <v>1</v>
      </c>
      <c r="G76" t="inlineStr">
        <is>
          <t>BS001</t>
        </is>
      </c>
      <c r="H76" t="inlineStr">
        <is>
          <t>10 Juli 2014</t>
        </is>
      </c>
      <c r="I76" s="2" t="n">
        <v>46356</v>
      </c>
      <c r="J76" t="inlineStr">
        <is>
          <t>Disetujui</t>
        </is>
      </c>
      <c r="K76" t="n">
        <v>60</v>
      </c>
      <c r="L76" t="inlineStr">
        <is>
          <t>30 November 2026</t>
        </is>
      </c>
      <c r="M76" t="inlineStr">
        <is>
          <t>Konstruksi Bangunan Sipil Jalan</t>
        </is>
      </c>
      <c r="N76" t="inlineStr">
        <is>
          <t>B</t>
        </is>
      </c>
      <c r="O76" t="inlineStr">
        <is>
          <t>20231127</t>
        </is>
      </c>
      <c r="P76" t="inlineStr">
        <is>
          <t>Jawa Tengah</t>
        </is>
      </c>
      <c r="Q76" t="inlineStr"/>
    </row>
    <row r="77">
      <c r="A77" t="inlineStr">
        <is>
          <t>SIMA SAHALA SEJAHTERA</t>
        </is>
      </c>
      <c r="B77" t="inlineStr">
        <is>
          <t>Kota Medan</t>
        </is>
      </c>
      <c r="C77" t="inlineStr">
        <is>
          <t>08122700614</t>
        </is>
      </c>
      <c r="D77" t="inlineStr">
        <is>
          <t>simaarnold9@gmail.com</t>
        </is>
      </c>
      <c r="E77" t="inlineStr">
        <is>
          <t>https://lpjk.pu.go.id/search-badan-usaha-detail/MjZUS0MrR2kyNUZjZnVlQm5lcmU3QT09</t>
        </is>
      </c>
      <c r="F77" t="n">
        <v>2</v>
      </c>
      <c r="G77" t="inlineStr">
        <is>
          <t>BG001, BG002</t>
        </is>
      </c>
      <c r="H77" t="inlineStr">
        <is>
          <t>5 Oktober 2023</t>
        </is>
      </c>
      <c r="I77" s="2" t="n">
        <v>46356</v>
      </c>
      <c r="J77" t="inlineStr">
        <is>
          <t>Pencabutan</t>
        </is>
      </c>
      <c r="K77" t="n">
        <v>60</v>
      </c>
      <c r="L77" t="inlineStr">
        <is>
          <t>30 November 2026</t>
        </is>
      </c>
      <c r="M77" t="inlineStr">
        <is>
          <t>Konstruksi Gedung Hunian, Konstruksi Gedung Perkantoran</t>
        </is>
      </c>
      <c r="N77" t="inlineStr">
        <is>
          <t>K</t>
        </is>
      </c>
      <c r="O77" t="inlineStr">
        <is>
          <t>20231126, 20231127</t>
        </is>
      </c>
      <c r="P77" t="inlineStr">
        <is>
          <t>Sumatera Utara</t>
        </is>
      </c>
      <c r="Q77" t="inlineStr"/>
    </row>
    <row r="78">
      <c r="A78" t="inlineStr">
        <is>
          <t>SINARSURYA LINTAS BENUA</t>
        </is>
      </c>
      <c r="B78" t="inlineStr">
        <is>
          <t>Kota Adm. Jakarta Utara</t>
        </is>
      </c>
      <c r="C78" t="inlineStr">
        <is>
          <t>021-6623392</t>
        </is>
      </c>
      <c r="D78" t="inlineStr">
        <is>
          <t>sinarsuryalintasbenua.25@gmail.com</t>
        </is>
      </c>
      <c r="E78" t="inlineStr">
        <is>
          <t>https://lpjk.pu.go.id/search-badan-usaha-detail/U2szMWVmNFRCSDl5bVNUdFVXTnNXUjlqSVlFdFRUMW5wbzVEREtEVEozdz0</t>
        </is>
      </c>
      <c r="F78" t="n">
        <v>5</v>
      </c>
      <c r="G78" t="inlineStr">
        <is>
          <t>BG001, BG002, BG004, BG005, BG007</t>
        </is>
      </c>
      <c r="H78" t="inlineStr">
        <is>
          <t>17 Juli 2023</t>
        </is>
      </c>
      <c r="I78" s="2" t="n">
        <v>46356</v>
      </c>
      <c r="J78" t="inlineStr">
        <is>
          <t>Disetujui</t>
        </is>
      </c>
      <c r="K78" t="n">
        <v>60</v>
      </c>
      <c r="L78" t="inlineStr">
        <is>
          <t>30 November 2026</t>
        </is>
      </c>
      <c r="M78" t="inlineStr">
        <is>
          <t>Konstruksi Gedung Hunian, Konstruksi Gedung Kesehatan, Konstruksi Gedung Penginapan, Konstruksi Gedung Perbelanjaan, Konstruksi Gedung Perkantoran</t>
        </is>
      </c>
      <c r="N78" t="inlineStr">
        <is>
          <t>K</t>
        </is>
      </c>
      <c r="O78" t="inlineStr">
        <is>
          <t>20231130</t>
        </is>
      </c>
      <c r="P78" t="inlineStr">
        <is>
          <t>DKI Jakarta</t>
        </is>
      </c>
      <c r="Q78" t="inlineStr"/>
    </row>
    <row r="79">
      <c r="A79" t="inlineStr">
        <is>
          <t>SOLUSI GUNA MANDIRI</t>
        </is>
      </c>
      <c r="B79" t="inlineStr">
        <is>
          <t>Kab. Banyuwangi</t>
        </is>
      </c>
      <c r="C79" t="inlineStr">
        <is>
          <t>082145357475</t>
        </is>
      </c>
      <c r="D79" t="inlineStr">
        <is>
          <t>sigmasolution326@gmail.com</t>
        </is>
      </c>
      <c r="E79" t="inlineStr">
        <is>
          <t>https://lpjk.pu.go.id/search-badan-usaha-detail/RjFEUVd0OHlwSHJ5K2ZPbmhpYytQUT09</t>
        </is>
      </c>
      <c r="F79" t="n">
        <v>2</v>
      </c>
      <c r="G79" t="inlineStr">
        <is>
          <t>BS001</t>
        </is>
      </c>
      <c r="H79" t="inlineStr">
        <is>
          <t>12 Maret 2022</t>
        </is>
      </c>
      <c r="I79" s="2" t="n">
        <v>46356</v>
      </c>
      <c r="J79" t="inlineStr">
        <is>
          <t>Disetujui</t>
        </is>
      </c>
      <c r="K79" t="n">
        <v>60</v>
      </c>
      <c r="L79" t="inlineStr">
        <is>
          <t>30 November 2026</t>
        </is>
      </c>
      <c r="M79" t="inlineStr">
        <is>
          <t>Konstruksi Bangunan Sipil Jalan</t>
        </is>
      </c>
      <c r="N79" t="inlineStr">
        <is>
          <t>K</t>
        </is>
      </c>
      <c r="O79" t="inlineStr">
        <is>
          <t>20231129</t>
        </is>
      </c>
      <c r="P79" t="inlineStr">
        <is>
          <t>Jawa Timur</t>
        </is>
      </c>
      <c r="Q79" t="inlineStr"/>
    </row>
    <row r="80">
      <c r="A80" t="inlineStr">
        <is>
          <t>TIGA BERLIAN BERSAUDARA</t>
        </is>
      </c>
      <c r="B80" t="inlineStr">
        <is>
          <t>Kab. Kubu Raya</t>
        </is>
      </c>
      <c r="C80" t="inlineStr">
        <is>
          <t>081352557979</t>
        </is>
      </c>
      <c r="D80" t="inlineStr">
        <is>
          <t>sahabattono@gmail.com</t>
        </is>
      </c>
      <c r="E80" t="inlineStr">
        <is>
          <t>https://lpjk.pu.go.id/search-badan-usaha-detail/RmFJVlZ0TU1ON0hBdFBSYmUrNlpydz09</t>
        </is>
      </c>
      <c r="F80" t="n">
        <v>3</v>
      </c>
      <c r="G80" t="inlineStr">
        <is>
          <t>BG006, BG009, BS004</t>
        </is>
      </c>
      <c r="H80" t="inlineStr">
        <is>
          <t>8 April 2008</t>
        </is>
      </c>
      <c r="I80" s="2" t="n">
        <v>46356</v>
      </c>
      <c r="J80" t="inlineStr">
        <is>
          <t>Disetujui</t>
        </is>
      </c>
      <c r="K80" t="n">
        <v>60</v>
      </c>
      <c r="L80" t="inlineStr">
        <is>
          <t>30 November 2026</t>
        </is>
      </c>
      <c r="M80" t="inlineStr">
        <is>
          <t>Konstruksi Gedung Lainnya, Konstruksi Gedung Pendidikan, Konstruksi Jaringan Irigasi dan Drainase</t>
        </is>
      </c>
      <c r="N80" t="inlineStr">
        <is>
          <t>K</t>
        </is>
      </c>
      <c r="O80" t="inlineStr">
        <is>
          <t>20231128, 20231130</t>
        </is>
      </c>
      <c r="P80" t="inlineStr">
        <is>
          <t>Kalimantan Barat</t>
        </is>
      </c>
      <c r="Q80" t="inlineStr"/>
    </row>
    <row r="81">
      <c r="A81" t="inlineStr">
        <is>
          <t>TIGA SAHABAT KONSTRUKSI</t>
        </is>
      </c>
      <c r="B81" t="inlineStr">
        <is>
          <t>Kota Jambi</t>
        </is>
      </c>
      <c r="C81" t="inlineStr">
        <is>
          <t>081366446688</t>
        </is>
      </c>
      <c r="D81" t="inlineStr">
        <is>
          <t>pt.tiga.sahabat.konstruksi@gmail.com</t>
        </is>
      </c>
      <c r="E81" t="inlineStr">
        <is>
          <t>https://lpjk.pu.go.id/search-badan-usaha-detail/UUpoNGhOV09oUzloUU9HVTlvTDVJZz09</t>
        </is>
      </c>
      <c r="F81" t="n">
        <v>2</v>
      </c>
      <c r="G81" t="inlineStr">
        <is>
          <t>BS002, BS010</t>
        </is>
      </c>
      <c r="H81" t="inlineStr">
        <is>
          <t>31 Mei 2023</t>
        </is>
      </c>
      <c r="I81" s="2" t="n">
        <v>46356</v>
      </c>
      <c r="J81" t="inlineStr">
        <is>
          <t>Disetujui</t>
        </is>
      </c>
      <c r="K81" t="n">
        <v>60</v>
      </c>
      <c r="L81" t="inlineStr">
        <is>
          <t>30 November 2026</t>
        </is>
      </c>
      <c r="M81" t="inlineStr">
        <is>
          <t>Bangunan Sipil Jembatan, Jalan Layang, Fly Over, dan Underpass, Konstruksi Bangunan Prasarana Sumber Daya Air</t>
        </is>
      </c>
      <c r="N81" t="inlineStr">
        <is>
          <t>K</t>
        </is>
      </c>
      <c r="O81" t="inlineStr">
        <is>
          <t>20231129</t>
        </is>
      </c>
      <c r="P81" t="inlineStr">
        <is>
          <t>Jambi</t>
        </is>
      </c>
      <c r="Q81" t="inlineStr"/>
    </row>
    <row r="82">
      <c r="A82" t="inlineStr">
        <is>
          <t>TIRTA BERLIAN</t>
        </is>
      </c>
      <c r="B82" t="inlineStr">
        <is>
          <t>Kab. Sumba Timur</t>
        </is>
      </c>
      <c r="C82" t="inlineStr">
        <is>
          <t>08124602125</t>
        </is>
      </c>
      <c r="D82" t="inlineStr">
        <is>
          <t>tirtaberlianwgp@gmail.com</t>
        </is>
      </c>
      <c r="E82" t="inlineStr">
        <is>
          <t>https://lpjk.pu.go.id/search-badan-usaha-detail/eCtCb21OdVZjTi9qUlpxQm5RZGUwQT09</t>
        </is>
      </c>
      <c r="F82" t="n">
        <v>1</v>
      </c>
      <c r="G82" t="inlineStr">
        <is>
          <t>BS002</t>
        </is>
      </c>
      <c r="H82" t="inlineStr">
        <is>
          <t>14 Oktober 1991</t>
        </is>
      </c>
      <c r="I82" s="2" t="n">
        <v>46356</v>
      </c>
      <c r="J82" t="inlineStr">
        <is>
          <t>Disetujui</t>
        </is>
      </c>
      <c r="K82" t="n">
        <v>60</v>
      </c>
      <c r="L82" t="inlineStr">
        <is>
          <t>30 November 2026</t>
        </is>
      </c>
      <c r="M82" t="inlineStr">
        <is>
          <t>Bangunan Sipil Jembatan, Jalan Layang, Fly Over, dan Underpass</t>
        </is>
      </c>
      <c r="N82" t="inlineStr">
        <is>
          <t>K</t>
        </is>
      </c>
      <c r="O82" t="inlineStr">
        <is>
          <t>20231121</t>
        </is>
      </c>
      <c r="P82" t="inlineStr">
        <is>
          <t>Nusa Tenggara Timur</t>
        </is>
      </c>
      <c r="Q82" t="inlineStr"/>
    </row>
    <row r="83">
      <c r="A83" t="inlineStr">
        <is>
          <t>TRANS TEHNIK GLOBAL</t>
        </is>
      </c>
      <c r="B83" t="inlineStr">
        <is>
          <t>Kota Cilegon</t>
        </is>
      </c>
      <c r="C83" t="inlineStr">
        <is>
          <t>-</t>
        </is>
      </c>
      <c r="D83" t="inlineStr">
        <is>
          <t>transteknikglobal2019@gmail.com</t>
        </is>
      </c>
      <c r="E83" t="inlineStr">
        <is>
          <t>https://lpjk.pu.go.id/search-badan-usaha-detail/T00wcHhFQWV1Z05sRnlEMU0xd0MrQT09</t>
        </is>
      </c>
      <c r="F83" t="n">
        <v>6</v>
      </c>
      <c r="G83" t="inlineStr">
        <is>
          <t>BG002, BG003, BG009</t>
        </is>
      </c>
      <c r="H83" t="inlineStr">
        <is>
          <t>24 Juli 2014</t>
        </is>
      </c>
      <c r="I83" s="2" t="n">
        <v>46356</v>
      </c>
      <c r="J83" t="inlineStr">
        <is>
          <t>Disetujui</t>
        </is>
      </c>
      <c r="K83" t="n">
        <v>60</v>
      </c>
      <c r="L83" t="inlineStr">
        <is>
          <t>30 November 2026</t>
        </is>
      </c>
      <c r="M83" t="inlineStr">
        <is>
          <t>Konstruksi Gedung Industri, Konstruksi Gedung Lainnya, Konstruksi Gedung Perkantoran</t>
        </is>
      </c>
      <c r="N83" t="inlineStr">
        <is>
          <t>K</t>
        </is>
      </c>
      <c r="O83" t="inlineStr">
        <is>
          <t>20231130</t>
        </is>
      </c>
      <c r="P83" t="inlineStr">
        <is>
          <t>Banten</t>
        </is>
      </c>
      <c r="Q83" t="inlineStr"/>
    </row>
    <row r="84">
      <c r="A84" t="inlineStr">
        <is>
          <t>TUAN MUDA</t>
        </is>
      </c>
      <c r="B84" t="inlineStr">
        <is>
          <t>Kab. Kayong Utara</t>
        </is>
      </c>
      <c r="C84" t="inlineStr">
        <is>
          <t>089694142003</t>
        </is>
      </c>
      <c r="D84" t="inlineStr">
        <is>
          <t>mudatuancv@gmail.com</t>
        </is>
      </c>
      <c r="E84" t="inlineStr">
        <is>
          <t>https://lpjk.pu.go.id/search-badan-usaha-detail/bDR0a1pVUWtKRGMvNW56L3FZY2UvZz09</t>
        </is>
      </c>
      <c r="F84" t="n">
        <v>1</v>
      </c>
      <c r="G84" t="inlineStr">
        <is>
          <t>BS004</t>
        </is>
      </c>
      <c r="H84" t="inlineStr">
        <is>
          <t>13 Juli 2020</t>
        </is>
      </c>
      <c r="I84" s="2" t="n">
        <v>46356</v>
      </c>
      <c r="J84" t="inlineStr">
        <is>
          <t>Pencabutan</t>
        </is>
      </c>
      <c r="K84" t="n">
        <v>60</v>
      </c>
      <c r="L84" t="inlineStr">
        <is>
          <t>30 November 2026</t>
        </is>
      </c>
      <c r="M84" t="inlineStr">
        <is>
          <t>Konstruksi Jaringan Irigasi dan Drainase</t>
        </is>
      </c>
      <c r="N84" t="inlineStr">
        <is>
          <t>K</t>
        </is>
      </c>
      <c r="O84" t="inlineStr">
        <is>
          <t>20230926</t>
        </is>
      </c>
      <c r="P84" t="inlineStr">
        <is>
          <t>Kalimantan Barat</t>
        </is>
      </c>
      <c r="Q84" t="inlineStr"/>
    </row>
    <row r="85">
      <c r="A85" t="inlineStr">
        <is>
          <t>UNIVERSAL BINTANG ANUGERAH</t>
        </is>
      </c>
      <c r="B85" t="inlineStr">
        <is>
          <t>Kab. Boalemo</t>
        </is>
      </c>
      <c r="C85" t="inlineStr">
        <is>
          <t>081244292444</t>
        </is>
      </c>
      <c r="D85" t="inlineStr">
        <is>
          <t>iwaniadam26@gmail.com</t>
        </is>
      </c>
      <c r="E85" t="inlineStr">
        <is>
          <t>https://lpjk.pu.go.id/search-badan-usaha-detail/K2JqM1UrQm9NRy8reGtXTy9MS0Q2Zz09</t>
        </is>
      </c>
      <c r="F85" t="n">
        <v>2</v>
      </c>
      <c r="G85" t="inlineStr">
        <is>
          <t>BG001</t>
        </is>
      </c>
      <c r="H85" t="inlineStr">
        <is>
          <t>4 Januari 2023</t>
        </is>
      </c>
      <c r="I85" s="2" t="n">
        <v>46356</v>
      </c>
      <c r="J85" t="inlineStr">
        <is>
          <t>Disetujui</t>
        </is>
      </c>
      <c r="K85" t="n">
        <v>60</v>
      </c>
      <c r="L85" t="inlineStr">
        <is>
          <t>30 November 2026</t>
        </is>
      </c>
      <c r="M85" t="inlineStr">
        <is>
          <t>Konstruksi Gedung Hunian</t>
        </is>
      </c>
      <c r="N85" t="inlineStr">
        <is>
          <t>K</t>
        </is>
      </c>
      <c r="O85" t="inlineStr">
        <is>
          <t>20231130</t>
        </is>
      </c>
      <c r="P85" t="inlineStr">
        <is>
          <t>Gorontalo</t>
        </is>
      </c>
      <c r="Q85" t="inlineStr"/>
    </row>
    <row r="86">
      <c r="A86" t="inlineStr">
        <is>
          <t>WHISNU ARI KARYA</t>
        </is>
      </c>
      <c r="B86" t="inlineStr">
        <is>
          <t>Kab. Sidoarjo</t>
        </is>
      </c>
      <c r="C86" t="inlineStr">
        <is>
          <t>082245521487</t>
        </is>
      </c>
      <c r="D86" t="inlineStr">
        <is>
          <t>cvwakarya@gmail.com</t>
        </is>
      </c>
      <c r="E86" t="inlineStr">
        <is>
          <t>https://lpjk.pu.go.id/search-badan-usaha-detail/SkZKdUJYTTBWRzF0UXFlbXpQTHZ6NWNvWG9wRDRYTWNZRHhNL1FjVDMxUT0</t>
        </is>
      </c>
      <c r="F86" t="n">
        <v>1</v>
      </c>
      <c r="G86" t="inlineStr">
        <is>
          <t>BG003</t>
        </is>
      </c>
      <c r="H86" t="inlineStr">
        <is>
          <t>25 Januari 2022</t>
        </is>
      </c>
      <c r="I86" s="2" t="n">
        <v>46356</v>
      </c>
      <c r="J86" t="inlineStr">
        <is>
          <t>Disetujui</t>
        </is>
      </c>
      <c r="K86" t="n">
        <v>60</v>
      </c>
      <c r="L86" t="inlineStr">
        <is>
          <t>30 November 2026</t>
        </is>
      </c>
      <c r="M86" t="inlineStr">
        <is>
          <t>Konstruksi Gedung Industri</t>
        </is>
      </c>
      <c r="N86" t="inlineStr">
        <is>
          <t>K</t>
        </is>
      </c>
      <c r="O86" t="inlineStr">
        <is>
          <t>20231130</t>
        </is>
      </c>
      <c r="P86" t="inlineStr">
        <is>
          <t>Jawa Timur</t>
        </is>
      </c>
      <c r="Q86" t="inlineStr"/>
    </row>
    <row r="87">
      <c r="A87" t="inlineStr">
        <is>
          <t>YADI KARYA</t>
        </is>
      </c>
      <c r="B87" t="inlineStr">
        <is>
          <t>Kab. Balangan</t>
        </is>
      </c>
      <c r="C87" t="inlineStr">
        <is>
          <t>081253989275</t>
        </is>
      </c>
      <c r="D87" t="inlineStr">
        <is>
          <t>cv.yadikarya@gmail.com</t>
        </is>
      </c>
      <c r="E87" t="inlineStr">
        <is>
          <t>https://lpjk.pu.go.id/search-badan-usaha-detail/MEFibTA1dm9JaTRlbEVRVXNWTWZsQT09</t>
        </is>
      </c>
      <c r="F87" t="n">
        <v>4</v>
      </c>
      <c r="G87" t="inlineStr">
        <is>
          <t>BG006, BG009, BS001, BS004</t>
        </is>
      </c>
      <c r="H87" t="inlineStr">
        <is>
          <t>1 Desember 2016</t>
        </is>
      </c>
      <c r="I87" s="2" t="n">
        <v>46356</v>
      </c>
      <c r="J87" t="inlineStr">
        <is>
          <t>Disetujui</t>
        </is>
      </c>
      <c r="K87" t="n">
        <v>60</v>
      </c>
      <c r="L87" t="inlineStr">
        <is>
          <t>30 November 2026</t>
        </is>
      </c>
      <c r="M87" t="inlineStr">
        <is>
          <t>Konstruksi Bangunan Sipil Jalan, Konstruksi Gedung Lainnya, Konstruksi Gedung Pendidikan, Konstruksi Jaringan Irigasi dan Drainase</t>
        </is>
      </c>
      <c r="N87" t="inlineStr">
        <is>
          <t>K</t>
        </is>
      </c>
      <c r="O87" t="inlineStr">
        <is>
          <t>20231130, 20231201</t>
        </is>
      </c>
      <c r="P87" t="inlineStr">
        <is>
          <t>Kalimantan Selatan</t>
        </is>
      </c>
      <c r="Q87" t="inlineStr"/>
    </row>
    <row r="88">
      <c r="A88" t="inlineStr">
        <is>
          <t>YAMAKUBI ENGINEERING SERVICES</t>
        </is>
      </c>
      <c r="B88" t="inlineStr">
        <is>
          <t>Kab. Bandung Barat</t>
        </is>
      </c>
      <c r="C88" t="inlineStr">
        <is>
          <t>0226803036</t>
        </is>
      </c>
      <c r="D88" t="inlineStr">
        <is>
          <t>business.info@yamakubi.com</t>
        </is>
      </c>
      <c r="E88" t="inlineStr">
        <is>
          <t>https://lpjk.pu.go.id/search-badan-usaha-detail/d0J5OGluL0JENHBmRTNUUTJyaDZlUT09</t>
        </is>
      </c>
      <c r="F88" t="n">
        <v>2</v>
      </c>
      <c r="G88" t="inlineStr">
        <is>
          <t>IN012</t>
        </is>
      </c>
      <c r="H88" t="inlineStr">
        <is>
          <t>7 Juli 2007</t>
        </is>
      </c>
      <c r="I88" s="2" t="n">
        <v>46356</v>
      </c>
      <c r="J88" t="inlineStr">
        <is>
          <t>Disetujui</t>
        </is>
      </c>
      <c r="K88" t="n">
        <v>60</v>
      </c>
      <c r="L88" t="inlineStr">
        <is>
          <t>30 November 2026</t>
        </is>
      </c>
      <c r="M88" t="inlineStr">
        <is>
          <t>Instalasi Sinyal dan Telekomunikasi Kereta Api</t>
        </is>
      </c>
      <c r="N88" t="inlineStr">
        <is>
          <t>Spesialis</t>
        </is>
      </c>
      <c r="O88" t="inlineStr">
        <is>
          <t>20230909</t>
        </is>
      </c>
      <c r="P88" t="inlineStr">
        <is>
          <t>Jawa Barat</t>
        </is>
      </c>
      <c r="Q88" t="inlineStr"/>
    </row>
    <row r="89">
      <c r="A89" t="inlineStr">
        <is>
          <t>YASA KARYA</t>
        </is>
      </c>
      <c r="B89" t="inlineStr">
        <is>
          <t>Kota Palembang</t>
        </is>
      </c>
      <c r="C89" t="inlineStr">
        <is>
          <t>08179257800</t>
        </is>
      </c>
      <c r="D89" t="inlineStr">
        <is>
          <t>yasakaryacv@gmail.com</t>
        </is>
      </c>
      <c r="E89" t="inlineStr">
        <is>
          <t>https://lpjk.pu.go.id/search-badan-usaha-detail/ZTdiWXpVcXplS1hPOUFtWUowQ3VwQT09</t>
        </is>
      </c>
      <c r="F89" t="n">
        <v>1</v>
      </c>
      <c r="G89" t="inlineStr">
        <is>
          <t>PL002</t>
        </is>
      </c>
      <c r="H89" t="inlineStr">
        <is>
          <t>6 Februari 2019</t>
        </is>
      </c>
      <c r="I89" s="2" t="n">
        <v>46356</v>
      </c>
      <c r="J89" t="inlineStr">
        <is>
          <t>Disetujui</t>
        </is>
      </c>
      <c r="K89" t="n">
        <v>60</v>
      </c>
      <c r="L89" t="inlineStr">
        <is>
          <t>30 November 2026</t>
        </is>
      </c>
      <c r="M89" t="inlineStr">
        <is>
          <t>Pengerukan</t>
        </is>
      </c>
      <c r="N89" t="inlineStr">
        <is>
          <t>Spesialis</t>
        </is>
      </c>
      <c r="O89" t="inlineStr">
        <is>
          <t>20231129</t>
        </is>
      </c>
      <c r="P89" t="inlineStr">
        <is>
          <t>Sumatera Selatan</t>
        </is>
      </c>
      <c r="Q8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34" customWidth="1" min="1" max="1"/>
    <col width="27" customWidth="1" min="2" max="2"/>
    <col width="16" customWidth="1" min="3" max="3"/>
    <col width="42" customWidth="1" min="4" max="4"/>
    <col width="50" customWidth="1" min="5" max="5"/>
    <col width="18" customWidth="1" min="6" max="6"/>
    <col width="50" customWidth="1" min="7" max="7"/>
    <col width="20" customWidth="1" min="8" max="8"/>
    <col width="28" customWidth="1" min="9" max="9"/>
    <col width="22"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ADYAWINSA DINAMIKA</t>
        </is>
      </c>
      <c r="B2" t="inlineStr">
        <is>
          <t>Kab. Bekasi</t>
        </is>
      </c>
      <c r="C2" t="inlineStr">
        <is>
          <t>0218936001</t>
        </is>
      </c>
      <c r="D2" t="inlineStr">
        <is>
          <t>adis@adyawinsa.com</t>
        </is>
      </c>
      <c r="E2" t="inlineStr">
        <is>
          <t>https://lpjk.pu.go.id/search-badan-usaha-detail/am5ldzJSbEI1UWFaanlDUFBSNHVRUT09</t>
        </is>
      </c>
      <c r="F2" t="n">
        <v>2</v>
      </c>
      <c r="G2" t="inlineStr">
        <is>
          <t>PL003</t>
        </is>
      </c>
      <c r="H2" t="inlineStr">
        <is>
          <t>4 Desember 1990</t>
        </is>
      </c>
      <c r="I2" s="2" t="n">
        <v>46326</v>
      </c>
      <c r="J2" t="inlineStr">
        <is>
          <t>Disetujui</t>
        </is>
      </c>
      <c r="K2" t="n">
        <v>30</v>
      </c>
      <c r="L2" t="inlineStr">
        <is>
          <t>31 Oktober 2026</t>
        </is>
      </c>
      <c r="M2" t="inlineStr">
        <is>
          <t>Penyiapan Lahan Konstruksi</t>
        </is>
      </c>
      <c r="N2" t="inlineStr">
        <is>
          <t>Spesialis</t>
        </is>
      </c>
      <c r="O2" t="inlineStr">
        <is>
          <t>20231025</t>
        </is>
      </c>
      <c r="P2" t="inlineStr">
        <is>
          <t>Jawa Barat</t>
        </is>
      </c>
      <c r="Q2" t="inlineStr"/>
    </row>
    <row r="3">
      <c r="A3" t="inlineStr">
        <is>
          <t>ARAH SUKSES BERSAMA</t>
        </is>
      </c>
      <c r="B3" t="inlineStr">
        <is>
          <t>Kota Bekasi</t>
        </is>
      </c>
      <c r="C3" t="inlineStr">
        <is>
          <t>08159614066</t>
        </is>
      </c>
      <c r="D3" t="inlineStr">
        <is>
          <t>royan.arah@gmail.com</t>
        </is>
      </c>
      <c r="E3" t="inlineStr">
        <is>
          <t>https://lpjk.pu.go.id/search-badan-usaha-detail/cDJRL0lyZWxoL2R3T0wwT1RJK1d0Zz09</t>
        </is>
      </c>
      <c r="F3" t="n">
        <v>2</v>
      </c>
      <c r="G3" t="inlineStr">
        <is>
          <t>BG001, BG003</t>
        </is>
      </c>
      <c r="H3" t="inlineStr">
        <is>
          <t>22 Juli 2020</t>
        </is>
      </c>
      <c r="I3" s="2" t="n">
        <v>46326</v>
      </c>
      <c r="J3" t="inlineStr">
        <is>
          <t>Disetujui</t>
        </is>
      </c>
      <c r="K3" t="n">
        <v>30</v>
      </c>
      <c r="L3" t="inlineStr">
        <is>
          <t>31 Oktober 2026</t>
        </is>
      </c>
      <c r="M3" t="inlineStr">
        <is>
          <t>Konstruksi Gedung Hunian, Konstruksi Gedung Industri</t>
        </is>
      </c>
      <c r="N3" t="inlineStr">
        <is>
          <t>K</t>
        </is>
      </c>
      <c r="O3" t="inlineStr">
        <is>
          <t>20231031</t>
        </is>
      </c>
      <c r="P3" t="inlineStr">
        <is>
          <t>Jawa Barat</t>
        </is>
      </c>
      <c r="Q3" s="3">
        <f>HYPERLINK("https://wa.me/628159614066?text=*[Pengingat Masa Berlaku SBU ARAH SUKSES BERSAMA]*%0A%0AYth. Pimpinan ARAH SUKSES BERSAMA,%0AMohon izin menginformasikan status SBU Anda:%0A%0A📄 SBU: BG001, BG003%0A📅 Expired: 31 Oktober 2026 (30 Hari Lagi)%0A%0AKami tim PT. ESDEA Assistance Management siap men-support proses perpanjangan segera agar administrasi proyek tidak terhambat%0A%0AApakah boleh saya bantu siapkan estimasi biaya dan waktu pengerjaannya?.", "Hubungi")</f>
        <v/>
      </c>
    </row>
    <row r="4">
      <c r="A4" t="inlineStr">
        <is>
          <t>HERWAN SENTOSA</t>
        </is>
      </c>
      <c r="B4" t="inlineStr">
        <is>
          <t>Kota Depok</t>
        </is>
      </c>
      <c r="C4" t="inlineStr">
        <is>
          <t>081294742225</t>
        </is>
      </c>
      <c r="D4" t="inlineStr">
        <is>
          <t>cv.herwansentosa@gmail.com</t>
        </is>
      </c>
      <c r="E4" t="inlineStr">
        <is>
          <t>https://lpjk.pu.go.id/search-badan-usaha-detail/eXpXMG9IYUVmSW1KVkZubG12c1Qxdz09</t>
        </is>
      </c>
      <c r="F4" t="n">
        <v>2</v>
      </c>
      <c r="G4" t="inlineStr">
        <is>
          <t>BS001, BS004</t>
        </is>
      </c>
      <c r="H4" t="inlineStr">
        <is>
          <t>8 Februari 2019</t>
        </is>
      </c>
      <c r="I4" s="2" t="n">
        <v>46326</v>
      </c>
      <c r="J4" t="inlineStr">
        <is>
          <t>Disetujui</t>
        </is>
      </c>
      <c r="K4" t="n">
        <v>30</v>
      </c>
      <c r="L4" t="inlineStr">
        <is>
          <t>31 Oktober 2026</t>
        </is>
      </c>
      <c r="M4" t="inlineStr">
        <is>
          <t>Konstruksi Bangunan Sipil Jalan, Konstruksi Jaringan Irigasi dan Drainase</t>
        </is>
      </c>
      <c r="N4" t="inlineStr">
        <is>
          <t>K</t>
        </is>
      </c>
      <c r="O4" t="inlineStr">
        <is>
          <t>20230515, 20231027</t>
        </is>
      </c>
      <c r="P4" t="inlineStr">
        <is>
          <t>Jawa Barat</t>
        </is>
      </c>
      <c r="Q4" s="3">
        <f>HYPERLINK("https://wa.me/6281294742225?text=*[Pengingat Masa Berlaku SBU HERWAN SENTOSA]*%0A%0AYth. Pimpinan HERWAN SENTOSA,%0AMohon izin menginformasikan status SBU Anda:%0A%0A📄 SBU: BS001, BS004%0A📅 Expired: 31 Oktober 2026 (30 Hari Lagi)%0A%0AKami tim PT. ESDEA Assistance Management siap men-support proses perpanjangan segera agar administrasi proyek tidak terhambat%0A%0AApakah boleh saya bantu siapkan estimasi biaya dan waktu pengerjaannya?.", "Hubungi")</f>
        <v/>
      </c>
    </row>
    <row r="5">
      <c r="A5" t="inlineStr">
        <is>
          <t>KHARISMA ABADI SEJAHTERA</t>
        </is>
      </c>
      <c r="B5" t="inlineStr">
        <is>
          <t>Kota Depok</t>
        </is>
      </c>
      <c r="C5" t="inlineStr">
        <is>
          <t>08158367137</t>
        </is>
      </c>
      <c r="D5" t="inlineStr">
        <is>
          <t>khrsmabadi@gmail.com</t>
        </is>
      </c>
      <c r="E5" t="inlineStr">
        <is>
          <t>https://lpjk.pu.go.id/search-badan-usaha-detail/MnhVbHp5OExFMEJjaGFzb2hDV294UT09</t>
        </is>
      </c>
      <c r="F5" t="n">
        <v>2</v>
      </c>
      <c r="G5" t="inlineStr">
        <is>
          <t>BG009</t>
        </is>
      </c>
      <c r="H5" t="inlineStr">
        <is>
          <t>23 Oktober 2014</t>
        </is>
      </c>
      <c r="I5" s="2" t="n">
        <v>46326</v>
      </c>
      <c r="J5" t="inlineStr">
        <is>
          <t>Pembekuan</t>
        </is>
      </c>
      <c r="K5" t="n">
        <v>30</v>
      </c>
      <c r="L5" t="inlineStr">
        <is>
          <t>31 Oktober 2026</t>
        </is>
      </c>
      <c r="M5" t="inlineStr">
        <is>
          <t>Konstruksi Gedung Lainnya</t>
        </is>
      </c>
      <c r="N5" t="inlineStr">
        <is>
          <t>M</t>
        </is>
      </c>
      <c r="O5" t="inlineStr">
        <is>
          <t>20231020</t>
        </is>
      </c>
      <c r="P5" t="inlineStr">
        <is>
          <t>Jawa Barat</t>
        </is>
      </c>
      <c r="Q5" s="3">
        <f>HYPERLINK("https://wa.me/628158367137?text=*[Pengingat Masa Berlaku SBU KHARISMA ABADI SEJAHTERA]*%0A%0AYth. Pimpinan KHARISMA ABADI SEJAHTERA,%0AMohon izin menginformasikan status SBU Anda:%0A%0A📄 SBU: BG009%0A📅 Expired: 31 Oktober 2026 (30 Hari Lagi)%0A%0AKami tim PT. ESDEA Assistance Management siap men-support proses perpanjangan segera agar administrasi proyek tidak terhambat%0A%0AApakah boleh saya bantu siapkan estimasi biaya dan waktu pengerjaannya?.", "Hubungi")</f>
        <v/>
      </c>
    </row>
    <row r="6">
      <c r="A6" t="inlineStr">
        <is>
          <t>SMARTCON ANUGRAH INDONESIA</t>
        </is>
      </c>
      <c r="B6" t="inlineStr">
        <is>
          <t>Kota Depok</t>
        </is>
      </c>
      <c r="C6" t="inlineStr">
        <is>
          <t>081290948630</t>
        </is>
      </c>
      <c r="D6" t="inlineStr">
        <is>
          <t>pt.smartconanugrahindonesia@gmail.com</t>
        </is>
      </c>
      <c r="E6" t="inlineStr">
        <is>
          <t>https://lpjk.pu.go.id/search-badan-usaha-detail/bUJTU2xqZy9XQjdoeSsxS21ON1ZZQT09</t>
        </is>
      </c>
      <c r="F6" t="n">
        <v>2</v>
      </c>
      <c r="G6" t="inlineStr">
        <is>
          <t>BG009</t>
        </is>
      </c>
      <c r="H6" t="inlineStr">
        <is>
          <t>27 September 2018</t>
        </is>
      </c>
      <c r="I6" s="2" t="n">
        <v>46326</v>
      </c>
      <c r="J6" t="inlineStr">
        <is>
          <t>Disetujui</t>
        </is>
      </c>
      <c r="K6" t="n">
        <v>30</v>
      </c>
      <c r="L6" t="inlineStr">
        <is>
          <t>31 Oktober 2026</t>
        </is>
      </c>
      <c r="M6" t="inlineStr">
        <is>
          <t>Konstruksi Gedung Lainnya</t>
        </is>
      </c>
      <c r="N6" t="inlineStr">
        <is>
          <t>K</t>
        </is>
      </c>
      <c r="O6" t="inlineStr">
        <is>
          <t>20231031</t>
        </is>
      </c>
      <c r="P6" t="inlineStr">
        <is>
          <t>Jawa Barat</t>
        </is>
      </c>
      <c r="Q6" s="3">
        <f>HYPERLINK("https://wa.me/6281290948630?text=*[Pengingat Masa Berlaku SBU SMARTCON ANUGRAH INDONESIA]*%0A%0AYth. Pimpinan SMARTCON ANUGRAH INDONESIA,%0AMohon izin menginformasikan status SBU Anda:%0A%0A📄 SBU: BG009%0A📅 Expired: 31 Oktober 2026 (30 Hari Lagi)%0A%0AKami tim PT. ESDEA Assistance Management siap men-support proses perpanjangan segera agar administrasi proyek tidak terhambat%0A%0AApakah boleh saya bantu siapkan estimasi biaya dan waktu pengerjaannya?.", "Hubungi")</f>
        <v/>
      </c>
    </row>
    <row r="7">
      <c r="A7" t="inlineStr">
        <is>
          <t>TUNAS MULTI KREASI PERSADA</t>
        </is>
      </c>
      <c r="B7" t="inlineStr">
        <is>
          <t>Kab. Bekasi</t>
        </is>
      </c>
      <c r="C7" t="inlineStr">
        <is>
          <t>081908040029</t>
        </is>
      </c>
      <c r="D7" t="inlineStr">
        <is>
          <t>pt.tunasmultikreasipersada@gmail.com</t>
        </is>
      </c>
      <c r="E7" t="inlineStr">
        <is>
          <t>https://lpjk.pu.go.id/search-badan-usaha-detail/b0VCbHhCdjNWMnM0aExnOUhiZDl0Zz09</t>
        </is>
      </c>
      <c r="F7" t="n">
        <v>2</v>
      </c>
      <c r="G7" t="inlineStr">
        <is>
          <t>BS001, BS002</t>
        </is>
      </c>
      <c r="H7" t="inlineStr">
        <is>
          <t>19 Mei 2022</t>
        </is>
      </c>
      <c r="I7" s="2" t="n">
        <v>46326</v>
      </c>
      <c r="J7" t="inlineStr">
        <is>
          <t>Disetujui</t>
        </is>
      </c>
      <c r="K7" t="n">
        <v>30</v>
      </c>
      <c r="L7" t="inlineStr">
        <is>
          <t>31 Oktober 2026</t>
        </is>
      </c>
      <c r="M7" t="inlineStr">
        <is>
          <t>Bangunan Sipil Jembatan, Jalan Layang, Fly Over, dan Underpass, Konstruksi Bangunan Sipil Jalan</t>
        </is>
      </c>
      <c r="N7" t="inlineStr">
        <is>
          <t>K</t>
        </is>
      </c>
      <c r="O7" t="inlineStr">
        <is>
          <t>20230706, 20231023</t>
        </is>
      </c>
      <c r="P7" t="inlineStr">
        <is>
          <t>Jawa Barat</t>
        </is>
      </c>
      <c r="Q7" s="3">
        <f>HYPERLINK("https://wa.me/6281908040029?text=*[Pengingat Masa Berlaku SBU TUNAS MULTI KREASI PERSADA]*%0A%0AYth. Pimpinan TUNAS MULTI KREASI PERSADA,%0AMohon izin menginformasikan status SBU Anda:%0A%0A📄 SBU: BS001, BS002%0A📅 Expired: 31 Oktober 2026 (30 Hari Lagi)%0A%0AKami tim PT. ESDEA Assistance Management siap men-support proses perpanjangan segera agar administrasi proyek tidak terhambat%0A%0AApakah boleh saya bantu siapkan estimasi biaya dan waktu pengerjaannya?.", "Hubungi")</f>
        <v/>
      </c>
    </row>
    <row r="8">
      <c r="A8" t="inlineStr">
        <is>
          <t>ABYAKTA KONSULTAN</t>
        </is>
      </c>
      <c r="B8" t="inlineStr">
        <is>
          <t>Kota Tasikmalaya</t>
        </is>
      </c>
      <c r="C8" t="inlineStr">
        <is>
          <t>082319228797</t>
        </is>
      </c>
      <c r="D8" t="inlineStr">
        <is>
          <t>cv.abyakta_konsultan@outlook.com</t>
        </is>
      </c>
      <c r="E8" t="inlineStr">
        <is>
          <t>https://lpjk.pu.go.id/search-badan-usaha-detail/ajgrM29lekpDMnhPMEpJM281NWFjZz09</t>
        </is>
      </c>
      <c r="F8" t="n">
        <v>1</v>
      </c>
      <c r="G8" t="inlineStr">
        <is>
          <t>RK002</t>
        </is>
      </c>
      <c r="H8" t="inlineStr">
        <is>
          <t>2 Juli 2019</t>
        </is>
      </c>
      <c r="I8" s="2" t="n">
        <v>46326</v>
      </c>
      <c r="J8" t="inlineStr">
        <is>
          <t>Pencabutan</t>
        </is>
      </c>
      <c r="K8" t="n">
        <v>30</v>
      </c>
      <c r="L8" t="inlineStr">
        <is>
          <t>31 Oktober 2026</t>
        </is>
      </c>
      <c r="M8" t="inlineStr">
        <is>
          <t>Jasa Rekayasa Pekerjaan Teknik Sipil Sumber Daya Air</t>
        </is>
      </c>
      <c r="N8" t="inlineStr">
        <is>
          <t>K</t>
        </is>
      </c>
      <c r="O8" t="inlineStr">
        <is>
          <t>20231023</t>
        </is>
      </c>
      <c r="P8" t="inlineStr">
        <is>
          <t>Jawa Barat</t>
        </is>
      </c>
      <c r="Q8" t="inlineStr"/>
    </row>
    <row r="9">
      <c r="A9" t="inlineStr">
        <is>
          <t>ADE PRAWIRA NUSANTARA</t>
        </is>
      </c>
      <c r="B9" t="inlineStr">
        <is>
          <t>Kota Palembang</t>
        </is>
      </c>
      <c r="C9" t="inlineStr">
        <is>
          <t>-</t>
        </is>
      </c>
      <c r="D9" t="inlineStr">
        <is>
          <t>avengers.apn@gmail.com</t>
        </is>
      </c>
      <c r="E9" t="inlineStr">
        <is>
          <t>https://lpjk.pu.go.id/search-badan-usaha-detail/L1pLOEhrb2dFQm1zZXJscnpsZHowUT09</t>
        </is>
      </c>
      <c r="F9" t="n">
        <v>2</v>
      </c>
      <c r="G9" t="inlineStr">
        <is>
          <t>BS005, BS006</t>
        </is>
      </c>
      <c r="H9" t="inlineStr">
        <is>
          <t>25 September 2017</t>
        </is>
      </c>
      <c r="I9" s="2" t="n">
        <v>46326</v>
      </c>
      <c r="J9" t="inlineStr">
        <is>
          <t>Disetujui</t>
        </is>
      </c>
      <c r="K9" t="n">
        <v>30</v>
      </c>
      <c r="L9" t="inlineStr">
        <is>
          <t>31 Oktober 2026</t>
        </is>
      </c>
      <c r="M9" t="inlineStr">
        <is>
          <t>Konstruksi Bangunan Sipil Pengolahan Air Bersih, Konstruksi Bangunan Sipil Prasarana dan Sarana Sistem Pengolahan Limbah Padat, Cair, dan Gas</t>
        </is>
      </c>
      <c r="N9" t="inlineStr">
        <is>
          <t>K</t>
        </is>
      </c>
      <c r="O9" t="inlineStr">
        <is>
          <t>20231031</t>
        </is>
      </c>
      <c r="P9" t="inlineStr">
        <is>
          <t>Sumatera Selatan</t>
        </is>
      </c>
      <c r="Q9" t="inlineStr"/>
    </row>
    <row r="10">
      <c r="A10" t="inlineStr">
        <is>
          <t>ADEEVA JAYA</t>
        </is>
      </c>
      <c r="B10" t="inlineStr">
        <is>
          <t>Kota Malang</t>
        </is>
      </c>
      <c r="C10" t="inlineStr">
        <is>
          <t>034143592441</t>
        </is>
      </c>
      <c r="D10" t="inlineStr">
        <is>
          <t>adeeva.jayacv@gmail.com</t>
        </is>
      </c>
      <c r="E10" t="inlineStr">
        <is>
          <t>https://lpjk.pu.go.id/search-badan-usaha-detail/VkVzNWZTOWo0U0tEdGp6TmlhNUc5Zz09</t>
        </is>
      </c>
      <c r="F10" t="n">
        <v>1</v>
      </c>
      <c r="G10" t="inlineStr">
        <is>
          <t>BS001</t>
        </is>
      </c>
      <c r="H10" t="inlineStr">
        <is>
          <t>7 Januari 2016</t>
        </is>
      </c>
      <c r="I10" s="2" t="n">
        <v>46326</v>
      </c>
      <c r="J10" t="inlineStr">
        <is>
          <t>Disetujui</t>
        </is>
      </c>
      <c r="K10" t="n">
        <v>30</v>
      </c>
      <c r="L10" t="inlineStr">
        <is>
          <t>31 Oktober 2026</t>
        </is>
      </c>
      <c r="M10" t="inlineStr">
        <is>
          <t>Konstruksi Bangunan Sipil Jalan</t>
        </is>
      </c>
      <c r="N10" t="inlineStr">
        <is>
          <t>K</t>
        </is>
      </c>
      <c r="O10" t="inlineStr">
        <is>
          <t>20231014</t>
        </is>
      </c>
      <c r="P10" t="inlineStr">
        <is>
          <t>Jawa Timur</t>
        </is>
      </c>
      <c r="Q10" t="inlineStr"/>
    </row>
    <row r="11">
      <c r="A11" t="inlineStr">
        <is>
          <t>ADISAPUTRA ABADI</t>
        </is>
      </c>
      <c r="B11" t="inlineStr">
        <is>
          <t>Kota Ternate</t>
        </is>
      </c>
      <c r="C11" t="inlineStr">
        <is>
          <t>081243179950</t>
        </is>
      </c>
      <c r="D11" t="inlineStr">
        <is>
          <t>pebrianty14fir@gmail.com</t>
        </is>
      </c>
      <c r="E11" t="inlineStr">
        <is>
          <t>https://lpjk.pu.go.id/search-badan-usaha-detail/RXNqUjk3dVBJb2JsYnhmanpBQ0pzdz09</t>
        </is>
      </c>
      <c r="F11" t="n">
        <v>3</v>
      </c>
      <c r="G11" t="inlineStr">
        <is>
          <t>BG001, BG002, BG006</t>
        </is>
      </c>
      <c r="H11" t="inlineStr">
        <is>
          <t>3 Juni 2009</t>
        </is>
      </c>
      <c r="I11" s="2" t="n">
        <v>46326</v>
      </c>
      <c r="J11" t="inlineStr">
        <is>
          <t>Disetujui</t>
        </is>
      </c>
      <c r="K11" t="n">
        <v>30</v>
      </c>
      <c r="L11" t="inlineStr">
        <is>
          <t>31 Oktober 2026</t>
        </is>
      </c>
      <c r="M11" t="inlineStr">
        <is>
          <t>Konstruksi Gedung Hunian, Konstruksi Gedung Pendidikan, Konstruksi Gedung Perkantoran</t>
        </is>
      </c>
      <c r="N11" t="inlineStr">
        <is>
          <t>K</t>
        </is>
      </c>
      <c r="O11" t="inlineStr">
        <is>
          <t>20231031</t>
        </is>
      </c>
      <c r="P11" t="inlineStr">
        <is>
          <t>Maluku Utara</t>
        </is>
      </c>
      <c r="Q11" t="inlineStr"/>
    </row>
    <row r="12">
      <c r="A12" t="inlineStr">
        <is>
          <t>ADITYA SANUBARI</t>
        </is>
      </c>
      <c r="B12" t="inlineStr">
        <is>
          <t>Kab. Sukabumi</t>
        </is>
      </c>
      <c r="C12" t="inlineStr">
        <is>
          <t>081389323792</t>
        </is>
      </c>
      <c r="D12" t="inlineStr">
        <is>
          <t>adityasanubaricv@gmail.com</t>
        </is>
      </c>
      <c r="E12" t="inlineStr">
        <is>
          <t>https://lpjk.pu.go.id/search-badan-usaha-detail/RnhlenpINmFXRUFqTytmRmw1aDZ6Zz09</t>
        </is>
      </c>
      <c r="F12" t="n">
        <v>5</v>
      </c>
      <c r="G12" t="inlineStr">
        <is>
          <t>BG002, BG006, BG009, BS001, BS004</t>
        </is>
      </c>
      <c r="H12" t="inlineStr">
        <is>
          <t>7 Januari 2010</t>
        </is>
      </c>
      <c r="I12" s="2" t="n">
        <v>46326</v>
      </c>
      <c r="J12" t="inlineStr">
        <is>
          <t>Disetujui</t>
        </is>
      </c>
      <c r="K12" t="n">
        <v>30</v>
      </c>
      <c r="L12" t="inlineStr">
        <is>
          <t>31 Oktober 2026</t>
        </is>
      </c>
      <c r="M12" t="inlineStr">
        <is>
          <t>Konstruksi Bangunan Sipil Jalan, Konstruksi Gedung Lainnya, Konstruksi Gedung Pendidikan, Konstruksi Gedung Perkantoran, Konstruksi Jaringan Irigasi dan Drainase</t>
        </is>
      </c>
      <c r="N12" t="inlineStr">
        <is>
          <t>K</t>
        </is>
      </c>
      <c r="O12" t="inlineStr">
        <is>
          <t>20231026</t>
        </is>
      </c>
      <c r="P12" t="inlineStr">
        <is>
          <t>Jawa Barat</t>
        </is>
      </c>
      <c r="Q12" t="inlineStr"/>
    </row>
    <row r="13">
      <c r="A13" t="inlineStr">
        <is>
          <t>AGRO BORNEO</t>
        </is>
      </c>
      <c r="B13" t="inlineStr">
        <is>
          <t>Kab. Barito Selatan</t>
        </is>
      </c>
      <c r="C13" t="inlineStr">
        <is>
          <t>081348671333</t>
        </is>
      </c>
      <c r="D13" t="inlineStr">
        <is>
          <t>buntokpengusaha20@gmail.com</t>
        </is>
      </c>
      <c r="E13" t="inlineStr">
        <is>
          <t>https://lpjk.pu.go.id/search-badan-usaha-detail/OUUxNXRRamRHR2hXc2ZPdHk1eE1GUT09</t>
        </is>
      </c>
      <c r="F13" t="n">
        <v>1</v>
      </c>
      <c r="G13" t="inlineStr">
        <is>
          <t>AL002</t>
        </is>
      </c>
      <c r="H13" t="inlineStr">
        <is>
          <t>25 Agustus 2023</t>
        </is>
      </c>
      <c r="I13" s="2" t="n">
        <v>46326</v>
      </c>
      <c r="J13" t="inlineStr">
        <is>
          <t>Disetujui</t>
        </is>
      </c>
      <c r="K13" t="n">
        <v>30</v>
      </c>
      <c r="L13" t="inlineStr">
        <is>
          <t>31 Oktober 2026</t>
        </is>
      </c>
      <c r="M13" t="inlineStr">
        <is>
          <t>Jasa Pengembangan Wilayah</t>
        </is>
      </c>
      <c r="N13" t="inlineStr">
        <is>
          <t>K</t>
        </is>
      </c>
      <c r="O13" t="inlineStr">
        <is>
          <t>20231020</t>
        </is>
      </c>
      <c r="P13" t="inlineStr">
        <is>
          <t>Kalimantan Tengah</t>
        </is>
      </c>
      <c r="Q13" t="inlineStr"/>
    </row>
    <row r="14">
      <c r="A14" t="inlineStr">
        <is>
          <t>ALFA JOY</t>
        </is>
      </c>
      <c r="B14" t="inlineStr">
        <is>
          <t>Kab. Manokwari</t>
        </is>
      </c>
      <c r="C14" t="inlineStr">
        <is>
          <t>085239815412</t>
        </is>
      </c>
      <c r="D14" t="inlineStr">
        <is>
          <t>pt.alfajoy22@gmail.com</t>
        </is>
      </c>
      <c r="E14" t="inlineStr">
        <is>
          <t>https://lpjk.pu.go.id/search-badan-usaha-detail/YWVhS1RhWGNLMmRZc21iRk1lOHhvdz09</t>
        </is>
      </c>
      <c r="F14" t="n">
        <v>1</v>
      </c>
      <c r="G14" t="inlineStr">
        <is>
          <t>BS002</t>
        </is>
      </c>
      <c r="H14" t="inlineStr">
        <is>
          <t>21 Februari 2006</t>
        </is>
      </c>
      <c r="I14" s="2" t="n">
        <v>46326</v>
      </c>
      <c r="J14" t="inlineStr">
        <is>
          <t>Disetujui</t>
        </is>
      </c>
      <c r="K14" t="n">
        <v>30</v>
      </c>
      <c r="L14" t="inlineStr">
        <is>
          <t>31 Oktober 2026</t>
        </is>
      </c>
      <c r="M14" t="inlineStr">
        <is>
          <t>Bangunan Sipil Jembatan, Jalan Layang, Fly Over, dan Underpass</t>
        </is>
      </c>
      <c r="N14" t="inlineStr">
        <is>
          <t>M</t>
        </is>
      </c>
      <c r="O14" t="inlineStr">
        <is>
          <t>20230927</t>
        </is>
      </c>
      <c r="P14" t="inlineStr">
        <is>
          <t>Papua Barat</t>
        </is>
      </c>
      <c r="Q14" t="inlineStr"/>
    </row>
    <row r="15">
      <c r="A15" t="inlineStr">
        <is>
          <t>ALMEIRA</t>
        </is>
      </c>
      <c r="B15" t="inlineStr">
        <is>
          <t>Kota Palembang</t>
        </is>
      </c>
      <c r="C15" t="inlineStr">
        <is>
          <t>081367934123</t>
        </is>
      </c>
      <c r="D15" t="inlineStr">
        <is>
          <t>almeiraalmeira.cv@gmail.com</t>
        </is>
      </c>
      <c r="E15" t="inlineStr">
        <is>
          <t>https://lpjk.pu.go.id/search-badan-usaha-detail/bkxNT2FjYmZuM3pyeTVjWnA5b25RZz09</t>
        </is>
      </c>
      <c r="F15" t="n">
        <v>2</v>
      </c>
      <c r="G15" t="inlineStr">
        <is>
          <t>BS005</t>
        </is>
      </c>
      <c r="H15" t="inlineStr">
        <is>
          <t>19 Desember 2015</t>
        </is>
      </c>
      <c r="I15" s="2" t="n">
        <v>46326</v>
      </c>
      <c r="J15" t="inlineStr">
        <is>
          <t>Disetujui</t>
        </is>
      </c>
      <c r="K15" t="n">
        <v>30</v>
      </c>
      <c r="L15" t="inlineStr">
        <is>
          <t>31 Oktober 2026</t>
        </is>
      </c>
      <c r="M15" t="inlineStr">
        <is>
          <t>Konstruksi Bangunan Sipil Pengolahan Air Bersih</t>
        </is>
      </c>
      <c r="N15" t="inlineStr">
        <is>
          <t>K</t>
        </is>
      </c>
      <c r="O15" t="inlineStr">
        <is>
          <t>20231030</t>
        </is>
      </c>
      <c r="P15" t="inlineStr">
        <is>
          <t>Sumatera Selatan</t>
        </is>
      </c>
      <c r="Q15" t="inlineStr"/>
    </row>
    <row r="16">
      <c r="A16" t="inlineStr">
        <is>
          <t>ALTHA KARYA</t>
        </is>
      </c>
      <c r="B16" t="inlineStr">
        <is>
          <t>Kota Solok</t>
        </is>
      </c>
      <c r="C16" t="inlineStr">
        <is>
          <t>085272190044</t>
        </is>
      </c>
      <c r="D16" t="inlineStr">
        <is>
          <t>cvalthakarya@gmail.com</t>
        </is>
      </c>
      <c r="E16" t="inlineStr">
        <is>
          <t>https://lpjk.pu.go.id/search-badan-usaha-detail/dW1sZmNxb21MdVF2dGF0dWhieTFGZz09</t>
        </is>
      </c>
      <c r="F16" t="n">
        <v>1</v>
      </c>
      <c r="G16" t="inlineStr">
        <is>
          <t>BG002</t>
        </is>
      </c>
      <c r="H16" t="inlineStr">
        <is>
          <t>21 Januari 2023</t>
        </is>
      </c>
      <c r="I16" s="2" t="n">
        <v>46326</v>
      </c>
      <c r="J16" t="inlineStr">
        <is>
          <t>Disetujui</t>
        </is>
      </c>
      <c r="K16" t="n">
        <v>30</v>
      </c>
      <c r="L16" t="inlineStr">
        <is>
          <t>31 Oktober 2026</t>
        </is>
      </c>
      <c r="M16" t="inlineStr">
        <is>
          <t>Konstruksi Gedung Perkantoran</t>
        </is>
      </c>
      <c r="N16" t="inlineStr">
        <is>
          <t>K</t>
        </is>
      </c>
      <c r="O16" t="inlineStr">
        <is>
          <t>20231031</t>
        </is>
      </c>
      <c r="P16" t="inlineStr">
        <is>
          <t>Sumatera Barat</t>
        </is>
      </c>
      <c r="Q16" t="inlineStr"/>
    </row>
    <row r="17">
      <c r="A17" t="inlineStr">
        <is>
          <t>ANITA</t>
        </is>
      </c>
      <c r="B17" t="inlineStr">
        <is>
          <t>Kab. Magetan</t>
        </is>
      </c>
      <c r="C17" t="inlineStr">
        <is>
          <t>085235034111</t>
        </is>
      </c>
      <c r="D17" t="inlineStr">
        <is>
          <t>anitacv669@gmail.com</t>
        </is>
      </c>
      <c r="E17" t="inlineStr">
        <is>
          <t>https://lpjk.pu.go.id/search-badan-usaha-detail/dTJTQ283a0FTUFBLTjdGR2xLY0hOdz09</t>
        </is>
      </c>
      <c r="F17" t="n">
        <v>2</v>
      </c>
      <c r="G17" t="inlineStr">
        <is>
          <t>BG004, BS004</t>
        </is>
      </c>
      <c r="H17" t="inlineStr">
        <is>
          <t>30 November 2000</t>
        </is>
      </c>
      <c r="I17" s="2" t="n">
        <v>46326</v>
      </c>
      <c r="J17" t="inlineStr">
        <is>
          <t>Disetujui</t>
        </is>
      </c>
      <c r="K17" t="n">
        <v>30</v>
      </c>
      <c r="L17" t="inlineStr">
        <is>
          <t>31 Oktober 2026</t>
        </is>
      </c>
      <c r="M17" t="inlineStr">
        <is>
          <t>Konstruksi Gedung Perbelanjaan, Konstruksi Jaringan Irigasi dan Drainase</t>
        </is>
      </c>
      <c r="N17" t="inlineStr">
        <is>
          <t>K</t>
        </is>
      </c>
      <c r="O17" t="inlineStr">
        <is>
          <t>20231023, 20231030</t>
        </is>
      </c>
      <c r="P17" t="inlineStr">
        <is>
          <t>Jawa Timur</t>
        </is>
      </c>
      <c r="Q17" t="inlineStr"/>
    </row>
    <row r="18">
      <c r="A18" t="inlineStr">
        <is>
          <t>ANUGERAH CIPTA KARYA</t>
        </is>
      </c>
      <c r="B18" t="inlineStr">
        <is>
          <t>Kota Palu</t>
        </is>
      </c>
      <c r="C18" t="inlineStr">
        <is>
          <t>082225889999</t>
        </is>
      </c>
      <c r="D18" t="inlineStr">
        <is>
          <t>pt.anugrahciptakarya@gmail.com</t>
        </is>
      </c>
      <c r="E18" t="inlineStr">
        <is>
          <t>https://lpjk.pu.go.id/search-badan-usaha-detail/b3ZEME1DbC9yLytnWlI3azRMOEVYQT09</t>
        </is>
      </c>
      <c r="F18" t="n">
        <v>2</v>
      </c>
      <c r="G18" t="inlineStr">
        <is>
          <t>BG001, BS001</t>
        </is>
      </c>
      <c r="H18" t="inlineStr">
        <is>
          <t>26 Mei 2006</t>
        </is>
      </c>
      <c r="I18" s="2" t="n">
        <v>46326</v>
      </c>
      <c r="J18" t="inlineStr">
        <is>
          <t>Disetujui</t>
        </is>
      </c>
      <c r="K18" t="n">
        <v>30</v>
      </c>
      <c r="L18" t="inlineStr">
        <is>
          <t>31 Oktober 2026</t>
        </is>
      </c>
      <c r="M18" t="inlineStr">
        <is>
          <t>Konstruksi Bangunan Sipil Jalan, Konstruksi Gedung Hunian</t>
        </is>
      </c>
      <c r="N18" t="inlineStr">
        <is>
          <t>K</t>
        </is>
      </c>
      <c r="O18" t="inlineStr">
        <is>
          <t>20231031</t>
        </is>
      </c>
      <c r="P18" t="inlineStr">
        <is>
          <t>Sulawesi Tengah</t>
        </is>
      </c>
      <c r="Q18" t="inlineStr"/>
    </row>
    <row r="19">
      <c r="A19" t="inlineStr">
        <is>
          <t>ANUGERAH SEJAHTERA TEKNIK</t>
        </is>
      </c>
      <c r="B19" t="inlineStr">
        <is>
          <t>Kota Medan</t>
        </is>
      </c>
      <c r="C19" t="inlineStr">
        <is>
          <t>081312398779</t>
        </is>
      </c>
      <c r="D19" t="inlineStr">
        <is>
          <t>anugerah.sejahtera.komanditer@gmail.com</t>
        </is>
      </c>
      <c r="E19" t="inlineStr">
        <is>
          <t>https://lpjk.pu.go.id/search-badan-usaha-detail/dC8rQ1JueEN1MEx3Tm9UelV1RllVZz09</t>
        </is>
      </c>
      <c r="F19" t="n">
        <v>1</v>
      </c>
      <c r="G19" t="inlineStr">
        <is>
          <t>BG002</t>
        </is>
      </c>
      <c r="H19" t="inlineStr">
        <is>
          <t>26 Oktober 2023</t>
        </is>
      </c>
      <c r="I19" s="2" t="n">
        <v>46326</v>
      </c>
      <c r="J19" t="inlineStr">
        <is>
          <t>Disetujui</t>
        </is>
      </c>
      <c r="K19" t="n">
        <v>30</v>
      </c>
      <c r="L19" t="inlineStr">
        <is>
          <t>31 Oktober 2026</t>
        </is>
      </c>
      <c r="M19" t="inlineStr">
        <is>
          <t>Konstruksi Gedung Perkantoran</t>
        </is>
      </c>
      <c r="N19" t="inlineStr">
        <is>
          <t>K</t>
        </is>
      </c>
      <c r="O19" t="inlineStr">
        <is>
          <t>20231029</t>
        </is>
      </c>
      <c r="P19" t="inlineStr">
        <is>
          <t>Sumatera Utara</t>
        </is>
      </c>
      <c r="Q19" t="inlineStr"/>
    </row>
    <row r="20">
      <c r="A20" t="inlineStr">
        <is>
          <t>ANUGRAH JAYA WISESA</t>
        </is>
      </c>
      <c r="B20" t="inlineStr">
        <is>
          <t>Kota Adm. Jakarta Barat</t>
        </is>
      </c>
      <c r="C20" t="inlineStr">
        <is>
          <t>02154366615</t>
        </is>
      </c>
      <c r="D20" t="inlineStr">
        <is>
          <t>anugrah.jaya.wisesa@gmail.com</t>
        </is>
      </c>
      <c r="E20" t="inlineStr">
        <is>
          <t>https://lpjk.pu.go.id/search-badan-usaha-detail/aGdnRlpUZUhKWkljeW1yUVl1QUZZZz09</t>
        </is>
      </c>
      <c r="F20" t="n">
        <v>10</v>
      </c>
      <c r="G20" t="inlineStr">
        <is>
          <t>BG001, BG002, BG003, BG004, BG009</t>
        </is>
      </c>
      <c r="H20" t="inlineStr">
        <is>
          <t>14 Mei 2001</t>
        </is>
      </c>
      <c r="I20" s="2" t="n">
        <v>46326</v>
      </c>
      <c r="J20" t="inlineStr">
        <is>
          <t>Disetujui</t>
        </is>
      </c>
      <c r="K20" t="n">
        <v>30</v>
      </c>
      <c r="L20" t="inlineStr">
        <is>
          <t>31 Oktober 2026</t>
        </is>
      </c>
      <c r="M20" t="inlineStr">
        <is>
          <t>Konstruksi Gedung Hunian, Konstruksi Gedung Industri, Konstruksi Gedung Lainnya, Konstruksi Gedung Perbelanjaan, Konstruksi Gedung Perkantoran</t>
        </is>
      </c>
      <c r="N20" t="inlineStr">
        <is>
          <t>K</t>
        </is>
      </c>
      <c r="O20" t="inlineStr">
        <is>
          <t>20231030</t>
        </is>
      </c>
      <c r="P20" t="inlineStr">
        <is>
          <t>DKI Jakarta</t>
        </is>
      </c>
      <c r="Q20" t="inlineStr"/>
    </row>
    <row r="21">
      <c r="A21" t="inlineStr">
        <is>
          <t>ANUGRAH SHANKARA RIZKI</t>
        </is>
      </c>
      <c r="B21" t="inlineStr">
        <is>
          <t>Kab. Karanganyar</t>
        </is>
      </c>
      <c r="C21" t="inlineStr">
        <is>
          <t>081225019729</t>
        </is>
      </c>
      <c r="D21" t="inlineStr">
        <is>
          <t>anugrah.shankara@gmail.com</t>
        </is>
      </c>
      <c r="E21" t="inlineStr">
        <is>
          <t>https://lpjk.pu.go.id/search-badan-usaha-detail/V3luczBoRGFJbUxhRitSa0hHaGN4QT09</t>
        </is>
      </c>
      <c r="F21" t="n">
        <v>8</v>
      </c>
      <c r="G21" t="inlineStr">
        <is>
          <t>BG006, BG009, BS001, BS004</t>
        </is>
      </c>
      <c r="H21" t="inlineStr">
        <is>
          <t>26 Februari 2020</t>
        </is>
      </c>
      <c r="I21" s="2" t="n">
        <v>46326</v>
      </c>
      <c r="J21" t="inlineStr">
        <is>
          <t>Disetujui</t>
        </is>
      </c>
      <c r="K21" t="n">
        <v>30</v>
      </c>
      <c r="L21" t="inlineStr">
        <is>
          <t>31 Oktober 2026</t>
        </is>
      </c>
      <c r="M21" t="inlineStr">
        <is>
          <t>Konstruksi Bangunan Sipil Jalan, Konstruksi Gedung Lainnya, Konstruksi Gedung Pendidikan, Konstruksi Jaringan Irigasi dan Drainase</t>
        </is>
      </c>
      <c r="N21" t="inlineStr">
        <is>
          <t>K</t>
        </is>
      </c>
      <c r="O21" t="inlineStr">
        <is>
          <t>20231026, 20231101</t>
        </is>
      </c>
      <c r="P21" t="inlineStr">
        <is>
          <t>Jawa Tengah</t>
        </is>
      </c>
      <c r="Q21" t="inlineStr"/>
    </row>
    <row r="22">
      <c r="A22" t="inlineStr">
        <is>
          <t>ANUGRAH WIJAYA PERKASA</t>
        </is>
      </c>
      <c r="B22" t="inlineStr">
        <is>
          <t>Kota Pangkal Pinang</t>
        </is>
      </c>
      <c r="C22" t="inlineStr">
        <is>
          <t>085374448882</t>
        </is>
      </c>
      <c r="D22" t="inlineStr">
        <is>
          <t>anugrahwijayaperkasa23@gmail.com</t>
        </is>
      </c>
      <c r="E22" t="inlineStr">
        <is>
          <t>https://lpjk.pu.go.id/search-badan-usaha-detail/MldwWndoeXNPY0xoUFZDMFBDeGVwdz09</t>
        </is>
      </c>
      <c r="F22" t="n">
        <v>8</v>
      </c>
      <c r="G22" t="inlineStr">
        <is>
          <t>BG005, BG008, BS001, BS004</t>
        </is>
      </c>
      <c r="H22" t="inlineStr">
        <is>
          <t>12 Oktober 2023</t>
        </is>
      </c>
      <c r="I22" s="2" t="n">
        <v>46326</v>
      </c>
      <c r="J22" t="inlineStr">
        <is>
          <t>Disetujui</t>
        </is>
      </c>
      <c r="K22" t="n">
        <v>30</v>
      </c>
      <c r="L22" t="inlineStr">
        <is>
          <t>31 Oktober 2026</t>
        </is>
      </c>
      <c r="M22" t="inlineStr">
        <is>
          <t>Konstruksi Bangunan Sipil Jalan, Konstruksi Gedung Kesehatan, Konstruksi Gedung Tempat Hiburan dan Olahraga, Konstruksi Jaringan Irigasi dan Drainase</t>
        </is>
      </c>
      <c r="N22" t="inlineStr">
        <is>
          <t>K</t>
        </is>
      </c>
      <c r="O22" t="inlineStr">
        <is>
          <t>20231030</t>
        </is>
      </c>
      <c r="P22" t="inlineStr">
        <is>
          <t>Kepulauan Bangka Belitung</t>
        </is>
      </c>
      <c r="Q22" t="inlineStr"/>
    </row>
    <row r="23">
      <c r="A23" t="inlineStr">
        <is>
          <t>ARMATURE TEKNIK CONTRACTOR</t>
        </is>
      </c>
      <c r="B23" t="inlineStr">
        <is>
          <t>Kota Bau Bau</t>
        </is>
      </c>
      <c r="C23" t="inlineStr">
        <is>
          <t>085241029012</t>
        </is>
      </c>
      <c r="D23" t="inlineStr">
        <is>
          <t>armatureteknik52@gmail.com</t>
        </is>
      </c>
      <c r="E23" t="inlineStr">
        <is>
          <t>https://lpjk.pu.go.id/search-badan-usaha-detail/QmJzOGRCbTFuTmozVkZCalZBeVNRQT09</t>
        </is>
      </c>
      <c r="F23" t="n">
        <v>2</v>
      </c>
      <c r="G23" t="inlineStr">
        <is>
          <t>BG005, BG009</t>
        </is>
      </c>
      <c r="H23" t="inlineStr">
        <is>
          <t>4 September 2019</t>
        </is>
      </c>
      <c r="I23" s="2" t="n">
        <v>46326</v>
      </c>
      <c r="J23" t="inlineStr">
        <is>
          <t>Pencabutan</t>
        </is>
      </c>
      <c r="K23" t="n">
        <v>30</v>
      </c>
      <c r="L23" t="inlineStr">
        <is>
          <t>31 Oktober 2026</t>
        </is>
      </c>
      <c r="M23" t="inlineStr">
        <is>
          <t>Konstruksi Gedung Kesehatan, Konstruksi Gedung Lainnya</t>
        </is>
      </c>
      <c r="N23" t="inlineStr">
        <is>
          <t>K</t>
        </is>
      </c>
      <c r="O23" t="inlineStr">
        <is>
          <t>20231025</t>
        </is>
      </c>
      <c r="P23" t="inlineStr">
        <is>
          <t>Sulawesi Tenggara</t>
        </is>
      </c>
      <c r="Q23" t="inlineStr"/>
    </row>
    <row r="24">
      <c r="A24" t="inlineStr">
        <is>
          <t>ASIA INTERNATIONAL</t>
        </is>
      </c>
      <c r="B24" t="inlineStr">
        <is>
          <t>Kab. Aceh Singkil</t>
        </is>
      </c>
      <c r="C24" t="inlineStr">
        <is>
          <t>082272940692</t>
        </is>
      </c>
      <c r="D24" t="inlineStr">
        <is>
          <t>asia.international.cv@gmail.com</t>
        </is>
      </c>
      <c r="E24" t="inlineStr">
        <is>
          <t>https://lpjk.pu.go.id/search-badan-usaha-detail/K04vREczaWxTTEF4WHFlaGpYUWJWQT09</t>
        </is>
      </c>
      <c r="F24" t="n">
        <v>3</v>
      </c>
      <c r="G24" t="inlineStr">
        <is>
          <t>RK001, RK002, RK003</t>
        </is>
      </c>
      <c r="H24" t="inlineStr">
        <is>
          <t>24 Juli 2015</t>
        </is>
      </c>
      <c r="I24" s="2" t="n">
        <v>46326</v>
      </c>
      <c r="J24" t="inlineStr">
        <is>
          <t>Disetujui</t>
        </is>
      </c>
      <c r="K24" t="n">
        <v>30</v>
      </c>
      <c r="L24" t="inlineStr">
        <is>
          <t>31 Oktober 2026</t>
        </is>
      </c>
      <c r="M24" t="inlineStr">
        <is>
          <t>Jasa Rekayasa Konstruksi Bangunan Gedung Hunian dan Non Hunian, Jasa Rekayasa Pekerjaan Teknik Sipil Sumber Daya Air, Jasa Rekayasa Pekerjaan Teknik Sipil Transportasi</t>
        </is>
      </c>
      <c r="N24" t="inlineStr">
        <is>
          <t>K</t>
        </is>
      </c>
      <c r="O24" t="inlineStr">
        <is>
          <t>20231018</t>
        </is>
      </c>
      <c r="P24" t="inlineStr">
        <is>
          <t>Aceh</t>
        </is>
      </c>
      <c r="Q24" t="inlineStr"/>
    </row>
    <row r="25">
      <c r="A25" t="inlineStr">
        <is>
          <t>AZKA</t>
        </is>
      </c>
      <c r="B25" t="inlineStr">
        <is>
          <t>Kab. Lombok Tengah</t>
        </is>
      </c>
      <c r="C25" t="inlineStr">
        <is>
          <t>087794136668</t>
        </is>
      </c>
      <c r="D25" t="inlineStr">
        <is>
          <t>akmaldinofa@gmail.com</t>
        </is>
      </c>
      <c r="E25" t="inlineStr">
        <is>
          <t>https://lpjk.pu.go.id/search-badan-usaha-detail/cUtvdUdYa3BQYTRDUHF5Q0F0Q01GZz09</t>
        </is>
      </c>
      <c r="F25" t="n">
        <v>1</v>
      </c>
      <c r="G25" t="inlineStr">
        <is>
          <t>BS004</t>
        </is>
      </c>
      <c r="H25" t="inlineStr">
        <is>
          <t>2 Juni 2022</t>
        </is>
      </c>
      <c r="I25" s="2" t="n">
        <v>46326</v>
      </c>
      <c r="J25" t="inlineStr">
        <is>
          <t>Disetujui</t>
        </is>
      </c>
      <c r="K25" t="n">
        <v>30</v>
      </c>
      <c r="L25" t="inlineStr">
        <is>
          <t>31 Oktober 2026</t>
        </is>
      </c>
      <c r="M25" t="inlineStr">
        <is>
          <t>Konstruksi Jaringan Irigasi dan Drainase</t>
        </is>
      </c>
      <c r="N25" t="inlineStr">
        <is>
          <t>K</t>
        </is>
      </c>
      <c r="O25" t="inlineStr">
        <is>
          <t>20231027</t>
        </is>
      </c>
      <c r="P25" t="inlineStr">
        <is>
          <t>Nusa Tenggara Barat</t>
        </is>
      </c>
      <c r="Q25" t="inlineStr"/>
    </row>
    <row r="26">
      <c r="A26" t="inlineStr">
        <is>
          <t>AZKAJAYA MUDA PERKASA</t>
        </is>
      </c>
      <c r="B26" t="inlineStr">
        <is>
          <t>Kab. Kampar</t>
        </is>
      </c>
      <c r="C26" t="inlineStr">
        <is>
          <t>089654778788</t>
        </is>
      </c>
      <c r="D26" t="inlineStr">
        <is>
          <t>azkajaya5@gmail.com</t>
        </is>
      </c>
      <c r="E26" t="inlineStr">
        <is>
          <t>https://lpjk.pu.go.id/search-badan-usaha-detail/b1VYalZmVGpkbjFFMCtBcVJQelNJdz09</t>
        </is>
      </c>
      <c r="F26" t="n">
        <v>1</v>
      </c>
      <c r="G26" t="inlineStr">
        <is>
          <t>BS001</t>
        </is>
      </c>
      <c r="H26" t="inlineStr">
        <is>
          <t>22 Juni 2012</t>
        </is>
      </c>
      <c r="I26" s="2" t="n">
        <v>46326</v>
      </c>
      <c r="J26" t="inlineStr">
        <is>
          <t>Disetujui</t>
        </is>
      </c>
      <c r="K26" t="n">
        <v>30</v>
      </c>
      <c r="L26" t="inlineStr">
        <is>
          <t>31 Oktober 2026</t>
        </is>
      </c>
      <c r="M26" t="inlineStr">
        <is>
          <t>Konstruksi Bangunan Sipil Jalan</t>
        </is>
      </c>
      <c r="N26" t="inlineStr">
        <is>
          <t>K</t>
        </is>
      </c>
      <c r="O26" t="inlineStr">
        <is>
          <t>20231101</t>
        </is>
      </c>
      <c r="P26" t="inlineStr">
        <is>
          <t>Riau</t>
        </is>
      </c>
      <c r="Q26" t="inlineStr"/>
    </row>
    <row r="27">
      <c r="A27" t="inlineStr">
        <is>
          <t>BANGUN PRATAMA</t>
        </is>
      </c>
      <c r="B27" t="inlineStr">
        <is>
          <t>Kota Surabaya</t>
        </is>
      </c>
      <c r="C27" t="inlineStr">
        <is>
          <t>0317322144</t>
        </is>
      </c>
      <c r="D27" t="inlineStr">
        <is>
          <t>legalumum@jadedevelopment.co.id</t>
        </is>
      </c>
      <c r="E27" t="inlineStr">
        <is>
          <t>https://lpjk.pu.go.id/search-badan-usaha-detail/dTRiQ1VGZWtEOEx3QTg3THRkd0hlZz09</t>
        </is>
      </c>
      <c r="F27" t="n">
        <v>1</v>
      </c>
      <c r="G27" t="inlineStr">
        <is>
          <t>BG002</t>
        </is>
      </c>
      <c r="H27" t="inlineStr">
        <is>
          <t>11 Oktober 2017</t>
        </is>
      </c>
      <c r="I27" s="2" t="n">
        <v>46326</v>
      </c>
      <c r="J27" t="inlineStr">
        <is>
          <t>Disetujui</t>
        </is>
      </c>
      <c r="K27" t="n">
        <v>30</v>
      </c>
      <c r="L27" t="inlineStr">
        <is>
          <t>31 Oktober 2026</t>
        </is>
      </c>
      <c r="M27" t="inlineStr">
        <is>
          <t>Konstruksi Gedung Perkantoran</t>
        </is>
      </c>
      <c r="N27" t="inlineStr">
        <is>
          <t>K</t>
        </is>
      </c>
      <c r="O27" t="inlineStr">
        <is>
          <t>20231027</t>
        </is>
      </c>
      <c r="P27" t="inlineStr">
        <is>
          <t>Jawa Timur</t>
        </is>
      </c>
      <c r="Q27" t="inlineStr"/>
    </row>
    <row r="28">
      <c r="A28" t="inlineStr">
        <is>
          <t>BAYU SANAYOKA KONSULTAN</t>
        </is>
      </c>
      <c r="B28" t="inlineStr">
        <is>
          <t>Kota Jayapura</t>
        </is>
      </c>
      <c r="C28" t="inlineStr">
        <is>
          <t>081229326487</t>
        </is>
      </c>
      <c r="D28" t="inlineStr">
        <is>
          <t>cv.bayusanayokakonsultan20@gmail.com</t>
        </is>
      </c>
      <c r="E28" t="inlineStr">
        <is>
          <t>https://lpjk.pu.go.id/search-badan-usaha-detail/TEpRUHJiOXEzUHNVdjZyVklKSFExZz09</t>
        </is>
      </c>
      <c r="F28" t="n">
        <v>3</v>
      </c>
      <c r="G28" t="inlineStr">
        <is>
          <t>RK001, RK002, RK003</t>
        </is>
      </c>
      <c r="H28" t="inlineStr">
        <is>
          <t>12 Juni 2019</t>
        </is>
      </c>
      <c r="I28" s="2" t="n">
        <v>46326</v>
      </c>
      <c r="J28" t="inlineStr">
        <is>
          <t>Disetujui</t>
        </is>
      </c>
      <c r="K28" t="n">
        <v>30</v>
      </c>
      <c r="L28" t="inlineStr">
        <is>
          <t>31 Oktober 2026</t>
        </is>
      </c>
      <c r="M28" t="inlineStr">
        <is>
          <t>Jasa Rekayasa Konstruksi Bangunan Gedung Hunian dan Non Hunian, Jasa Rekayasa Pekerjaan Teknik Sipil Sumber Daya Air, Jasa Rekayasa Pekerjaan Teknik Sipil Transportasi</t>
        </is>
      </c>
      <c r="N28" t="inlineStr">
        <is>
          <t>K</t>
        </is>
      </c>
      <c r="O28" t="inlineStr">
        <is>
          <t>20231013</t>
        </is>
      </c>
      <c r="P28" t="inlineStr">
        <is>
          <t>Papua</t>
        </is>
      </c>
      <c r="Q28" t="inlineStr"/>
    </row>
    <row r="29">
      <c r="A29" t="inlineStr">
        <is>
          <t>BENTENG BANGUN SEJAHTERA</t>
        </is>
      </c>
      <c r="B29" t="inlineStr">
        <is>
          <t>Kab. Tangerang</t>
        </is>
      </c>
      <c r="C29" t="inlineStr">
        <is>
          <t>02155933531</t>
        </is>
      </c>
      <c r="D29" t="inlineStr">
        <is>
          <t>pt_benteng_bangun_sejahtera@yahoo.co.id</t>
        </is>
      </c>
      <c r="E29" t="inlineStr">
        <is>
          <t>https://lpjk.pu.go.id/search-badan-usaha-detail/WDNYWGV5b3MrUHBrR1Q4dm40LzZ0UT09</t>
        </is>
      </c>
      <c r="F29" t="n">
        <v>1</v>
      </c>
      <c r="G29" t="inlineStr">
        <is>
          <t>BS002</t>
        </is>
      </c>
      <c r="H29" t="inlineStr">
        <is>
          <t>12 Desember 1982</t>
        </is>
      </c>
      <c r="I29" s="2" t="n">
        <v>46326</v>
      </c>
      <c r="J29" t="inlineStr">
        <is>
          <t>Disetujui</t>
        </is>
      </c>
      <c r="K29" t="n">
        <v>30</v>
      </c>
      <c r="L29" t="inlineStr">
        <is>
          <t>31 Oktober 2026</t>
        </is>
      </c>
      <c r="M29" t="inlineStr">
        <is>
          <t>Bangunan Sipil Jembatan, Jalan Layang, Fly Over, dan Underpass</t>
        </is>
      </c>
      <c r="N29" t="inlineStr">
        <is>
          <t>M</t>
        </is>
      </c>
      <c r="O29" t="inlineStr">
        <is>
          <t>20231018</t>
        </is>
      </c>
      <c r="P29" t="inlineStr">
        <is>
          <t>Banten</t>
        </is>
      </c>
      <c r="Q29" t="inlineStr"/>
    </row>
    <row r="30">
      <c r="A30" t="inlineStr">
        <is>
          <t>BERKAH ADITAMA</t>
        </is>
      </c>
      <c r="B30" t="inlineStr">
        <is>
          <t>Kota Palu</t>
        </is>
      </c>
      <c r="C30" t="inlineStr">
        <is>
          <t>085240683501</t>
        </is>
      </c>
      <c r="D30" t="inlineStr">
        <is>
          <t>cv.berkahaditama@gmail.com</t>
        </is>
      </c>
      <c r="E30" t="inlineStr">
        <is>
          <t>https://lpjk.pu.go.id/search-badan-usaha-detail/TXJCN1pkMHV4OFcxN2dMSzFOZld4QT09</t>
        </is>
      </c>
      <c r="F30" t="n">
        <v>1</v>
      </c>
      <c r="G30" t="inlineStr">
        <is>
          <t>BS010</t>
        </is>
      </c>
      <c r="H30" t="inlineStr">
        <is>
          <t>7 Maret 2020</t>
        </is>
      </c>
      <c r="I30" s="2" t="n">
        <v>46326</v>
      </c>
      <c r="J30" t="inlineStr">
        <is>
          <t>Disetujui</t>
        </is>
      </c>
      <c r="K30" t="n">
        <v>30</v>
      </c>
      <c r="L30" t="inlineStr">
        <is>
          <t>31 Oktober 2026</t>
        </is>
      </c>
      <c r="M30" t="inlineStr">
        <is>
          <t>Konstruksi Bangunan Prasarana Sumber Daya Air</t>
        </is>
      </c>
      <c r="N30" t="inlineStr">
        <is>
          <t>K</t>
        </is>
      </c>
      <c r="O30" t="inlineStr">
        <is>
          <t>20231101</t>
        </is>
      </c>
      <c r="P30" t="inlineStr">
        <is>
          <t>Sulawesi Tengah</t>
        </is>
      </c>
      <c r="Q30" t="inlineStr"/>
    </row>
    <row r="31">
      <c r="A31" t="inlineStr">
        <is>
          <t>BERKAH INDO PRATAMA</t>
        </is>
      </c>
      <c r="B31" t="inlineStr">
        <is>
          <t>Kota Bengkulu</t>
        </is>
      </c>
      <c r="C31" t="inlineStr">
        <is>
          <t>085268382353</t>
        </is>
      </c>
      <c r="D31" t="inlineStr">
        <is>
          <t>ptberkahindopratamabip@gmail.com</t>
        </is>
      </c>
      <c r="E31" t="inlineStr">
        <is>
          <t>https://lpjk.pu.go.id/search-badan-usaha-detail/Y1pFS2ZkM294VVM2Z25vb2Nwd2FrQT09</t>
        </is>
      </c>
      <c r="F31" t="n">
        <v>2</v>
      </c>
      <c r="G31" t="inlineStr">
        <is>
          <t>BS009</t>
        </is>
      </c>
      <c r="H31" t="inlineStr">
        <is>
          <t>11 Maret 2022</t>
        </is>
      </c>
      <c r="I31" s="2" t="n">
        <v>46326</v>
      </c>
      <c r="J31" t="inlineStr">
        <is>
          <t>Disetujui</t>
        </is>
      </c>
      <c r="K31" t="n">
        <v>30</v>
      </c>
      <c r="L31" t="inlineStr">
        <is>
          <t>31 Oktober 2026</t>
        </is>
      </c>
      <c r="M31" t="inlineStr">
        <is>
          <t>Konstruksi Sentral Telekomunikasi</t>
        </is>
      </c>
      <c r="N31" t="inlineStr">
        <is>
          <t>K</t>
        </is>
      </c>
      <c r="O31" t="inlineStr">
        <is>
          <t>20231031</t>
        </is>
      </c>
      <c r="P31" t="inlineStr">
        <is>
          <t>Bengkulu</t>
        </is>
      </c>
      <c r="Q31" t="inlineStr"/>
    </row>
    <row r="32">
      <c r="A32" t="inlineStr">
        <is>
          <t>BERKAH JAYA CIPTA KARYA</t>
        </is>
      </c>
      <c r="B32" t="inlineStr">
        <is>
          <t>Kab. Majalengka</t>
        </is>
      </c>
      <c r="C32" t="inlineStr">
        <is>
          <t>085292581842</t>
        </is>
      </c>
      <c r="D32" t="inlineStr">
        <is>
          <t>cvberkahjayaciptakarya97@gmail.com</t>
        </is>
      </c>
      <c r="E32" t="inlineStr">
        <is>
          <t>https://lpjk.pu.go.id/search-badan-usaha-detail/QW41ekVkdEduaWIyNEFOQVJzRERvUT09</t>
        </is>
      </c>
      <c r="F32" t="n">
        <v>4</v>
      </c>
      <c r="G32" t="inlineStr">
        <is>
          <t>BG002, BS004</t>
        </is>
      </c>
      <c r="H32" t="inlineStr">
        <is>
          <t>4 September 2023</t>
        </is>
      </c>
      <c r="I32" s="2" t="n">
        <v>46326</v>
      </c>
      <c r="J32" t="inlineStr">
        <is>
          <t>Disetujui</t>
        </is>
      </c>
      <c r="K32" t="n">
        <v>30</v>
      </c>
      <c r="L32" t="inlineStr">
        <is>
          <t>31 Oktober 2026</t>
        </is>
      </c>
      <c r="M32" t="inlineStr">
        <is>
          <t>Konstruksi Gedung Perkantoran, Konstruksi Jaringan Irigasi dan Drainase</t>
        </is>
      </c>
      <c r="N32" t="inlineStr">
        <is>
          <t>K</t>
        </is>
      </c>
      <c r="O32" t="inlineStr">
        <is>
          <t>20231006, 20231101</t>
        </is>
      </c>
      <c r="P32" t="inlineStr">
        <is>
          <t>Jawa Barat</t>
        </is>
      </c>
      <c r="Q32" t="inlineStr"/>
    </row>
    <row r="33">
      <c r="A33" t="inlineStr">
        <is>
          <t>BERKAT KANAAN INDAH</t>
        </is>
      </c>
      <c r="B33" t="inlineStr">
        <is>
          <t>Kab. Minahasa</t>
        </is>
      </c>
      <c r="C33" t="inlineStr">
        <is>
          <t>081242190266</t>
        </is>
      </c>
      <c r="D33" t="inlineStr">
        <is>
          <t>cvberkatkanaanindah@gmail.com</t>
        </is>
      </c>
      <c r="E33" t="inlineStr">
        <is>
          <t>https://lpjk.pu.go.id/search-badan-usaha-detail/dEMyVy9ER2ZmREJNYVF5YitrOU5xZz09</t>
        </is>
      </c>
      <c r="F33" t="n">
        <v>2</v>
      </c>
      <c r="G33" t="inlineStr">
        <is>
          <t>BS001</t>
        </is>
      </c>
      <c r="H33" t="inlineStr">
        <is>
          <t>4 Mei 2023</t>
        </is>
      </c>
      <c r="I33" s="2" t="n">
        <v>46326</v>
      </c>
      <c r="J33" t="inlineStr">
        <is>
          <t>Disetujui</t>
        </is>
      </c>
      <c r="K33" t="n">
        <v>30</v>
      </c>
      <c r="L33" t="inlineStr">
        <is>
          <t>31 Oktober 2026</t>
        </is>
      </c>
      <c r="M33" t="inlineStr">
        <is>
          <t>Konstruksi Bangunan Sipil Jalan</t>
        </is>
      </c>
      <c r="N33" t="inlineStr">
        <is>
          <t>K</t>
        </is>
      </c>
      <c r="O33" t="inlineStr">
        <is>
          <t>20231031</t>
        </is>
      </c>
      <c r="P33" t="inlineStr">
        <is>
          <t>Sulawesi Utara</t>
        </is>
      </c>
      <c r="Q33" t="inlineStr"/>
    </row>
    <row r="34">
      <c r="A34" t="inlineStr">
        <is>
          <t>BUMI ARTA PERKASA</t>
        </is>
      </c>
      <c r="B34" t="inlineStr">
        <is>
          <t>Kab. Kutai Timur</t>
        </is>
      </c>
      <c r="C34" t="inlineStr">
        <is>
          <t>082151640745</t>
        </is>
      </c>
      <c r="D34" t="inlineStr">
        <is>
          <t>cv.bumiartaperkasa@yahoo.com</t>
        </is>
      </c>
      <c r="E34" t="inlineStr">
        <is>
          <t>https://lpjk.pu.go.id/search-badan-usaha-detail/UGtlMkpCVktwZDdXTnNTb0NFVG01Zz09</t>
        </is>
      </c>
      <c r="F34" t="n">
        <v>3</v>
      </c>
      <c r="G34" t="inlineStr">
        <is>
          <t>BG006, BG009, BS004</t>
        </is>
      </c>
      <c r="H34" t="inlineStr">
        <is>
          <t>10 Juli 2019</t>
        </is>
      </c>
      <c r="I34" s="2" t="n">
        <v>46326</v>
      </c>
      <c r="J34" t="inlineStr">
        <is>
          <t>Disetujui</t>
        </is>
      </c>
      <c r="K34" t="n">
        <v>30</v>
      </c>
      <c r="L34" t="inlineStr">
        <is>
          <t>31 Oktober 2026</t>
        </is>
      </c>
      <c r="M34" t="inlineStr">
        <is>
          <t>Konstruksi Gedung Lainnya, Konstruksi Gedung Pendidikan, Konstruksi Jaringan Irigasi dan Drainase</t>
        </is>
      </c>
      <c r="N34" t="inlineStr">
        <is>
          <t>K</t>
        </is>
      </c>
      <c r="O34" t="inlineStr">
        <is>
          <t>20231101</t>
        </is>
      </c>
      <c r="P34" t="inlineStr">
        <is>
          <t>Kalimantan Timur</t>
        </is>
      </c>
      <c r="Q34" t="inlineStr"/>
    </row>
    <row r="35">
      <c r="A35" t="inlineStr">
        <is>
          <t>CAHAYA BUMI REZEKI</t>
        </is>
      </c>
      <c r="B35" t="inlineStr">
        <is>
          <t>Kota Adm. Jakarta Utara</t>
        </is>
      </c>
      <c r="C35" t="inlineStr">
        <is>
          <t>02156983261</t>
        </is>
      </c>
      <c r="D35" t="inlineStr">
        <is>
          <t>cahayabumirezeki.cbr@gmail.com</t>
        </is>
      </c>
      <c r="E35" t="inlineStr">
        <is>
          <t>https://lpjk.pu.go.id/search-badan-usaha-detail/ZEFUQXRvb2NCU2wzZkhJMEx5c053UT09</t>
        </is>
      </c>
      <c r="F35" t="n">
        <v>1</v>
      </c>
      <c r="G35" t="inlineStr">
        <is>
          <t>PL003</t>
        </is>
      </c>
      <c r="H35" t="inlineStr">
        <is>
          <t>29 Maret 2023</t>
        </is>
      </c>
      <c r="I35" s="2" t="n">
        <v>46326</v>
      </c>
      <c r="J35" t="inlineStr">
        <is>
          <t>Pembekuan</t>
        </is>
      </c>
      <c r="K35" t="n">
        <v>30</v>
      </c>
      <c r="L35" t="inlineStr">
        <is>
          <t>31 Oktober 2026</t>
        </is>
      </c>
      <c r="M35" t="inlineStr">
        <is>
          <t>Penyiapan Lahan Konstruksi</t>
        </is>
      </c>
      <c r="N35" t="inlineStr">
        <is>
          <t>Spesialis</t>
        </is>
      </c>
      <c r="O35" t="inlineStr">
        <is>
          <t>20231019</t>
        </is>
      </c>
      <c r="P35" t="inlineStr">
        <is>
          <t>DKI Jakarta</t>
        </is>
      </c>
      <c r="Q35" t="inlineStr"/>
    </row>
    <row r="36">
      <c r="A36" t="inlineStr">
        <is>
          <t>CAHAYA INDRA LAKSANA</t>
        </is>
      </c>
      <c r="B36" t="inlineStr">
        <is>
          <t>Kota Yogyakarta</t>
        </is>
      </c>
      <c r="C36" t="inlineStr">
        <is>
          <t>02742880788</t>
        </is>
      </c>
      <c r="D36" t="inlineStr">
        <is>
          <t>cahayaindralaksana@ymail.com</t>
        </is>
      </c>
      <c r="E36" t="inlineStr">
        <is>
          <t>https://lpjk.pu.go.id/search-badan-usaha-detail/dUFEUnJ3V2J0ZUJYblpRbzZKUFJZUT09</t>
        </is>
      </c>
      <c r="F36" t="n">
        <v>1</v>
      </c>
      <c r="G36" t="inlineStr">
        <is>
          <t>PL001</t>
        </is>
      </c>
      <c r="H36" t="inlineStr">
        <is>
          <t>26 September 2003</t>
        </is>
      </c>
      <c r="I36" s="2" t="n">
        <v>46326</v>
      </c>
      <c r="J36" t="inlineStr">
        <is>
          <t>Disetujui</t>
        </is>
      </c>
      <c r="K36" t="n">
        <v>30</v>
      </c>
      <c r="L36" t="inlineStr">
        <is>
          <t>31 Oktober 2026</t>
        </is>
      </c>
      <c r="M36" t="inlineStr">
        <is>
          <t>Pembongkaran Bangunan</t>
        </is>
      </c>
      <c r="N36" t="inlineStr">
        <is>
          <t>Spesialis</t>
        </is>
      </c>
      <c r="O36" t="inlineStr">
        <is>
          <t>20231026</t>
        </is>
      </c>
      <c r="P36" t="inlineStr">
        <is>
          <t>DI Yogyakarta</t>
        </is>
      </c>
      <c r="Q36" t="inlineStr"/>
    </row>
    <row r="37">
      <c r="A37" t="inlineStr">
        <is>
          <t>DEMI KARYA</t>
        </is>
      </c>
      <c r="B37" t="inlineStr">
        <is>
          <t>Kab. Sukabumi</t>
        </is>
      </c>
      <c r="C37" t="inlineStr">
        <is>
          <t>081333252938</t>
        </is>
      </c>
      <c r="D37" t="inlineStr">
        <is>
          <t>cvdemikarya@gmail.com</t>
        </is>
      </c>
      <c r="E37" t="inlineStr">
        <is>
          <t>https://lpjk.pu.go.id/search-badan-usaha-detail/RzYyeHRPMmJSMDlramtKZVlKRFc0QT09</t>
        </is>
      </c>
      <c r="F37" t="n">
        <v>5</v>
      </c>
      <c r="G37" t="inlineStr">
        <is>
          <t>BG005, BG006, BG009, BS001, BS004</t>
        </is>
      </c>
      <c r="H37" t="inlineStr">
        <is>
          <t>29 Desember 1999</t>
        </is>
      </c>
      <c r="I37" s="2" t="n">
        <v>46326</v>
      </c>
      <c r="J37" t="inlineStr">
        <is>
          <t>Disetujui</t>
        </is>
      </c>
      <c r="K37" t="n">
        <v>30</v>
      </c>
      <c r="L37" t="inlineStr">
        <is>
          <t>31 Oktober 2026</t>
        </is>
      </c>
      <c r="M37" t="inlineStr">
        <is>
          <t>Konstruksi Bangunan Sipil Jalan, Konstruksi Gedung Kesehatan, Konstruksi Gedung Lainnya, Konstruksi Gedung Pendidikan, Konstruksi Jaringan Irigasi dan Drainase</t>
        </is>
      </c>
      <c r="N37" t="inlineStr">
        <is>
          <t>K</t>
        </is>
      </c>
      <c r="O37" t="inlineStr">
        <is>
          <t>20231020, 20231026, 20231027</t>
        </is>
      </c>
      <c r="P37" t="inlineStr">
        <is>
          <t>Jawa Barat</t>
        </is>
      </c>
      <c r="Q37" t="inlineStr"/>
    </row>
    <row r="38">
      <c r="A38" t="inlineStr">
        <is>
          <t>DHARMA BANGUN PERSADA</t>
        </is>
      </c>
      <c r="B38" t="inlineStr">
        <is>
          <t>Kota Padang</t>
        </is>
      </c>
      <c r="C38" t="inlineStr">
        <is>
          <t>082389233572</t>
        </is>
      </c>
      <c r="D38" t="inlineStr">
        <is>
          <t>dharmabangunpersada@gmail.com</t>
        </is>
      </c>
      <c r="E38" t="inlineStr">
        <is>
          <t>https://lpjk.pu.go.id/search-badan-usaha-detail/aVVxQzIyMWtidXMzOTJlZDcxV2dJdz09</t>
        </is>
      </c>
      <c r="F38" t="n">
        <v>5</v>
      </c>
      <c r="G38" t="inlineStr">
        <is>
          <t>BG005, BG006, BG009, BS001, BS004</t>
        </is>
      </c>
      <c r="H38" t="inlineStr">
        <is>
          <t>2 Oktober 1992</t>
        </is>
      </c>
      <c r="I38" s="2" t="n">
        <v>46326</v>
      </c>
      <c r="J38" t="inlineStr">
        <is>
          <t>Disetujui</t>
        </is>
      </c>
      <c r="K38" t="n">
        <v>30</v>
      </c>
      <c r="L38" t="inlineStr">
        <is>
          <t>31 Oktober 2026</t>
        </is>
      </c>
      <c r="M38" t="inlineStr">
        <is>
          <t>Konstruksi Bangunan Sipil Jalan, Konstruksi Gedung Kesehatan, Konstruksi Gedung Lainnya, Konstruksi Gedung Pendidikan, Konstruksi Jaringan Irigasi dan Drainase</t>
        </is>
      </c>
      <c r="N38" t="inlineStr">
        <is>
          <t>K</t>
        </is>
      </c>
      <c r="O38" t="inlineStr">
        <is>
          <t>20231009, 20231026, 20231102</t>
        </is>
      </c>
      <c r="P38" t="inlineStr">
        <is>
          <t>Sumatera Barat</t>
        </is>
      </c>
      <c r="Q38" t="inlineStr"/>
    </row>
    <row r="39">
      <c r="A39" t="inlineStr">
        <is>
          <t>DUTA BARITO</t>
        </is>
      </c>
      <c r="B39" t="inlineStr">
        <is>
          <t>Kab. Murung Raya</t>
        </is>
      </c>
      <c r="C39" t="inlineStr">
        <is>
          <t>081351252453</t>
        </is>
      </c>
      <c r="D39" t="inlineStr">
        <is>
          <t>dutabarito_pc@ymail.com</t>
        </is>
      </c>
      <c r="E39" t="inlineStr">
        <is>
          <t>https://lpjk.pu.go.id/search-badan-usaha-detail/Z0VkZ2ZtSDFMRkQ4aXdsWWk3YTBJUT09</t>
        </is>
      </c>
      <c r="F39" t="n">
        <v>1</v>
      </c>
      <c r="G39" t="inlineStr">
        <is>
          <t>BG005</t>
        </is>
      </c>
      <c r="H39" t="inlineStr">
        <is>
          <t>25 Juli 1992</t>
        </is>
      </c>
      <c r="I39" s="2" t="n">
        <v>46326</v>
      </c>
      <c r="J39" t="inlineStr">
        <is>
          <t>Disetujui</t>
        </is>
      </c>
      <c r="K39" t="n">
        <v>30</v>
      </c>
      <c r="L39" t="inlineStr">
        <is>
          <t>31 Oktober 2026</t>
        </is>
      </c>
      <c r="M39" t="inlineStr">
        <is>
          <t>Konstruksi Gedung Kesehatan</t>
        </is>
      </c>
      <c r="N39" t="inlineStr">
        <is>
          <t>K</t>
        </is>
      </c>
      <c r="O39" t="inlineStr">
        <is>
          <t>20231027</t>
        </is>
      </c>
      <c r="P39" t="inlineStr">
        <is>
          <t>Kalimantan Tengah</t>
        </is>
      </c>
      <c r="Q39" t="inlineStr"/>
    </row>
    <row r="40">
      <c r="A40" t="inlineStr">
        <is>
          <t>GARASI SENTRA INDONESIA</t>
        </is>
      </c>
      <c r="B40" t="inlineStr">
        <is>
          <t>Kota Adm. Jakarta Selatan</t>
        </is>
      </c>
      <c r="C40" t="inlineStr">
        <is>
          <t>081994096479</t>
        </is>
      </c>
      <c r="D40" t="inlineStr">
        <is>
          <t>gasensia@gmail.com</t>
        </is>
      </c>
      <c r="E40" t="inlineStr">
        <is>
          <t>https://lpjk.pu.go.id/search-badan-usaha-detail/QXlwZW5neVRaQXBETnFDKzFpdEh4Zz09</t>
        </is>
      </c>
      <c r="F40" t="n">
        <v>2</v>
      </c>
      <c r="G40" t="inlineStr">
        <is>
          <t>BG002, BG003</t>
        </is>
      </c>
      <c r="H40" t="inlineStr">
        <is>
          <t>12 Februari 2019</t>
        </is>
      </c>
      <c r="I40" s="2" t="n">
        <v>46326</v>
      </c>
      <c r="J40" t="inlineStr">
        <is>
          <t>Pencabutan</t>
        </is>
      </c>
      <c r="K40" t="n">
        <v>30</v>
      </c>
      <c r="L40" t="inlineStr">
        <is>
          <t>31 Oktober 2026</t>
        </is>
      </c>
      <c r="M40" t="inlineStr">
        <is>
          <t>Konstruksi Gedung Industri, Konstruksi Gedung Perkantoran</t>
        </is>
      </c>
      <c r="N40" t="inlineStr">
        <is>
          <t>K</t>
        </is>
      </c>
      <c r="O40" t="inlineStr">
        <is>
          <t>20231017, 20231031</t>
        </is>
      </c>
      <c r="P40" t="inlineStr">
        <is>
          <t>DKI Jakarta</t>
        </is>
      </c>
      <c r="Q40" t="inlineStr"/>
    </row>
    <row r="41">
      <c r="A41" t="inlineStr">
        <is>
          <t>GEO UTAMA CONSULTANT</t>
        </is>
      </c>
      <c r="B41" t="inlineStr">
        <is>
          <t>Kota Padang</t>
        </is>
      </c>
      <c r="C41" t="inlineStr">
        <is>
          <t>085274049899</t>
        </is>
      </c>
      <c r="D41" t="inlineStr">
        <is>
          <t>geoutamaconsultant@gmail.com</t>
        </is>
      </c>
      <c r="E41" t="inlineStr">
        <is>
          <t>https://lpjk.pu.go.id/search-badan-usaha-detail/YnVXVDVMcGlsWmNISkdia1plUHIwQT09</t>
        </is>
      </c>
      <c r="F41" t="n">
        <v>1</v>
      </c>
      <c r="G41" t="inlineStr">
        <is>
          <t>RK001</t>
        </is>
      </c>
      <c r="H41" t="inlineStr">
        <is>
          <t>5 Juni 2023</t>
        </is>
      </c>
      <c r="I41" s="2" t="n">
        <v>46326</v>
      </c>
      <c r="J41" t="inlineStr">
        <is>
          <t>Disetujui</t>
        </is>
      </c>
      <c r="K41" t="n">
        <v>30</v>
      </c>
      <c r="L41" t="inlineStr">
        <is>
          <t>31 Oktober 2026</t>
        </is>
      </c>
      <c r="M41" t="inlineStr">
        <is>
          <t>Jasa Rekayasa Konstruksi Bangunan Gedung Hunian dan Non Hunian</t>
        </is>
      </c>
      <c r="N41" t="inlineStr">
        <is>
          <t>K</t>
        </is>
      </c>
      <c r="O41" t="inlineStr">
        <is>
          <t>20231021</t>
        </is>
      </c>
      <c r="P41" t="inlineStr">
        <is>
          <t>Sumatera Barat</t>
        </is>
      </c>
      <c r="Q41" t="inlineStr"/>
    </row>
    <row r="42">
      <c r="A42" t="inlineStr">
        <is>
          <t>GIRI MAKMUR</t>
        </is>
      </c>
      <c r="B42" t="inlineStr">
        <is>
          <t>Kab. Banyuwangi</t>
        </is>
      </c>
      <c r="C42" t="inlineStr">
        <is>
          <t>081233106985</t>
        </is>
      </c>
      <c r="D42" t="inlineStr">
        <is>
          <t>girimakmu.cv@gmail.com</t>
        </is>
      </c>
      <c r="E42" t="inlineStr">
        <is>
          <t>https://lpjk.pu.go.id/search-badan-usaha-detail/Y0IxYWpjN1h4a0J6OEUyVkpIR0VpZz09</t>
        </is>
      </c>
      <c r="F42" t="n">
        <v>2</v>
      </c>
      <c r="G42" t="inlineStr">
        <is>
          <t>BS001, BS004</t>
        </is>
      </c>
      <c r="H42" t="inlineStr">
        <is>
          <t>31 Maret 2016</t>
        </is>
      </c>
      <c r="I42" s="2" t="n">
        <v>46326</v>
      </c>
      <c r="J42" t="inlineStr">
        <is>
          <t>Disetujui</t>
        </is>
      </c>
      <c r="K42" t="n">
        <v>30</v>
      </c>
      <c r="L42" t="inlineStr">
        <is>
          <t>31 Oktober 2026</t>
        </is>
      </c>
      <c r="M42" t="inlineStr">
        <is>
          <t>Konstruksi Bangunan Sipil Jalan, Konstruksi Jaringan Irigasi dan Drainase</t>
        </is>
      </c>
      <c r="N42" t="inlineStr">
        <is>
          <t>K</t>
        </is>
      </c>
      <c r="O42" t="inlineStr">
        <is>
          <t>20231027, 20231101</t>
        </is>
      </c>
      <c r="P42" t="inlineStr">
        <is>
          <t>Jawa Timur</t>
        </is>
      </c>
      <c r="Q42" t="inlineStr"/>
    </row>
    <row r="43">
      <c r="A43" t="inlineStr">
        <is>
          <t>GRIGA PERSADA</t>
        </is>
      </c>
      <c r="B43" t="inlineStr">
        <is>
          <t>Kota Cirebon</t>
        </is>
      </c>
      <c r="C43" t="inlineStr">
        <is>
          <t>0231246508</t>
        </is>
      </c>
      <c r="D43" t="inlineStr">
        <is>
          <t>griga.persada@gmail.com</t>
        </is>
      </c>
      <c r="E43" t="inlineStr">
        <is>
          <t>https://lpjk.pu.go.id/search-badan-usaha-detail/MjM3aXFGQkV4WDNRYzdWeEpvREtXZz09</t>
        </is>
      </c>
      <c r="F43" t="n">
        <v>2</v>
      </c>
      <c r="G43" t="inlineStr">
        <is>
          <t>BG009, BS001</t>
        </is>
      </c>
      <c r="H43" t="inlineStr">
        <is>
          <t>8 Maret 2007</t>
        </is>
      </c>
      <c r="I43" s="2" t="n">
        <v>46326</v>
      </c>
      <c r="J43" t="inlineStr">
        <is>
          <t>Disetujui</t>
        </is>
      </c>
      <c r="K43" t="n">
        <v>30</v>
      </c>
      <c r="L43" t="inlineStr">
        <is>
          <t>31 Oktober 2026</t>
        </is>
      </c>
      <c r="M43" t="inlineStr">
        <is>
          <t>Konstruksi Bangunan Sipil Jalan, Konstruksi Gedung Lainnya</t>
        </is>
      </c>
      <c r="N43" t="inlineStr">
        <is>
          <t>K</t>
        </is>
      </c>
      <c r="O43" t="inlineStr">
        <is>
          <t>20231027</t>
        </is>
      </c>
      <c r="P43" t="inlineStr">
        <is>
          <t>Jawa Barat</t>
        </is>
      </c>
      <c r="Q43" t="inlineStr"/>
    </row>
    <row r="44">
      <c r="A44" t="inlineStr">
        <is>
          <t>GUNA KARYA MANDIRI</t>
        </is>
      </c>
      <c r="B44" t="inlineStr">
        <is>
          <t>Kab. Gianyar</t>
        </is>
      </c>
      <c r="C44" t="inlineStr">
        <is>
          <t>081246893060</t>
        </is>
      </c>
      <c r="D44" t="inlineStr">
        <is>
          <t>cv.gunakaryamandiri22@gmail.com</t>
        </is>
      </c>
      <c r="E44" t="inlineStr">
        <is>
          <t>https://lpjk.pu.go.id/search-badan-usaha-detail/N2JYSjBSV3JZRnhBVU53S0dpR0VTQT09</t>
        </is>
      </c>
      <c r="F44" t="n">
        <v>3</v>
      </c>
      <c r="G44" t="inlineStr">
        <is>
          <t>BG001, BG002, BG004</t>
        </is>
      </c>
      <c r="H44" t="inlineStr">
        <is>
          <t>16 Agustus 2007</t>
        </is>
      </c>
      <c r="I44" s="2" t="n">
        <v>46326</v>
      </c>
      <c r="J44" t="inlineStr">
        <is>
          <t>Disetujui</t>
        </is>
      </c>
      <c r="K44" t="n">
        <v>30</v>
      </c>
      <c r="L44" t="inlineStr">
        <is>
          <t>31 Oktober 2026</t>
        </is>
      </c>
      <c r="M44" t="inlineStr">
        <is>
          <t>Konstruksi Gedung Hunian, Konstruksi Gedung Perbelanjaan, Konstruksi Gedung Perkantoran</t>
        </is>
      </c>
      <c r="N44" t="inlineStr">
        <is>
          <t>K</t>
        </is>
      </c>
      <c r="O44" t="inlineStr">
        <is>
          <t>20231028, 20231031</t>
        </is>
      </c>
      <c r="P44" t="inlineStr">
        <is>
          <t>Bali</t>
        </is>
      </c>
      <c r="Q44" t="inlineStr"/>
    </row>
    <row r="45">
      <c r="A45" t="inlineStr">
        <is>
          <t>GUNA SARANA MANDIRI</t>
        </is>
      </c>
      <c r="B45" t="inlineStr">
        <is>
          <t>Kab. Bandung Barat</t>
        </is>
      </c>
      <c r="C45" t="inlineStr">
        <is>
          <t>08122012798</t>
        </is>
      </c>
      <c r="D45" t="inlineStr">
        <is>
          <t>saranamandiriguna@gmail.com</t>
        </is>
      </c>
      <c r="E45" t="inlineStr">
        <is>
          <t>https://lpjk.pu.go.id/search-badan-usaha-detail/SWlma0ZCTWJDRnhrbVJUb2QvTEpCQT09</t>
        </is>
      </c>
      <c r="F45" t="n">
        <v>1</v>
      </c>
      <c r="G45" t="inlineStr">
        <is>
          <t>PL003</t>
        </is>
      </c>
      <c r="H45" t="inlineStr">
        <is>
          <t>20 Desember 2003</t>
        </is>
      </c>
      <c r="I45" s="2" t="n">
        <v>46326</v>
      </c>
      <c r="J45" t="inlineStr">
        <is>
          <t>Pembekuan</t>
        </is>
      </c>
      <c r="K45" t="n">
        <v>30</v>
      </c>
      <c r="L45" t="inlineStr">
        <is>
          <t>31 Oktober 2026</t>
        </is>
      </c>
      <c r="M45" t="inlineStr">
        <is>
          <t>Penyiapan Lahan Konstruksi</t>
        </is>
      </c>
      <c r="N45" t="inlineStr">
        <is>
          <t>Spesialis</t>
        </is>
      </c>
      <c r="O45" t="inlineStr">
        <is>
          <t>20231030</t>
        </is>
      </c>
      <c r="P45" t="inlineStr">
        <is>
          <t>Jawa Barat</t>
        </is>
      </c>
      <c r="Q45" t="inlineStr"/>
    </row>
    <row r="46">
      <c r="A46" t="inlineStr">
        <is>
          <t>GUNAWAN CIPTA ARSINDO</t>
        </is>
      </c>
      <c r="B46" t="inlineStr">
        <is>
          <t>Kota Adm. Jakarta Barat</t>
        </is>
      </c>
      <c r="C46" t="inlineStr">
        <is>
          <t>0215805949</t>
        </is>
      </c>
      <c r="D46" t="inlineStr">
        <is>
          <t>ptgunawan77@yahoo.co.id</t>
        </is>
      </c>
      <c r="E46" t="inlineStr">
        <is>
          <t>https://lpjk.pu.go.id/search-badan-usaha-detail/Z05HSUdlMTdlbWt1SnNHOGtBakpJQT09</t>
        </is>
      </c>
      <c r="F46" t="n">
        <v>6</v>
      </c>
      <c r="G46" t="inlineStr">
        <is>
          <t>AR001, AR002, RK001</t>
        </is>
      </c>
      <c r="H46" t="inlineStr">
        <is>
          <t>9 Februari 1991</t>
        </is>
      </c>
      <c r="I46" s="2" t="n">
        <v>46326</v>
      </c>
      <c r="J46" t="inlineStr">
        <is>
          <t>Disetujui</t>
        </is>
      </c>
      <c r="K46" t="n">
        <v>30</v>
      </c>
      <c r="L46" t="inlineStr">
        <is>
          <t>31 Oktober 2026</t>
        </is>
      </c>
      <c r="M46" t="inlineStr">
        <is>
          <t>Jasa Arsitektural Bangunan Gedung Hunian dan Non Hunian, Jasa Arsitektural Lainnya, Jasa Rekayasa Konstruksi Bangunan Gedung Hunian dan Non Hunian</t>
        </is>
      </c>
      <c r="N46" t="inlineStr">
        <is>
          <t>K</t>
        </is>
      </c>
      <c r="O46" t="inlineStr">
        <is>
          <t>20231024</t>
        </is>
      </c>
      <c r="P46" t="inlineStr">
        <is>
          <t>DKI Jakarta</t>
        </is>
      </c>
      <c r="Q46" t="inlineStr"/>
    </row>
    <row r="47">
      <c r="A47" t="inlineStr">
        <is>
          <t>INDAH AGUSTINA</t>
        </is>
      </c>
      <c r="B47" t="inlineStr">
        <is>
          <t>Kab. Pangandaran</t>
        </is>
      </c>
      <c r="C47" t="inlineStr">
        <is>
          <t>085302650358</t>
        </is>
      </c>
      <c r="D47" t="inlineStr">
        <is>
          <t>cv.indahagustina01@gmail.com</t>
        </is>
      </c>
      <c r="E47" t="inlineStr">
        <is>
          <t>https://lpjk.pu.go.id/search-badan-usaha-detail/Y1dVQm95YVNtSUdsdG5PVmFBaWV6QT09</t>
        </is>
      </c>
      <c r="F47" t="n">
        <v>1</v>
      </c>
      <c r="G47" t="inlineStr">
        <is>
          <t>BG006</t>
        </is>
      </c>
      <c r="H47" t="inlineStr">
        <is>
          <t>20 Agustus 2010</t>
        </is>
      </c>
      <c r="I47" s="2" t="n">
        <v>46326</v>
      </c>
      <c r="J47" t="inlineStr">
        <is>
          <t>Disetujui</t>
        </is>
      </c>
      <c r="K47" t="n">
        <v>30</v>
      </c>
      <c r="L47" t="inlineStr">
        <is>
          <t>31 Oktober 2026</t>
        </is>
      </c>
      <c r="M47" t="inlineStr">
        <is>
          <t>Konstruksi Gedung Pendidikan</t>
        </is>
      </c>
      <c r="N47" t="inlineStr">
        <is>
          <t>K</t>
        </is>
      </c>
      <c r="O47" t="inlineStr">
        <is>
          <t>20231030</t>
        </is>
      </c>
      <c r="P47" t="inlineStr">
        <is>
          <t>Jawa Barat</t>
        </is>
      </c>
      <c r="Q47" t="inlineStr"/>
    </row>
    <row r="48">
      <c r="A48" t="inlineStr">
        <is>
          <t>INDAH JAYA KONTRUKSI</t>
        </is>
      </c>
      <c r="B48" t="inlineStr">
        <is>
          <t>Kab. Berau</t>
        </is>
      </c>
      <c r="C48" t="inlineStr">
        <is>
          <t>08115926992</t>
        </is>
      </c>
      <c r="D48" t="inlineStr">
        <is>
          <t>indahjayakontruksi@gmail.com</t>
        </is>
      </c>
      <c r="E48" t="inlineStr">
        <is>
          <t>https://lpjk.pu.go.id/search-badan-usaha-detail/MUdXb0VZSkp0OTdiYmJYeEwxcStpdz09</t>
        </is>
      </c>
      <c r="F48" t="n">
        <v>2</v>
      </c>
      <c r="G48" t="inlineStr">
        <is>
          <t>BG001, BG009</t>
        </is>
      </c>
      <c r="H48" t="inlineStr">
        <is>
          <t>24 November 2015</t>
        </is>
      </c>
      <c r="I48" s="2" t="n">
        <v>46326</v>
      </c>
      <c r="J48" t="inlineStr">
        <is>
          <t>Pencabutan</t>
        </is>
      </c>
      <c r="K48" t="n">
        <v>30</v>
      </c>
      <c r="L48" t="inlineStr">
        <is>
          <t>31 Oktober 2026</t>
        </is>
      </c>
      <c r="M48" t="inlineStr">
        <is>
          <t>Konstruksi Gedung Hunian, Konstruksi Gedung Lainnya</t>
        </is>
      </c>
      <c r="N48" t="inlineStr">
        <is>
          <t>K</t>
        </is>
      </c>
      <c r="O48" t="inlineStr">
        <is>
          <t>20231030</t>
        </is>
      </c>
      <c r="P48" t="inlineStr">
        <is>
          <t>Kalimantan Timur</t>
        </is>
      </c>
      <c r="Q48" t="inlineStr"/>
    </row>
    <row r="49">
      <c r="A49" t="inlineStr">
        <is>
          <t>INTI BUMI MANDIRI</t>
        </is>
      </c>
      <c r="B49" t="inlineStr">
        <is>
          <t>Kota Bontang</t>
        </is>
      </c>
      <c r="C49" t="inlineStr">
        <is>
          <t>08129731724</t>
        </is>
      </c>
      <c r="D49" t="inlineStr">
        <is>
          <t>intibumimandiri@yahoo.com</t>
        </is>
      </c>
      <c r="E49" t="inlineStr">
        <is>
          <t>https://lpjk.pu.go.id/search-badan-usaha-detail/TG9iN1pkc3hFd29PZTlrdHFiTU1idz09</t>
        </is>
      </c>
      <c r="F49" t="n">
        <v>2</v>
      </c>
      <c r="G49" t="inlineStr">
        <is>
          <t>BG009, BS004</t>
        </is>
      </c>
      <c r="H49" t="inlineStr">
        <is>
          <t>8 Maret 2012</t>
        </is>
      </c>
      <c r="I49" s="2" t="n">
        <v>46326</v>
      </c>
      <c r="J49" t="inlineStr">
        <is>
          <t>Disetujui</t>
        </is>
      </c>
      <c r="K49" t="n">
        <v>30</v>
      </c>
      <c r="L49" t="inlineStr">
        <is>
          <t>31 Oktober 2026</t>
        </is>
      </c>
      <c r="M49" t="inlineStr">
        <is>
          <t>Konstruksi Gedung Lainnya, Konstruksi Jaringan Irigasi dan Drainase</t>
        </is>
      </c>
      <c r="N49" t="inlineStr">
        <is>
          <t>K</t>
        </is>
      </c>
      <c r="O49" t="inlineStr">
        <is>
          <t>20231030</t>
        </is>
      </c>
      <c r="P49" t="inlineStr">
        <is>
          <t>Kalimantan Timur</t>
        </is>
      </c>
      <c r="Q49" t="inlineStr"/>
    </row>
    <row r="50">
      <c r="A50" t="inlineStr">
        <is>
          <t>JATI MAS</t>
        </is>
      </c>
      <c r="B50" t="inlineStr">
        <is>
          <t>Kab. Jember</t>
        </is>
      </c>
      <c r="C50" t="inlineStr">
        <is>
          <t>081249672030</t>
        </is>
      </c>
      <c r="D50" t="inlineStr">
        <is>
          <t>cvjatimas121@gmail.com</t>
        </is>
      </c>
      <c r="E50" t="inlineStr">
        <is>
          <t>https://lpjk.pu.go.id/search-badan-usaha-detail/MWhTdTVGZ0xUcm9SN3U2a2ZvSkNKRlEwV0pyeXRLQVRjeHFRL21QczNsaz0</t>
        </is>
      </c>
      <c r="F50" t="n">
        <v>1</v>
      </c>
      <c r="G50" t="inlineStr">
        <is>
          <t>BS002</t>
        </is>
      </c>
      <c r="H50" t="inlineStr">
        <is>
          <t>7 Februari 2025</t>
        </is>
      </c>
      <c r="I50" s="2" t="n">
        <v>46326</v>
      </c>
      <c r="J50" t="inlineStr">
        <is>
          <t>Disetujui</t>
        </is>
      </c>
      <c r="K50" t="n">
        <v>30</v>
      </c>
      <c r="L50" t="inlineStr">
        <is>
          <t>31 Oktober 2026</t>
        </is>
      </c>
      <c r="M50" t="inlineStr">
        <is>
          <t>Bangunan Sipil Jembatan, Jalan Layang, Fly Over, dan Underpass</t>
        </is>
      </c>
      <c r="N50" t="inlineStr">
        <is>
          <t>K</t>
        </is>
      </c>
      <c r="O50" t="inlineStr">
        <is>
          <t>20231027</t>
        </is>
      </c>
      <c r="P50" t="inlineStr">
        <is>
          <t>Jawa Timur</t>
        </is>
      </c>
      <c r="Q50" t="inlineStr"/>
    </row>
    <row r="51">
      <c r="A51" t="inlineStr">
        <is>
          <t>JAVA PERDANA</t>
        </is>
      </c>
      <c r="B51" t="inlineStr">
        <is>
          <t>Kab. Langkat</t>
        </is>
      </c>
      <c r="C51" t="inlineStr">
        <is>
          <t>081263595588</t>
        </is>
      </c>
      <c r="D51" t="inlineStr">
        <is>
          <t>javaperdana@yahoo.com</t>
        </is>
      </c>
      <c r="E51" t="inlineStr">
        <is>
          <t>https://lpjk.pu.go.id/search-badan-usaha-detail/OGJraXV2WXl6NEtPd3AxRW1YSkdxdz09</t>
        </is>
      </c>
      <c r="F51" t="n">
        <v>5</v>
      </c>
      <c r="G51" t="inlineStr">
        <is>
          <t>BG005, BG006, BG009, BS001, BS010</t>
        </is>
      </c>
      <c r="H51" t="inlineStr">
        <is>
          <t>14 Februari 2007</t>
        </is>
      </c>
      <c r="I51" s="2" t="n">
        <v>46326</v>
      </c>
      <c r="J51" t="inlineStr">
        <is>
          <t>Disetujui</t>
        </is>
      </c>
      <c r="K51" t="n">
        <v>30</v>
      </c>
      <c r="L51" t="inlineStr">
        <is>
          <t>31 Oktober 2026</t>
        </is>
      </c>
      <c r="M51" t="inlineStr">
        <is>
          <t>Konstruksi Bangunan Prasarana Sumber Daya Air, Konstruksi Bangunan Sipil Jalan, Konstruksi Gedung Kesehatan, Konstruksi Gedung Lainnya, Konstruksi Gedung Pendidikan</t>
        </is>
      </c>
      <c r="N51" t="inlineStr">
        <is>
          <t>K</t>
        </is>
      </c>
      <c r="O51" t="inlineStr">
        <is>
          <t>20231031, 20231102</t>
        </is>
      </c>
      <c r="P51" t="inlineStr">
        <is>
          <t>Sumatera Utara</t>
        </is>
      </c>
      <c r="Q51" t="inlineStr"/>
    </row>
    <row r="52">
      <c r="A52" t="inlineStr">
        <is>
          <t>JAYA MANDIRI</t>
        </is>
      </c>
      <c r="B52" t="inlineStr">
        <is>
          <t>Kab. Bintan</t>
        </is>
      </c>
      <c r="C52" t="inlineStr">
        <is>
          <t>081279327978</t>
        </is>
      </c>
      <c r="D52" t="inlineStr">
        <is>
          <t>argacece@gmail.com</t>
        </is>
      </c>
      <c r="E52" t="inlineStr">
        <is>
          <t>https://lpjk.pu.go.id/search-badan-usaha-detail/M2twK0dCNnpwNkxZWUJNeUVzOTFrUT09</t>
        </is>
      </c>
      <c r="F52" t="n">
        <v>5</v>
      </c>
      <c r="G52" t="inlineStr">
        <is>
          <t>BG006, BG009</t>
        </is>
      </c>
      <c r="H52" t="inlineStr">
        <is>
          <t>26 Agustus 2015</t>
        </is>
      </c>
      <c r="I52" s="2" t="n">
        <v>46326</v>
      </c>
      <c r="J52" t="inlineStr">
        <is>
          <t>Disetujui</t>
        </is>
      </c>
      <c r="K52" t="n">
        <v>30</v>
      </c>
      <c r="L52" t="inlineStr">
        <is>
          <t>31 Oktober 2026</t>
        </is>
      </c>
      <c r="M52" t="inlineStr">
        <is>
          <t>Konstruksi Gedung Lainnya, Konstruksi Gedung Pendidikan</t>
        </is>
      </c>
      <c r="N52" t="inlineStr">
        <is>
          <t>K</t>
        </is>
      </c>
      <c r="O52" t="inlineStr">
        <is>
          <t>20231003, 20231102</t>
        </is>
      </c>
      <c r="P52" t="inlineStr">
        <is>
          <t>Kepulauan Riau</t>
        </is>
      </c>
      <c r="Q52" t="inlineStr"/>
    </row>
    <row r="53">
      <c r="A53" t="inlineStr">
        <is>
          <t>JEMBAR RIZKI BAROKAH</t>
        </is>
      </c>
      <c r="B53" t="inlineStr">
        <is>
          <t>Kab. Garut</t>
        </is>
      </c>
      <c r="C53" t="inlineStr">
        <is>
          <t>085871024815</t>
        </is>
      </c>
      <c r="D53" t="inlineStr">
        <is>
          <t>cvjembarrizqi@gmail.com</t>
        </is>
      </c>
      <c r="E53" t="inlineStr">
        <is>
          <t>https://lpjk.pu.go.id/search-badan-usaha-detail/UURweFU1dlE4N3V3T0ljK1ZYWThvUT09</t>
        </is>
      </c>
      <c r="F53" t="n">
        <v>3</v>
      </c>
      <c r="G53" t="inlineStr">
        <is>
          <t>BG004, BG006, BS001</t>
        </is>
      </c>
      <c r="H53" t="inlineStr">
        <is>
          <t>10 Januari 2020</t>
        </is>
      </c>
      <c r="I53" s="2" t="n">
        <v>46326</v>
      </c>
      <c r="J53" t="inlineStr">
        <is>
          <t>Disetujui</t>
        </is>
      </c>
      <c r="K53" t="n">
        <v>30</v>
      </c>
      <c r="L53" t="inlineStr">
        <is>
          <t>31 Oktober 2026</t>
        </is>
      </c>
      <c r="M53" t="inlineStr">
        <is>
          <t>Konstruksi Bangunan Sipil Jalan, Konstruksi Gedung Pendidikan, Konstruksi Gedung Perbelanjaan</t>
        </is>
      </c>
      <c r="N53" t="inlineStr">
        <is>
          <t>K</t>
        </is>
      </c>
      <c r="O53" t="inlineStr">
        <is>
          <t>20231030</t>
        </is>
      </c>
      <c r="P53" t="inlineStr">
        <is>
          <t>Jawa Barat</t>
        </is>
      </c>
      <c r="Q53" t="inlineStr"/>
    </row>
    <row r="54">
      <c r="A54" t="inlineStr">
        <is>
          <t>KARISMA CIPTATUNGGAL</t>
        </is>
      </c>
      <c r="B54" t="inlineStr">
        <is>
          <t>Kota Semarang</t>
        </is>
      </c>
      <c r="C54" t="inlineStr">
        <is>
          <t>0247617187</t>
        </is>
      </c>
      <c r="D54" t="inlineStr">
        <is>
          <t>pt.karismaciptatunggalgroup@gmail.com</t>
        </is>
      </c>
      <c r="E54" t="inlineStr">
        <is>
          <t>https://lpjk.pu.go.id/search-badan-usaha-detail/a1JtamlOdDVuNUtJQTYvTkF2ZEo3Zz09</t>
        </is>
      </c>
      <c r="F54" t="n">
        <v>2</v>
      </c>
      <c r="G54" t="inlineStr">
        <is>
          <t>BG002, BS001</t>
        </is>
      </c>
      <c r="H54" t="inlineStr">
        <is>
          <t>14 September 1990</t>
        </is>
      </c>
      <c r="I54" s="2" t="n">
        <v>46326</v>
      </c>
      <c r="J54" t="inlineStr">
        <is>
          <t>Disetujui</t>
        </is>
      </c>
      <c r="K54" t="n">
        <v>30</v>
      </c>
      <c r="L54" t="inlineStr">
        <is>
          <t>31 Oktober 2026</t>
        </is>
      </c>
      <c r="M54" t="inlineStr">
        <is>
          <t>Konstruksi Bangunan Sipil Jalan, Konstruksi Gedung Perkantoran</t>
        </is>
      </c>
      <c r="N54" t="inlineStr">
        <is>
          <t>M</t>
        </is>
      </c>
      <c r="O54" t="inlineStr">
        <is>
          <t>20231013, 20231028</t>
        </is>
      </c>
      <c r="P54" t="inlineStr">
        <is>
          <t>Jawa Tengah</t>
        </is>
      </c>
      <c r="Q54" t="inlineStr"/>
    </row>
    <row r="55">
      <c r="A55" t="inlineStr">
        <is>
          <t>KARYA MAKMUR INTEGRA</t>
        </is>
      </c>
      <c r="B55" t="inlineStr">
        <is>
          <t>Kota Surabaya</t>
        </is>
      </c>
      <c r="C55" t="inlineStr">
        <is>
          <t>0315687284</t>
        </is>
      </c>
      <c r="D55" t="inlineStr">
        <is>
          <t>wsoemarny@yahoo.co.id</t>
        </is>
      </c>
      <c r="E55" t="inlineStr">
        <is>
          <t>https://lpjk.pu.go.id/search-badan-usaha-detail/VjNUVHZ6RENiUFRrVVRoMWFmS1dQZz09</t>
        </is>
      </c>
      <c r="F55" t="n">
        <v>1</v>
      </c>
      <c r="G55" t="inlineStr">
        <is>
          <t>IN008</t>
        </is>
      </c>
      <c r="H55" t="inlineStr">
        <is>
          <t>12 Juni 2014</t>
        </is>
      </c>
      <c r="I55" s="2" t="n">
        <v>46326</v>
      </c>
      <c r="J55" t="inlineStr">
        <is>
          <t>Pembekuan</t>
        </is>
      </c>
      <c r="K55" t="n">
        <v>30</v>
      </c>
      <c r="L55" t="inlineStr">
        <is>
          <t>31 Oktober 2026</t>
        </is>
      </c>
      <c r="M55" t="inlineStr">
        <is>
          <t>Instalasi Pendingin Dan Ventilasi Udara</t>
        </is>
      </c>
      <c r="N55" t="inlineStr">
        <is>
          <t>Spesialis</t>
        </is>
      </c>
      <c r="O55" t="inlineStr">
        <is>
          <t>20221215</t>
        </is>
      </c>
      <c r="P55" t="inlineStr">
        <is>
          <t>Jawa Timur</t>
        </is>
      </c>
      <c r="Q55" t="inlineStr"/>
    </row>
    <row r="56">
      <c r="A56" t="inlineStr">
        <is>
          <t>KARYA WIGUNA UTAMA</t>
        </is>
      </c>
      <c r="B56" t="inlineStr">
        <is>
          <t>Kota Denpasar</t>
        </is>
      </c>
      <c r="C56" t="inlineStr">
        <is>
          <t>0361263038</t>
        </is>
      </c>
      <c r="D56" t="inlineStr">
        <is>
          <t>kwigunautama@gmail.com</t>
        </is>
      </c>
      <c r="E56" t="inlineStr">
        <is>
          <t>https://lpjk.pu.go.id/search-badan-usaha-detail/KzYwbzVsNkFDWTloblNaaXgvK0F6UT09</t>
        </is>
      </c>
      <c r="F56" t="n">
        <v>1</v>
      </c>
      <c r="G56" t="inlineStr">
        <is>
          <t>BS001</t>
        </is>
      </c>
      <c r="H56" t="inlineStr">
        <is>
          <t>20 Oktober 2003</t>
        </is>
      </c>
      <c r="I56" s="2" t="n">
        <v>46326</v>
      </c>
      <c r="J56" t="inlineStr">
        <is>
          <t>Disetujui</t>
        </is>
      </c>
      <c r="K56" t="n">
        <v>30</v>
      </c>
      <c r="L56" t="inlineStr">
        <is>
          <t>31 Oktober 2026</t>
        </is>
      </c>
      <c r="M56" t="inlineStr">
        <is>
          <t>Konstruksi Bangunan Sipil Jalan</t>
        </is>
      </c>
      <c r="N56" t="inlineStr">
        <is>
          <t>K</t>
        </is>
      </c>
      <c r="O56" t="inlineStr">
        <is>
          <t>20231025</t>
        </is>
      </c>
      <c r="P56" t="inlineStr">
        <is>
          <t>Bali</t>
        </is>
      </c>
      <c r="Q56" t="inlineStr"/>
    </row>
    <row r="57">
      <c r="A57" t="inlineStr">
        <is>
          <t>MAHESA DWI FAZZA</t>
        </is>
      </c>
      <c r="B57" t="inlineStr">
        <is>
          <t>Kota Padang Sidempuan</t>
        </is>
      </c>
      <c r="C57" t="inlineStr">
        <is>
          <t>082181739593</t>
        </is>
      </c>
      <c r="D57" t="inlineStr">
        <is>
          <t>cvmahesa@gmail.com</t>
        </is>
      </c>
      <c r="E57" t="inlineStr">
        <is>
          <t>https://lpjk.pu.go.id/search-badan-usaha-detail/UWV3Qm5VYUs2eU1yK3NjV0tQOGY2QT09</t>
        </is>
      </c>
      <c r="F57" t="n">
        <v>4</v>
      </c>
      <c r="G57" t="inlineStr">
        <is>
          <t>BG006, BG009, BS001, BS004</t>
        </is>
      </c>
      <c r="H57" t="inlineStr">
        <is>
          <t>7 September 2023</t>
        </is>
      </c>
      <c r="I57" s="2" t="n">
        <v>46326</v>
      </c>
      <c r="J57" t="inlineStr">
        <is>
          <t>Disetujui</t>
        </is>
      </c>
      <c r="K57" t="n">
        <v>30</v>
      </c>
      <c r="L57" t="inlineStr">
        <is>
          <t>31 Oktober 2026</t>
        </is>
      </c>
      <c r="M57" t="inlineStr">
        <is>
          <t>Konstruksi Bangunan Sipil Jalan, Konstruksi Gedung Lainnya, Konstruksi Gedung Pendidikan, Konstruksi Jaringan Irigasi dan Drainase</t>
        </is>
      </c>
      <c r="N57" t="inlineStr">
        <is>
          <t>K</t>
        </is>
      </c>
      <c r="O57" t="inlineStr">
        <is>
          <t>20231101, 20231106</t>
        </is>
      </c>
      <c r="P57" t="inlineStr">
        <is>
          <t>Sumatera Utara</t>
        </is>
      </c>
      <c r="Q57" t="inlineStr"/>
    </row>
    <row r="58">
      <c r="A58" t="inlineStr">
        <is>
          <t>MAHIJA RAYA26</t>
        </is>
      </c>
      <c r="B58" t="inlineStr">
        <is>
          <t>Kab. Nganjuk</t>
        </is>
      </c>
      <c r="C58" t="inlineStr">
        <is>
          <t>081219590246</t>
        </is>
      </c>
      <c r="D58" t="inlineStr">
        <is>
          <t>cv.mahijaraya26@gmail.com</t>
        </is>
      </c>
      <c r="E58" t="inlineStr">
        <is>
          <t>https://lpjk.pu.go.id/search-badan-usaha-detail/OWcxWEp5bklIdmpHZFJ6UTBoRkNtUT09</t>
        </is>
      </c>
      <c r="F58" t="n">
        <v>1</v>
      </c>
      <c r="G58" t="inlineStr">
        <is>
          <t>BS002</t>
        </is>
      </c>
      <c r="H58" t="inlineStr">
        <is>
          <t>7 Februari 2023</t>
        </is>
      </c>
      <c r="I58" s="2" t="n">
        <v>46326</v>
      </c>
      <c r="J58" t="inlineStr">
        <is>
          <t>Disetujui</t>
        </is>
      </c>
      <c r="K58" t="n">
        <v>30</v>
      </c>
      <c r="L58" t="inlineStr">
        <is>
          <t>31 Oktober 2026</t>
        </is>
      </c>
      <c r="M58" t="inlineStr">
        <is>
          <t>Bangunan Sipil Jembatan, Jalan Layang, Fly Over, dan Underpass</t>
        </is>
      </c>
      <c r="N58" t="inlineStr">
        <is>
          <t>K</t>
        </is>
      </c>
      <c r="O58" t="inlineStr">
        <is>
          <t>20231031</t>
        </is>
      </c>
      <c r="P58" t="inlineStr">
        <is>
          <t>Jawa Timur</t>
        </is>
      </c>
      <c r="Q58" t="inlineStr"/>
    </row>
    <row r="59">
      <c r="A59" t="inlineStr">
        <is>
          <t>MAJU</t>
        </is>
      </c>
      <c r="B59" t="inlineStr">
        <is>
          <t>Kab. Bondowoso</t>
        </is>
      </c>
      <c r="C59" t="inlineStr">
        <is>
          <t>081358943477</t>
        </is>
      </c>
      <c r="D59" t="inlineStr">
        <is>
          <t>audition_yoss23@yahoo.com</t>
        </is>
      </c>
      <c r="E59" t="inlineStr">
        <is>
          <t>https://lpjk.pu.go.id/search-badan-usaha-detail/V1lNVTdBeTVZSUVCQ25NVDkzYyt3eExvWHhNK3dPRGtEOWtBRVBqOFpzdz0</t>
        </is>
      </c>
      <c r="F59" t="n">
        <v>1</v>
      </c>
      <c r="G59" t="inlineStr">
        <is>
          <t>BG005</t>
        </is>
      </c>
      <c r="H59" t="inlineStr">
        <is>
          <t>25 September 2024</t>
        </is>
      </c>
      <c r="I59" s="2" t="n">
        <v>46326</v>
      </c>
      <c r="J59" t="inlineStr">
        <is>
          <t>Disetujui</t>
        </is>
      </c>
      <c r="K59" t="n">
        <v>30</v>
      </c>
      <c r="L59" t="inlineStr">
        <is>
          <t>31 Oktober 2026</t>
        </is>
      </c>
      <c r="M59" t="inlineStr">
        <is>
          <t>Konstruksi Gedung Kesehatan</t>
        </is>
      </c>
      <c r="N59" t="inlineStr">
        <is>
          <t>K</t>
        </is>
      </c>
      <c r="O59" t="inlineStr">
        <is>
          <t>20231030</t>
        </is>
      </c>
      <c r="P59" t="inlineStr">
        <is>
          <t>Jawa Timur</t>
        </is>
      </c>
      <c r="Q59" t="inlineStr"/>
    </row>
    <row r="60">
      <c r="A60" t="inlineStr">
        <is>
          <t>MANGGALAKARYA BANGUN SARANA</t>
        </is>
      </c>
      <c r="B60" t="inlineStr">
        <is>
          <t>Kab. Karanganyar</t>
        </is>
      </c>
      <c r="C60" t="inlineStr">
        <is>
          <t>0271-2873759</t>
        </is>
      </c>
      <c r="D60" t="inlineStr">
        <is>
          <t>corsec@manggalakarya.com</t>
        </is>
      </c>
      <c r="E60" t="inlineStr">
        <is>
          <t>https://lpjk.pu.go.id/search-badan-usaha-detail/VGlUbXBzRzZncGVJcjhtMVJUSThzZz09</t>
        </is>
      </c>
      <c r="F60" t="n">
        <v>6</v>
      </c>
      <c r="G60" t="inlineStr">
        <is>
          <t>IT001, IT002, IT003</t>
        </is>
      </c>
      <c r="H60" t="inlineStr">
        <is>
          <t>31 Oktober 2002</t>
        </is>
      </c>
      <c r="I60" s="2" t="n">
        <v>46326</v>
      </c>
      <c r="J60" t="inlineStr">
        <is>
          <t>Disetujui</t>
        </is>
      </c>
      <c r="K60" t="n">
        <v>30</v>
      </c>
      <c r="L60" t="inlineStr">
        <is>
          <t>31 Oktober 2026</t>
        </is>
      </c>
      <c r="M60" t="inlineStr">
        <is>
          <t>Jasa Konsultansi Ilmiah dan Teknis Bawah Tanah, Jasa Konsultansi Ilmiah dan Teknis Permukaan Tanah dan Pembuatan Peta, Jasa Pembuatan Prospektus Geologi dan Geofisika</t>
        </is>
      </c>
      <c r="N60" t="inlineStr">
        <is>
          <t>Spesialis</t>
        </is>
      </c>
      <c r="O60" t="inlineStr">
        <is>
          <t>20231003, 20231012</t>
        </is>
      </c>
      <c r="P60" t="inlineStr">
        <is>
          <t>Jawa Tengah</t>
        </is>
      </c>
      <c r="Q60" t="inlineStr"/>
    </row>
    <row r="61">
      <c r="A61" t="inlineStr">
        <is>
          <t>MEDIA JASA TEKNIK</t>
        </is>
      </c>
      <c r="B61" t="inlineStr">
        <is>
          <t>Kota Pontianak</t>
        </is>
      </c>
      <c r="C61" t="inlineStr">
        <is>
          <t>0895340600787</t>
        </is>
      </c>
      <c r="D61" t="inlineStr">
        <is>
          <t>media_mjt2012@yahoo.com</t>
        </is>
      </c>
      <c r="E61" t="inlineStr">
        <is>
          <t>https://lpjk.pu.go.id/search-badan-usaha-detail/U1A1UDN1MDBQV1FJcUpCRFM2NUlGZz09</t>
        </is>
      </c>
      <c r="F61" t="n">
        <v>4</v>
      </c>
      <c r="G61" t="inlineStr">
        <is>
          <t>BG002, BG009, BS001, BS004</t>
        </is>
      </c>
      <c r="H61" t="inlineStr">
        <is>
          <t>17 Maret 2012</t>
        </is>
      </c>
      <c r="I61" s="2" t="n">
        <v>46326</v>
      </c>
      <c r="J61" t="inlineStr">
        <is>
          <t>Disetujui</t>
        </is>
      </c>
      <c r="K61" t="n">
        <v>30</v>
      </c>
      <c r="L61" t="inlineStr">
        <is>
          <t>31 Oktober 2026</t>
        </is>
      </c>
      <c r="M61" t="inlineStr">
        <is>
          <t>Konstruksi Bangunan Sipil Jalan, Konstruksi Gedung Lainnya, Konstruksi Gedung Perkantoran, Konstruksi Jaringan Irigasi dan Drainase</t>
        </is>
      </c>
      <c r="N61" t="inlineStr">
        <is>
          <t>K</t>
        </is>
      </c>
      <c r="O61" t="inlineStr">
        <is>
          <t>20231011, 20231019, 20231031</t>
        </is>
      </c>
      <c r="P61" t="inlineStr">
        <is>
          <t>Kalimantan Barat</t>
        </is>
      </c>
      <c r="Q61" t="inlineStr"/>
    </row>
    <row r="62">
      <c r="A62" t="inlineStr">
        <is>
          <t>MITRA INDAH</t>
        </is>
      </c>
      <c r="B62" t="inlineStr">
        <is>
          <t>Kab. Buleleng</t>
        </is>
      </c>
      <c r="C62" t="inlineStr">
        <is>
          <t>087762926100</t>
        </is>
      </c>
      <c r="D62" t="inlineStr">
        <is>
          <t>cvmitraindah73@gmail.com</t>
        </is>
      </c>
      <c r="E62" t="inlineStr">
        <is>
          <t>https://lpjk.pu.go.id/search-badan-usaha-detail/VWtPRk9NQ2pXa0lOQmhWNGdhdXRoZz09</t>
        </is>
      </c>
      <c r="F62" t="n">
        <v>1</v>
      </c>
      <c r="G62" t="inlineStr">
        <is>
          <t>BS004</t>
        </is>
      </c>
      <c r="H62" t="inlineStr">
        <is>
          <t>22 Januari 2007</t>
        </is>
      </c>
      <c r="I62" s="2" t="n">
        <v>46326</v>
      </c>
      <c r="J62" t="inlineStr">
        <is>
          <t>Disetujui</t>
        </is>
      </c>
      <c r="K62" t="n">
        <v>30</v>
      </c>
      <c r="L62" t="inlineStr">
        <is>
          <t>31 Oktober 2026</t>
        </is>
      </c>
      <c r="M62" t="inlineStr">
        <is>
          <t>Konstruksi Jaringan Irigasi dan Drainase</t>
        </is>
      </c>
      <c r="N62" t="inlineStr">
        <is>
          <t>K</t>
        </is>
      </c>
      <c r="O62" t="inlineStr">
        <is>
          <t>20231027</t>
        </is>
      </c>
      <c r="P62" t="inlineStr">
        <is>
          <t>Bali</t>
        </is>
      </c>
      <c r="Q62" t="inlineStr"/>
    </row>
    <row r="63">
      <c r="A63" t="inlineStr">
        <is>
          <t>MORA BROTHERS CONSTRUCTION</t>
        </is>
      </c>
      <c r="B63" t="inlineStr">
        <is>
          <t>Kab. Tanjung Jabung Barat</t>
        </is>
      </c>
      <c r="C63" t="inlineStr">
        <is>
          <t>0895629123080</t>
        </is>
      </c>
      <c r="D63" t="inlineStr">
        <is>
          <t>morabrotherconstruction@gmail.com</t>
        </is>
      </c>
      <c r="E63" t="inlineStr">
        <is>
          <t>https://lpjk.pu.go.id/search-badan-usaha-detail/TTVNU25qamNTSHp5eUVoVzRSTTdWQT09</t>
        </is>
      </c>
      <c r="F63" t="n">
        <v>2</v>
      </c>
      <c r="G63" t="inlineStr">
        <is>
          <t>BG005, BG006</t>
        </is>
      </c>
      <c r="H63" t="inlineStr">
        <is>
          <t>6 Juni 2023</t>
        </is>
      </c>
      <c r="I63" s="2" t="n">
        <v>46326</v>
      </c>
      <c r="J63" t="inlineStr">
        <is>
          <t>Disetujui</t>
        </is>
      </c>
      <c r="K63" t="n">
        <v>30</v>
      </c>
      <c r="L63" t="inlineStr">
        <is>
          <t>31 Oktober 2026</t>
        </is>
      </c>
      <c r="M63" t="inlineStr">
        <is>
          <t>Konstruksi Gedung Kesehatan, Konstruksi Gedung Pendidikan</t>
        </is>
      </c>
      <c r="N63" t="inlineStr">
        <is>
          <t>K</t>
        </is>
      </c>
      <c r="O63" t="inlineStr">
        <is>
          <t>20231031</t>
        </is>
      </c>
      <c r="P63" t="inlineStr">
        <is>
          <t>Jambi</t>
        </is>
      </c>
      <c r="Q63" t="inlineStr"/>
    </row>
    <row r="64">
      <c r="A64" t="inlineStr">
        <is>
          <t>MUTIARA TIMUR INDONESIA</t>
        </is>
      </c>
      <c r="B64" t="inlineStr">
        <is>
          <t>Kab. Bantul</t>
        </is>
      </c>
      <c r="C64" t="inlineStr">
        <is>
          <t>082238608852</t>
        </is>
      </c>
      <c r="D64" t="inlineStr">
        <is>
          <t>ptmutiaratimurindo@gmail.com</t>
        </is>
      </c>
      <c r="E64" t="inlineStr">
        <is>
          <t>https://lpjk.pu.go.id/search-badan-usaha-detail/VXFTcUFnZVlnRzZCamVITWFJb0h6dz09</t>
        </is>
      </c>
      <c r="F64" t="n">
        <v>2</v>
      </c>
      <c r="G64" t="inlineStr">
        <is>
          <t>BG003</t>
        </is>
      </c>
      <c r="H64" t="inlineStr">
        <is>
          <t>12 April 2017</t>
        </is>
      </c>
      <c r="I64" s="2" t="n">
        <v>46326</v>
      </c>
      <c r="J64" t="inlineStr">
        <is>
          <t>Disetujui</t>
        </is>
      </c>
      <c r="K64" t="n">
        <v>30</v>
      </c>
      <c r="L64" t="inlineStr">
        <is>
          <t>31 Oktober 2026</t>
        </is>
      </c>
      <c r="M64" t="inlineStr">
        <is>
          <t>Konstruksi Gedung Industri</t>
        </is>
      </c>
      <c r="N64" t="inlineStr">
        <is>
          <t>K</t>
        </is>
      </c>
      <c r="O64" t="inlineStr">
        <is>
          <t>20231031</t>
        </is>
      </c>
      <c r="P64" t="inlineStr">
        <is>
          <t>DI Yogyakarta</t>
        </is>
      </c>
      <c r="Q64" t="inlineStr"/>
    </row>
    <row r="65">
      <c r="A65" t="inlineStr">
        <is>
          <t>NATAMA KARYA JAYA</t>
        </is>
      </c>
      <c r="B65" t="inlineStr">
        <is>
          <t>Kota Medan</t>
        </is>
      </c>
      <c r="C65" t="inlineStr">
        <is>
          <t>0617861651</t>
        </is>
      </c>
      <c r="D65" t="inlineStr">
        <is>
          <t>natamakaryajaya@gmail.com</t>
        </is>
      </c>
      <c r="E65" t="inlineStr">
        <is>
          <t>https://lpjk.pu.go.id/search-badan-usaha-detail/V2d0N2RnZGp4U3AvR1kxMFBFSFZYUT09</t>
        </is>
      </c>
      <c r="F65" t="n">
        <v>1</v>
      </c>
      <c r="G65" t="inlineStr">
        <is>
          <t>PL003</t>
        </is>
      </c>
      <c r="H65" t="inlineStr">
        <is>
          <t>13 April 2007</t>
        </is>
      </c>
      <c r="I65" s="2" t="n">
        <v>46326</v>
      </c>
      <c r="J65" t="inlineStr">
        <is>
          <t>Pembekuan</t>
        </is>
      </c>
      <c r="K65" t="n">
        <v>30</v>
      </c>
      <c r="L65" t="inlineStr">
        <is>
          <t>31 Oktober 2026</t>
        </is>
      </c>
      <c r="M65" t="inlineStr">
        <is>
          <t>Penyiapan Lahan Konstruksi</t>
        </is>
      </c>
      <c r="N65" t="inlineStr">
        <is>
          <t>Spesialis</t>
        </is>
      </c>
      <c r="O65" t="inlineStr">
        <is>
          <t>20231031</t>
        </is>
      </c>
      <c r="P65" t="inlineStr">
        <is>
          <t>Sumatera Utara</t>
        </is>
      </c>
      <c r="Q65" t="inlineStr"/>
    </row>
    <row r="66">
      <c r="A66" t="inlineStr">
        <is>
          <t>NAVARO</t>
        </is>
      </c>
      <c r="B66" t="inlineStr">
        <is>
          <t>Kota Batu</t>
        </is>
      </c>
      <c r="C66" t="inlineStr">
        <is>
          <t>082331027008</t>
        </is>
      </c>
      <c r="D66" t="inlineStr">
        <is>
          <t>cvnavaro466@yahoo.com</t>
        </is>
      </c>
      <c r="E66" t="inlineStr">
        <is>
          <t>https://lpjk.pu.go.id/search-badan-usaha-detail/WCtwVytrRTZQNmZlWDk2ZFNPVkU4UT09</t>
        </is>
      </c>
      <c r="F66" t="n">
        <v>1</v>
      </c>
      <c r="G66" t="inlineStr">
        <is>
          <t>BS001</t>
        </is>
      </c>
      <c r="H66" t="inlineStr">
        <is>
          <t>6 Mei 2010</t>
        </is>
      </c>
      <c r="I66" s="2" t="n">
        <v>46326</v>
      </c>
      <c r="J66" t="inlineStr">
        <is>
          <t>Disetujui</t>
        </is>
      </c>
      <c r="K66" t="n">
        <v>30</v>
      </c>
      <c r="L66" t="inlineStr">
        <is>
          <t>31 Oktober 2026</t>
        </is>
      </c>
      <c r="M66" t="inlineStr">
        <is>
          <t>Konstruksi Bangunan Sipil Jalan</t>
        </is>
      </c>
      <c r="N66" t="inlineStr">
        <is>
          <t>K</t>
        </is>
      </c>
      <c r="O66" t="inlineStr">
        <is>
          <t>20231025</t>
        </is>
      </c>
      <c r="P66" t="inlineStr">
        <is>
          <t>Jawa Timur</t>
        </is>
      </c>
      <c r="Q66" t="inlineStr"/>
    </row>
    <row r="67">
      <c r="A67" t="inlineStr">
        <is>
          <t>NEO PUDJI JAYA</t>
        </is>
      </c>
      <c r="B67" t="inlineStr">
        <is>
          <t>Kab. Sidoarjo</t>
        </is>
      </c>
      <c r="C67" t="inlineStr">
        <is>
          <t>081259261936</t>
        </is>
      </c>
      <c r="D67" t="inlineStr">
        <is>
          <t>neo.pudji@gmail.com</t>
        </is>
      </c>
      <c r="E67" t="inlineStr">
        <is>
          <t>https://lpjk.pu.go.id/search-badan-usaha-detail/NFB1enhkcVFha1JoVW10RW9saVlJQT09</t>
        </is>
      </c>
      <c r="F67" t="n">
        <v>1</v>
      </c>
      <c r="G67" t="inlineStr">
        <is>
          <t>BG001</t>
        </is>
      </c>
      <c r="H67" t="inlineStr">
        <is>
          <t>26 Agustus 2022</t>
        </is>
      </c>
      <c r="I67" s="2" t="n">
        <v>46326</v>
      </c>
      <c r="J67" t="inlineStr">
        <is>
          <t>Disetujui</t>
        </is>
      </c>
      <c r="K67" t="n">
        <v>30</v>
      </c>
      <c r="L67" t="inlineStr">
        <is>
          <t>31 Oktober 2026</t>
        </is>
      </c>
      <c r="M67" t="inlineStr">
        <is>
          <t>Konstruksi Gedung Hunian</t>
        </is>
      </c>
      <c r="N67" t="inlineStr">
        <is>
          <t>K</t>
        </is>
      </c>
      <c r="O67" t="inlineStr">
        <is>
          <t>20231011</t>
        </is>
      </c>
      <c r="P67" t="inlineStr">
        <is>
          <t>Jawa Timur</t>
        </is>
      </c>
      <c r="Q67" t="inlineStr"/>
    </row>
    <row r="68">
      <c r="A68" t="inlineStr">
        <is>
          <t>NILA WARDHANI KARYA</t>
        </is>
      </c>
      <c r="B68" t="inlineStr">
        <is>
          <t>Kota Batu</t>
        </is>
      </c>
      <c r="C68" t="inlineStr">
        <is>
          <t>0813 3342 2451</t>
        </is>
      </c>
      <c r="D68" t="inlineStr">
        <is>
          <t>cvnila_wardhani@yahoo.com</t>
        </is>
      </c>
      <c r="E68" t="inlineStr">
        <is>
          <t>https://lpjk.pu.go.id/search-badan-usaha-detail/MjNCVytvaXZ5YjlkenQyemVqRXFGQT09</t>
        </is>
      </c>
      <c r="F68" t="n">
        <v>1</v>
      </c>
      <c r="G68" t="inlineStr">
        <is>
          <t>BG009</t>
        </is>
      </c>
      <c r="H68" t="inlineStr">
        <is>
          <t>25 Februari 2002</t>
        </is>
      </c>
      <c r="I68" s="2" t="n">
        <v>46326</v>
      </c>
      <c r="J68" t="inlineStr">
        <is>
          <t>Disetujui</t>
        </is>
      </c>
      <c r="K68" t="n">
        <v>30</v>
      </c>
      <c r="L68" t="inlineStr">
        <is>
          <t>31 Oktober 2026</t>
        </is>
      </c>
      <c r="M68" t="inlineStr">
        <is>
          <t>Konstruksi Gedung Lainnya</t>
        </is>
      </c>
      <c r="N68" t="inlineStr">
        <is>
          <t>K</t>
        </is>
      </c>
      <c r="O68" t="inlineStr">
        <is>
          <t>20231021</t>
        </is>
      </c>
      <c r="P68" t="inlineStr">
        <is>
          <t>Jawa Timur</t>
        </is>
      </c>
      <c r="Q68" t="inlineStr"/>
    </row>
    <row r="69">
      <c r="A69" t="inlineStr">
        <is>
          <t>NUSA DINAMIKA SOLUSINDO</t>
        </is>
      </c>
      <c r="B69" t="inlineStr">
        <is>
          <t>Kota Bandung</t>
        </is>
      </c>
      <c r="C69" t="inlineStr">
        <is>
          <t>081294829707</t>
        </is>
      </c>
      <c r="D69" t="inlineStr">
        <is>
          <t>admin@nusa-solusindo.co.id</t>
        </is>
      </c>
      <c r="E69" t="inlineStr">
        <is>
          <t>https://lpjk.pu.go.id/search-badan-usaha-detail/RHhGSCtobm9raDdjdE9uSzJvb1NuUT09</t>
        </is>
      </c>
      <c r="F69" t="n">
        <v>2</v>
      </c>
      <c r="G69" t="inlineStr">
        <is>
          <t>IT001, IT002</t>
        </is>
      </c>
      <c r="H69" t="inlineStr">
        <is>
          <t>15 Januari 2016</t>
        </is>
      </c>
      <c r="I69" s="2" t="n">
        <v>46326</v>
      </c>
      <c r="J69" t="inlineStr">
        <is>
          <t>Disetujui</t>
        </is>
      </c>
      <c r="K69" t="n">
        <v>30</v>
      </c>
      <c r="L69" t="inlineStr">
        <is>
          <t>31 Oktober 2026</t>
        </is>
      </c>
      <c r="M69" t="inlineStr">
        <is>
          <t>Jasa Konsultansi Ilmiah dan Teknis Bawah Tanah, Jasa Pembuatan Prospektus Geologi dan Geofisika</t>
        </is>
      </c>
      <c r="N69" t="inlineStr">
        <is>
          <t>Spesialis</t>
        </is>
      </c>
      <c r="O69" t="inlineStr">
        <is>
          <t>20231018</t>
        </is>
      </c>
      <c r="P69" t="inlineStr">
        <is>
          <t>Jawa Barat</t>
        </is>
      </c>
      <c r="Q69" t="inlineStr"/>
    </row>
    <row r="70">
      <c r="A70" t="inlineStr">
        <is>
          <t>PALAPA JAYA PROPERTY</t>
        </is>
      </c>
      <c r="B70" t="inlineStr">
        <is>
          <t>Kota Langsa</t>
        </is>
      </c>
      <c r="C70" t="inlineStr">
        <is>
          <t>085296265441</t>
        </is>
      </c>
      <c r="D70" t="inlineStr">
        <is>
          <t>pt.palapajayaproperty@gmail.com</t>
        </is>
      </c>
      <c r="E70" t="inlineStr">
        <is>
          <t>https://lpjk.pu.go.id/search-badan-usaha-detail/YkkrdXlvTElNaGlwMDRQZFpiZGk5dz09</t>
        </is>
      </c>
      <c r="F70" t="n">
        <v>1</v>
      </c>
      <c r="G70" t="inlineStr">
        <is>
          <t>BG006</t>
        </is>
      </c>
      <c r="H70" t="inlineStr">
        <is>
          <t>9 Januari 2023</t>
        </is>
      </c>
      <c r="I70" s="2" t="n">
        <v>46326</v>
      </c>
      <c r="J70" t="inlineStr">
        <is>
          <t>Disetujui</t>
        </is>
      </c>
      <c r="K70" t="n">
        <v>30</v>
      </c>
      <c r="L70" t="inlineStr">
        <is>
          <t>31 Oktober 2026</t>
        </is>
      </c>
      <c r="M70" t="inlineStr">
        <is>
          <t>Konstruksi Gedung Pendidikan</t>
        </is>
      </c>
      <c r="N70" t="inlineStr">
        <is>
          <t>K</t>
        </is>
      </c>
      <c r="O70" t="inlineStr">
        <is>
          <t>20231029</t>
        </is>
      </c>
      <c r="P70" t="inlineStr">
        <is>
          <t>Aceh</t>
        </is>
      </c>
      <c r="Q70" t="inlineStr"/>
    </row>
    <row r="71">
      <c r="A71" t="inlineStr">
        <is>
          <t>PANCA TEKNIK</t>
        </is>
      </c>
      <c r="B71" t="inlineStr">
        <is>
          <t>Kab. Subang</t>
        </is>
      </c>
      <c r="C71" t="inlineStr">
        <is>
          <t>082214042626</t>
        </is>
      </c>
      <c r="D71" t="inlineStr">
        <is>
          <t>pancateknik26@yahoo.com</t>
        </is>
      </c>
      <c r="E71" t="inlineStr">
        <is>
          <t>https://lpjk.pu.go.id/search-badan-usaha-detail/L1g0QTFoZHRoRVVrK0JKQk9VZVY3dz09</t>
        </is>
      </c>
      <c r="F71" t="n">
        <v>4</v>
      </c>
      <c r="G71" t="inlineStr">
        <is>
          <t>BG002, BG006, BG009, BS001</t>
        </is>
      </c>
      <c r="H71" t="inlineStr">
        <is>
          <t>27 Desember 2006</t>
        </is>
      </c>
      <c r="I71" s="2" t="n">
        <v>46326</v>
      </c>
      <c r="J71" t="inlineStr">
        <is>
          <t>Disetujui</t>
        </is>
      </c>
      <c r="K71" t="n">
        <v>30</v>
      </c>
      <c r="L71" t="inlineStr">
        <is>
          <t>31 Oktober 2026</t>
        </is>
      </c>
      <c r="M71" t="inlineStr">
        <is>
          <t>Konstruksi Bangunan Sipil Jalan, Konstruksi Gedung Lainnya, Konstruksi Gedung Pendidikan, Konstruksi Gedung Perkantoran</t>
        </is>
      </c>
      <c r="N71" t="inlineStr">
        <is>
          <t>K</t>
        </is>
      </c>
      <c r="O71" t="inlineStr">
        <is>
          <t>20231028, 20231030</t>
        </is>
      </c>
      <c r="P71" t="inlineStr">
        <is>
          <t>Jawa Barat</t>
        </is>
      </c>
      <c r="Q71" t="inlineStr"/>
    </row>
    <row r="72">
      <c r="A72" t="inlineStr">
        <is>
          <t>PERINTIS PERSADA</t>
        </is>
      </c>
      <c r="B72" t="inlineStr">
        <is>
          <t>Kota Kupang</t>
        </is>
      </c>
      <c r="C72" t="inlineStr">
        <is>
          <t>081339424823</t>
        </is>
      </c>
      <c r="D72" t="inlineStr">
        <is>
          <t>perintispersada72@gmail.com</t>
        </is>
      </c>
      <c r="E72" t="inlineStr">
        <is>
          <t>https://lpjk.pu.go.id/search-badan-usaha-detail/TS9kbDJFSWRWU2hubjk5VWJOaTFoUT09</t>
        </is>
      </c>
      <c r="F72" t="n">
        <v>1</v>
      </c>
      <c r="G72" t="inlineStr">
        <is>
          <t>BS001</t>
        </is>
      </c>
      <c r="H72" t="inlineStr">
        <is>
          <t>18 Januari 1997</t>
        </is>
      </c>
      <c r="I72" s="2" t="n">
        <v>46326</v>
      </c>
      <c r="J72" t="inlineStr">
        <is>
          <t>Pencabutan</t>
        </is>
      </c>
      <c r="K72" t="n">
        <v>30</v>
      </c>
      <c r="L72" t="inlineStr">
        <is>
          <t>31 Oktober 2026</t>
        </is>
      </c>
      <c r="M72" t="inlineStr">
        <is>
          <t>Konstruksi Bangunan Sipil Jalan</t>
        </is>
      </c>
      <c r="N72" t="inlineStr">
        <is>
          <t>K</t>
        </is>
      </c>
      <c r="O72" t="inlineStr">
        <is>
          <t>20231018</t>
        </is>
      </c>
      <c r="P72" t="inlineStr">
        <is>
          <t>Nusa Tenggara Timur</t>
        </is>
      </c>
      <c r="Q72" t="inlineStr"/>
    </row>
    <row r="73">
      <c r="A73" t="inlineStr">
        <is>
          <t>POLYGONS</t>
        </is>
      </c>
      <c r="B73" t="inlineStr">
        <is>
          <t>Kota Palangkaraya</t>
        </is>
      </c>
      <c r="C73" t="inlineStr">
        <is>
          <t>8125179073</t>
        </is>
      </c>
      <c r="D73" t="inlineStr">
        <is>
          <t>polygons_cv@yahoo.com</t>
        </is>
      </c>
      <c r="E73" t="inlineStr">
        <is>
          <t>https://lpjk.pu.go.id/search-badan-usaha-detail/elVaS21sQTBxWlhIeUhodmg3N3dUdz09</t>
        </is>
      </c>
      <c r="F73" t="n">
        <v>2</v>
      </c>
      <c r="G73" t="inlineStr">
        <is>
          <t>RK001</t>
        </is>
      </c>
      <c r="H73" t="inlineStr">
        <is>
          <t>15 Maret 2007</t>
        </is>
      </c>
      <c r="I73" s="2" t="n">
        <v>46326</v>
      </c>
      <c r="J73" t="inlineStr">
        <is>
          <t>Disetujui</t>
        </is>
      </c>
      <c r="K73" t="n">
        <v>30</v>
      </c>
      <c r="L73" t="inlineStr">
        <is>
          <t>31 Oktober 2026</t>
        </is>
      </c>
      <c r="M73" t="inlineStr">
        <is>
          <t>Jasa Rekayasa Konstruksi Bangunan Gedung Hunian dan Non Hunian</t>
        </is>
      </c>
      <c r="N73" t="inlineStr">
        <is>
          <t>K</t>
        </is>
      </c>
      <c r="O73" t="inlineStr">
        <is>
          <t>20231018</t>
        </is>
      </c>
      <c r="P73" t="inlineStr">
        <is>
          <t>Kalimantan Tengah</t>
        </is>
      </c>
      <c r="Q73" t="inlineStr"/>
    </row>
    <row r="74">
      <c r="A74" t="inlineStr">
        <is>
          <t>PRABU CARAKA INDONESIA</t>
        </is>
      </c>
      <c r="B74" t="inlineStr">
        <is>
          <t>Kota Tangerang Selatan</t>
        </is>
      </c>
      <c r="C74" t="inlineStr">
        <is>
          <t>0215375161</t>
        </is>
      </c>
      <c r="D74" t="inlineStr">
        <is>
          <t>pt.pcindonesia@gmail.com</t>
        </is>
      </c>
      <c r="E74" t="inlineStr">
        <is>
          <t>https://lpjk.pu.go.id/search-badan-usaha-detail/czJNOWhCQkFyckxkWVlPTGwvVjFGQT09</t>
        </is>
      </c>
      <c r="F74" t="n">
        <v>1</v>
      </c>
      <c r="G74" t="inlineStr">
        <is>
          <t>BG009</t>
        </is>
      </c>
      <c r="H74" t="inlineStr">
        <is>
          <t>19 Januari 2015</t>
        </is>
      </c>
      <c r="I74" s="2" t="n">
        <v>46326</v>
      </c>
      <c r="J74" t="inlineStr">
        <is>
          <t>Disetujui</t>
        </is>
      </c>
      <c r="K74" t="n">
        <v>30</v>
      </c>
      <c r="L74" t="inlineStr">
        <is>
          <t>31 Oktober 2026</t>
        </is>
      </c>
      <c r="M74" t="inlineStr">
        <is>
          <t>Konstruksi Gedung Lainnya</t>
        </is>
      </c>
      <c r="N74" t="inlineStr">
        <is>
          <t>K</t>
        </is>
      </c>
      <c r="O74" t="inlineStr">
        <is>
          <t>20231029</t>
        </is>
      </c>
      <c r="P74" t="inlineStr">
        <is>
          <t>Banten</t>
        </is>
      </c>
      <c r="Q74" t="inlineStr"/>
    </row>
    <row r="75">
      <c r="A75" t="inlineStr">
        <is>
          <t>PRASETYA PERKASA</t>
        </is>
      </c>
      <c r="B75" t="inlineStr">
        <is>
          <t>Kab. Subang</t>
        </is>
      </c>
      <c r="C75" t="inlineStr">
        <is>
          <t>085321223232</t>
        </is>
      </c>
      <c r="D75" t="inlineStr">
        <is>
          <t>prasetyaperkasa@yahoo.com</t>
        </is>
      </c>
      <c r="E75" t="inlineStr">
        <is>
          <t>https://lpjk.pu.go.id/search-badan-usaha-detail/ZFliK0d2MHhXMEZ0RlYvYndLZVVlUT09</t>
        </is>
      </c>
      <c r="F75" t="n">
        <v>5</v>
      </c>
      <c r="G75" t="inlineStr">
        <is>
          <t>BG005, BG008, BG009, BS001, BS004</t>
        </is>
      </c>
      <c r="H75" t="inlineStr">
        <is>
          <t>14 Juli 2010</t>
        </is>
      </c>
      <c r="I75" s="2" t="n">
        <v>46326</v>
      </c>
      <c r="J75" t="inlineStr">
        <is>
          <t>Disetujui</t>
        </is>
      </c>
      <c r="K75" t="n">
        <v>30</v>
      </c>
      <c r="L75" t="inlineStr">
        <is>
          <t>31 Oktober 2026</t>
        </is>
      </c>
      <c r="M75" t="inlineStr">
        <is>
          <t>Konstruksi Bangunan Sipil Jalan, Konstruksi Gedung Kesehatan, Konstruksi Gedung Lainnya, Konstruksi Gedung Tempat Hiburan dan Olahraga, Konstruksi Jaringan Irigasi dan Drainase</t>
        </is>
      </c>
      <c r="N75" t="inlineStr">
        <is>
          <t>K</t>
        </is>
      </c>
      <c r="O75" t="inlineStr">
        <is>
          <t>20231028</t>
        </is>
      </c>
      <c r="P75" t="inlineStr">
        <is>
          <t>Jawa Barat</t>
        </is>
      </c>
      <c r="Q75" t="inlineStr"/>
    </row>
    <row r="76">
      <c r="A76" t="inlineStr">
        <is>
          <t>PURNAMA BORNEO JAYA</t>
        </is>
      </c>
      <c r="B76" t="inlineStr">
        <is>
          <t>Kab. Seruyan</t>
        </is>
      </c>
      <c r="C76" t="inlineStr">
        <is>
          <t>082357919191</t>
        </is>
      </c>
      <c r="D76" t="inlineStr">
        <is>
          <t>cvpurnamaborneojaya@gmail.com</t>
        </is>
      </c>
      <c r="E76" t="inlineStr">
        <is>
          <t>https://lpjk.pu.go.id/search-badan-usaha-detail/R1BhOU0yMlhtUmhFQUNXT1F0VWpUQT09</t>
        </is>
      </c>
      <c r="F76" t="n">
        <v>2</v>
      </c>
      <c r="G76" t="inlineStr">
        <is>
          <t>BG006</t>
        </is>
      </c>
      <c r="H76" t="inlineStr">
        <is>
          <t>12 Oktober 2023</t>
        </is>
      </c>
      <c r="I76" s="2" t="n">
        <v>46326</v>
      </c>
      <c r="J76" t="inlineStr">
        <is>
          <t>Disetujui</t>
        </is>
      </c>
      <c r="K76" t="n">
        <v>30</v>
      </c>
      <c r="L76" t="inlineStr">
        <is>
          <t>31 Oktober 2026</t>
        </is>
      </c>
      <c r="M76" t="inlineStr">
        <is>
          <t>Konstruksi Gedung Pendidikan</t>
        </is>
      </c>
      <c r="N76" t="inlineStr">
        <is>
          <t>K</t>
        </is>
      </c>
      <c r="O76" t="inlineStr">
        <is>
          <t>20231101</t>
        </is>
      </c>
      <c r="P76" t="inlineStr">
        <is>
          <t>Kalimantan Tengah</t>
        </is>
      </c>
      <c r="Q76" t="inlineStr"/>
    </row>
    <row r="77">
      <c r="A77" t="inlineStr">
        <is>
          <t>PURNAMA ENGINEERING CONSULTANT</t>
        </is>
      </c>
      <c r="B77" t="inlineStr">
        <is>
          <t>Kab. Morowali</t>
        </is>
      </c>
      <c r="C77" t="inlineStr">
        <is>
          <t>085394249385</t>
        </is>
      </c>
      <c r="D77" t="inlineStr">
        <is>
          <t>cvpurnamaengineeringconsultant@gmail.com</t>
        </is>
      </c>
      <c r="E77" t="inlineStr">
        <is>
          <t>https://lpjk.pu.go.id/search-badan-usaha-detail/eXhZdU5YQW9FNzdtYitPcG50Vmc1QT09</t>
        </is>
      </c>
      <c r="F77" t="n">
        <v>4</v>
      </c>
      <c r="G77" t="inlineStr">
        <is>
          <t>AR001, RK002</t>
        </is>
      </c>
      <c r="H77" t="inlineStr">
        <is>
          <t>26 Februari 2020</t>
        </is>
      </c>
      <c r="I77" s="2" t="n">
        <v>46326</v>
      </c>
      <c r="J77" t="inlineStr">
        <is>
          <t>Disetujui</t>
        </is>
      </c>
      <c r="K77" t="n">
        <v>30</v>
      </c>
      <c r="L77" t="inlineStr">
        <is>
          <t>31 Oktober 2026</t>
        </is>
      </c>
      <c r="M77" t="inlineStr">
        <is>
          <t>Jasa Arsitektural Bangunan Gedung Hunian dan Non Hunian, Jasa Rekayasa Pekerjaan Teknik Sipil Sumber Daya Air</t>
        </is>
      </c>
      <c r="N77" t="inlineStr">
        <is>
          <t>K</t>
        </is>
      </c>
      <c r="O77" t="inlineStr">
        <is>
          <t>20231020</t>
        </is>
      </c>
      <c r="P77" t="inlineStr">
        <is>
          <t>Sulawesi Tengah</t>
        </is>
      </c>
      <c r="Q77" t="inlineStr"/>
    </row>
    <row r="78">
      <c r="A78" t="inlineStr">
        <is>
          <t>PUTRA BANTEN ENGINEERING</t>
        </is>
      </c>
      <c r="B78" t="inlineStr">
        <is>
          <t>Kota Cilegon</t>
        </is>
      </c>
      <c r="C78" t="inlineStr">
        <is>
          <t>081807840041</t>
        </is>
      </c>
      <c r="D78" t="inlineStr">
        <is>
          <t>ptpbenew@yahoo.com</t>
        </is>
      </c>
      <c r="E78" t="inlineStr">
        <is>
          <t>https://lpjk.pu.go.id/search-badan-usaha-detail/UHFZdXFyUERuS2ljQXpJOHROMHVnZz09</t>
        </is>
      </c>
      <c r="F78" t="n">
        <v>3</v>
      </c>
      <c r="G78" t="inlineStr">
        <is>
          <t>BG003, BG009, BS001</t>
        </is>
      </c>
      <c r="H78" t="inlineStr">
        <is>
          <t>8 Februari 2005</t>
        </is>
      </c>
      <c r="I78" s="2" t="n">
        <v>46326</v>
      </c>
      <c r="J78" t="inlineStr">
        <is>
          <t>Disetujui</t>
        </is>
      </c>
      <c r="K78" t="n">
        <v>30</v>
      </c>
      <c r="L78" t="inlineStr">
        <is>
          <t>31 Oktober 2026</t>
        </is>
      </c>
      <c r="M78" t="inlineStr">
        <is>
          <t>Konstruksi Bangunan Sipil Jalan, Konstruksi Gedung Industri, Konstruksi Gedung Lainnya</t>
        </is>
      </c>
      <c r="N78" t="inlineStr">
        <is>
          <t>K</t>
        </is>
      </c>
      <c r="O78" t="inlineStr">
        <is>
          <t>20231031</t>
        </is>
      </c>
      <c r="P78" t="inlineStr">
        <is>
          <t>Banten</t>
        </is>
      </c>
      <c r="Q78" t="inlineStr"/>
    </row>
    <row r="79">
      <c r="A79" t="inlineStr">
        <is>
          <t>PUTRA KARYA</t>
        </is>
      </c>
      <c r="B79" t="inlineStr">
        <is>
          <t>Kab. Nganjuk</t>
        </is>
      </c>
      <c r="C79" t="inlineStr">
        <is>
          <t>085257642442</t>
        </is>
      </c>
      <c r="D79" t="inlineStr">
        <is>
          <t>putrakarya_2003@yahoo.com</t>
        </is>
      </c>
      <c r="E79" t="inlineStr">
        <is>
          <t>https://lpjk.pu.go.id/search-badan-usaha-detail/andIOGRuS2Y1Q1VQVVp4TUVWYnkvZz09</t>
        </is>
      </c>
      <c r="F79" t="n">
        <v>8</v>
      </c>
      <c r="G79" t="inlineStr">
        <is>
          <t>BG002, BG004, BG005, BG006, BG009, BS001, BS002, BS004</t>
        </is>
      </c>
      <c r="H79" t="inlineStr">
        <is>
          <t>11 Oktober 2003</t>
        </is>
      </c>
      <c r="I79" s="2" t="n">
        <v>46326</v>
      </c>
      <c r="J79" t="inlineStr">
        <is>
          <t>Disetujui</t>
        </is>
      </c>
      <c r="K79" t="n">
        <v>30</v>
      </c>
      <c r="L79" t="inlineStr">
        <is>
          <t>31 Oktober 2026</t>
        </is>
      </c>
      <c r="M79"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79" t="inlineStr">
        <is>
          <t>K</t>
        </is>
      </c>
      <c r="O79" t="inlineStr">
        <is>
          <t>20231011</t>
        </is>
      </c>
      <c r="P79" t="inlineStr">
        <is>
          <t>Jawa Timur</t>
        </is>
      </c>
      <c r="Q79" t="inlineStr"/>
    </row>
    <row r="80">
      <c r="A80" t="inlineStr">
        <is>
          <t>PUTRI TUNGGAL KONSTRUKSI</t>
        </is>
      </c>
      <c r="B80" t="inlineStr">
        <is>
          <t>Kab. Boalemo</t>
        </is>
      </c>
      <c r="C80" t="inlineStr">
        <is>
          <t>081356431760</t>
        </is>
      </c>
      <c r="D80" t="inlineStr">
        <is>
          <t>cv.putritunggalkonstruksi@gmail.com</t>
        </is>
      </c>
      <c r="E80" t="inlineStr">
        <is>
          <t>https://lpjk.pu.go.id/search-badan-usaha-detail/MkVVZHk2RFhzK1lBUVY0aHBuNEpsQT09</t>
        </is>
      </c>
      <c r="F80" t="n">
        <v>1</v>
      </c>
      <c r="G80" t="inlineStr">
        <is>
          <t>BS004</t>
        </is>
      </c>
      <c r="H80" t="inlineStr">
        <is>
          <t>29 September 2022</t>
        </is>
      </c>
      <c r="I80" s="2" t="n">
        <v>46326</v>
      </c>
      <c r="J80" t="inlineStr">
        <is>
          <t>Disetujui</t>
        </is>
      </c>
      <c r="K80" t="n">
        <v>30</v>
      </c>
      <c r="L80" t="inlineStr">
        <is>
          <t>31 Oktober 2026</t>
        </is>
      </c>
      <c r="M80" t="inlineStr">
        <is>
          <t>Konstruksi Jaringan Irigasi dan Drainase</t>
        </is>
      </c>
      <c r="N80" t="inlineStr">
        <is>
          <t>K</t>
        </is>
      </c>
      <c r="O80" t="inlineStr">
        <is>
          <t>20231014</t>
        </is>
      </c>
      <c r="P80" t="inlineStr">
        <is>
          <t>Gorontalo</t>
        </is>
      </c>
      <c r="Q80" t="inlineStr"/>
    </row>
    <row r="81">
      <c r="A81" t="inlineStr">
        <is>
          <t>RADAR KONSTRUKSI</t>
        </is>
      </c>
      <c r="B81" t="inlineStr">
        <is>
          <t>Kab. Muara Enim</t>
        </is>
      </c>
      <c r="C81" t="inlineStr">
        <is>
          <t>082176017234</t>
        </is>
      </c>
      <c r="D81" t="inlineStr">
        <is>
          <t>cvradarkonsturksi@gmail.com</t>
        </is>
      </c>
      <c r="E81" t="inlineStr">
        <is>
          <t>https://lpjk.pu.go.id/search-badan-usaha-detail/aTBNUWtPQU8rMEhMOVRPazRBd3Z0UT09</t>
        </is>
      </c>
      <c r="F81" t="n">
        <v>7</v>
      </c>
      <c r="G81" t="inlineStr">
        <is>
          <t>BG006, BG009, BS002, BS004, BS005, BS010, BS016</t>
        </is>
      </c>
      <c r="H81" t="inlineStr">
        <is>
          <t>3 Oktober 2023</t>
        </is>
      </c>
      <c r="I81" s="2" t="n">
        <v>46326</v>
      </c>
      <c r="J81" t="inlineStr">
        <is>
          <t>Disetujui</t>
        </is>
      </c>
      <c r="K81" t="n">
        <v>30</v>
      </c>
      <c r="L81" t="inlineStr">
        <is>
          <t>31 Oktober 2026</t>
        </is>
      </c>
      <c r="M81" t="inlineStr">
        <is>
          <t>Bangunan Sipil Jembatan, Jalan Layang, Fly Over, dan Underpass, Konstruksi Bangunan Prasarana Sumber Daya Air, Konstruksi Bangunan Sipil Fasilitas Olah Raga, Konstruksi Bangunan Sipil Pengolahan Air Bersih, Konstruksi Gedung Lainnya, Konstruksi Gedung Pendidikan, Konstruksi Jaringan Irigasi dan Drainase</t>
        </is>
      </c>
      <c r="N81" t="inlineStr">
        <is>
          <t>K</t>
        </is>
      </c>
      <c r="O81" t="inlineStr">
        <is>
          <t>20231030, 20231101</t>
        </is>
      </c>
      <c r="P81" t="inlineStr">
        <is>
          <t>Sumatera Selatan</t>
        </is>
      </c>
      <c r="Q81" t="inlineStr"/>
    </row>
    <row r="82">
      <c r="A82" t="inlineStr">
        <is>
          <t>RAFKA PRATAMA</t>
        </is>
      </c>
      <c r="B82" t="inlineStr">
        <is>
          <t>Kab. Lombok Timur</t>
        </is>
      </c>
      <c r="C82" t="inlineStr">
        <is>
          <t>08175714557</t>
        </is>
      </c>
      <c r="D82" t="inlineStr">
        <is>
          <t>cvrafkapratama2023@gmail.com</t>
        </is>
      </c>
      <c r="E82" t="inlineStr">
        <is>
          <t>https://lpjk.pu.go.id/search-badan-usaha-detail/OGxJOGZBR3Jia3ZqeW5ObHNXR09NQT09</t>
        </is>
      </c>
      <c r="F82" t="n">
        <v>3</v>
      </c>
      <c r="G82" t="inlineStr">
        <is>
          <t>BG006, BG009, BS001</t>
        </is>
      </c>
      <c r="H82" t="inlineStr">
        <is>
          <t>27 Agustus 2020</t>
        </is>
      </c>
      <c r="I82" s="2" t="n">
        <v>46326</v>
      </c>
      <c r="J82" t="inlineStr">
        <is>
          <t>Disetujui</t>
        </is>
      </c>
      <c r="K82" t="n">
        <v>30</v>
      </c>
      <c r="L82" t="inlineStr">
        <is>
          <t>31 Oktober 2026</t>
        </is>
      </c>
      <c r="M82" t="inlineStr">
        <is>
          <t>Konstruksi Bangunan Sipil Jalan, Konstruksi Gedung Lainnya, Konstruksi Gedung Pendidikan</t>
        </is>
      </c>
      <c r="N82" t="inlineStr">
        <is>
          <t>K</t>
        </is>
      </c>
      <c r="O82" t="inlineStr">
        <is>
          <t>20231019, 20231031</t>
        </is>
      </c>
      <c r="P82" t="inlineStr">
        <is>
          <t>Nusa Tenggara Barat</t>
        </is>
      </c>
      <c r="Q82" t="inlineStr"/>
    </row>
    <row r="83">
      <c r="A83" t="inlineStr">
        <is>
          <t>RAHAYU JAYA SANTOSA</t>
        </is>
      </c>
      <c r="B83" t="inlineStr">
        <is>
          <t>Kab. Banyumas</t>
        </is>
      </c>
      <c r="C83" t="inlineStr">
        <is>
          <t>08122749632</t>
        </is>
      </c>
      <c r="D83" t="inlineStr">
        <is>
          <t>cvrahayujayasantosa@yahoo.com</t>
        </is>
      </c>
      <c r="E83" t="inlineStr">
        <is>
          <t>https://lpjk.pu.go.id/search-badan-usaha-detail/eWFmekE5NDU3VFR2ZEZIYnNjMTc3dz09</t>
        </is>
      </c>
      <c r="F83" t="n">
        <v>1</v>
      </c>
      <c r="G83" t="inlineStr">
        <is>
          <t>BG005</t>
        </is>
      </c>
      <c r="H83" t="inlineStr">
        <is>
          <t>1 Juli 2009</t>
        </is>
      </c>
      <c r="I83" s="2" t="n">
        <v>46326</v>
      </c>
      <c r="J83" t="inlineStr">
        <is>
          <t>Disetujui</t>
        </is>
      </c>
      <c r="K83" t="n">
        <v>30</v>
      </c>
      <c r="L83" t="inlineStr">
        <is>
          <t>31 Oktober 2026</t>
        </is>
      </c>
      <c r="M83" t="inlineStr">
        <is>
          <t>Konstruksi Gedung Kesehatan</t>
        </is>
      </c>
      <c r="N83" t="inlineStr">
        <is>
          <t>K</t>
        </is>
      </c>
      <c r="O83" t="inlineStr">
        <is>
          <t>20231027</t>
        </is>
      </c>
      <c r="P83" t="inlineStr">
        <is>
          <t>Jawa Tengah</t>
        </is>
      </c>
      <c r="Q83" t="inlineStr"/>
    </row>
    <row r="84">
      <c r="A84" t="inlineStr">
        <is>
          <t>RAHMA BERKAH JAYA</t>
        </is>
      </c>
      <c r="B84" t="inlineStr">
        <is>
          <t>Kab. Batu Bara</t>
        </is>
      </c>
      <c r="C84" t="inlineStr">
        <is>
          <t>085362384377</t>
        </is>
      </c>
      <c r="D84" t="inlineStr">
        <is>
          <t>ptrahmaberkahjaya@gmail.com</t>
        </is>
      </c>
      <c r="E84" t="inlineStr">
        <is>
          <t>https://lpjk.pu.go.id/search-badan-usaha-detail/a0dNVVJsQXlGVU12ZmlPSGV1amIzZz09</t>
        </is>
      </c>
      <c r="F84" t="n">
        <v>1</v>
      </c>
      <c r="G84" t="inlineStr">
        <is>
          <t>BS007</t>
        </is>
      </c>
      <c r="H84" t="inlineStr">
        <is>
          <t>29 Maret 2021</t>
        </is>
      </c>
      <c r="I84" s="2" t="n">
        <v>46326</v>
      </c>
      <c r="J84" t="inlineStr">
        <is>
          <t>Pencabutan</t>
        </is>
      </c>
      <c r="K84" t="n">
        <v>30</v>
      </c>
      <c r="L84" t="inlineStr">
        <is>
          <t>31 Oktober 2026</t>
        </is>
      </c>
      <c r="M84" t="inlineStr">
        <is>
          <t>Konstruksi Bangunan Sipil Elektrikal</t>
        </is>
      </c>
      <c r="N84" t="inlineStr">
        <is>
          <t>K</t>
        </is>
      </c>
      <c r="O84" t="inlineStr">
        <is>
          <t>20231101</t>
        </is>
      </c>
      <c r="P84" t="inlineStr">
        <is>
          <t>Sumatera Utara</t>
        </is>
      </c>
      <c r="Q84" t="inlineStr"/>
    </row>
    <row r="85">
      <c r="A85" t="inlineStr">
        <is>
          <t>RAHMAT</t>
        </is>
      </c>
      <c r="B85" t="inlineStr">
        <is>
          <t>Kota Bau Bau</t>
        </is>
      </c>
      <c r="C85" t="inlineStr">
        <is>
          <t>082211404005</t>
        </is>
      </c>
      <c r="D85" t="inlineStr">
        <is>
          <t>rahmatcv02@gmail.com</t>
        </is>
      </c>
      <c r="E85" t="inlineStr">
        <is>
          <t>https://lpjk.pu.go.id/search-badan-usaha-detail/TC9KcFVRcjhXbW9JRmJ6RnNNSlFLQT09</t>
        </is>
      </c>
      <c r="F85" t="n">
        <v>4</v>
      </c>
      <c r="G85" t="inlineStr">
        <is>
          <t>BS001, BS010</t>
        </is>
      </c>
      <c r="H85" t="inlineStr">
        <is>
          <t>28 Mei 2011</t>
        </is>
      </c>
      <c r="I85" s="2" t="n">
        <v>46326</v>
      </c>
      <c r="J85" t="inlineStr">
        <is>
          <t>Disetujui</t>
        </is>
      </c>
      <c r="K85" t="n">
        <v>30</v>
      </c>
      <c r="L85" t="inlineStr">
        <is>
          <t>31 Oktober 2026</t>
        </is>
      </c>
      <c r="M85" t="inlineStr">
        <is>
          <t>Konstruksi Bangunan Prasarana Sumber Daya Air, Konstruksi Bangunan Sipil Jalan</t>
        </is>
      </c>
      <c r="N85" t="inlineStr">
        <is>
          <t>K</t>
        </is>
      </c>
      <c r="O85" t="inlineStr">
        <is>
          <t>20231026</t>
        </is>
      </c>
      <c r="P85" t="inlineStr">
        <is>
          <t>Sulawesi Tenggara</t>
        </is>
      </c>
      <c r="Q85" t="inlineStr"/>
    </row>
    <row r="86">
      <c r="A86" t="inlineStr">
        <is>
          <t>RAHMAT TUNAS KARYA CITRA MANDIRI</t>
        </is>
      </c>
      <c r="B86" t="inlineStr">
        <is>
          <t>Kota Padang Sidempuan</t>
        </is>
      </c>
      <c r="C86" t="inlineStr">
        <is>
          <t>081263909779</t>
        </is>
      </c>
      <c r="D86" t="inlineStr">
        <is>
          <t>pt.rahmadtunas@gmail.com</t>
        </is>
      </c>
      <c r="E86" t="inlineStr">
        <is>
          <t>https://lpjk.pu.go.id/search-badan-usaha-detail/V1dyVm9oSWkyK29FaDFrWWZHd2dKZz09</t>
        </is>
      </c>
      <c r="F86" t="n">
        <v>2</v>
      </c>
      <c r="G86" t="inlineStr">
        <is>
          <t>BS001</t>
        </is>
      </c>
      <c r="H86" t="inlineStr">
        <is>
          <t>23 September 2015</t>
        </is>
      </c>
      <c r="I86" s="2" t="n">
        <v>46326</v>
      </c>
      <c r="J86" t="inlineStr">
        <is>
          <t>Disetujui</t>
        </is>
      </c>
      <c r="K86" t="n">
        <v>30</v>
      </c>
      <c r="L86" t="inlineStr">
        <is>
          <t>31 Oktober 2026</t>
        </is>
      </c>
      <c r="M86" t="inlineStr">
        <is>
          <t>Konstruksi Bangunan Sipil Jalan</t>
        </is>
      </c>
      <c r="N86" t="inlineStr">
        <is>
          <t>K</t>
        </is>
      </c>
      <c r="O86" t="inlineStr">
        <is>
          <t>20231031</t>
        </is>
      </c>
      <c r="P86" t="inlineStr">
        <is>
          <t>Sumatera Utara</t>
        </is>
      </c>
      <c r="Q86" t="inlineStr"/>
    </row>
    <row r="87">
      <c r="A87" t="inlineStr">
        <is>
          <t>RAJA CETAK PUTUSSIBAU</t>
        </is>
      </c>
      <c r="B87" t="inlineStr">
        <is>
          <t>Kab. Kapuas Hulu</t>
        </is>
      </c>
      <c r="C87" t="inlineStr">
        <is>
          <t>082158558006</t>
        </is>
      </c>
      <c r="D87" t="inlineStr">
        <is>
          <t>rajacetakpts@gmail.com</t>
        </is>
      </c>
      <c r="E87" t="inlineStr">
        <is>
          <t>https://lpjk.pu.go.id/search-badan-usaha-detail/WHdXQ2hmRGNaUml2SlFmZ1YyMHQ2UT09</t>
        </is>
      </c>
      <c r="F87" t="n">
        <v>1</v>
      </c>
      <c r="G87" t="inlineStr">
        <is>
          <t>BG006</t>
        </is>
      </c>
      <c r="H87" t="inlineStr">
        <is>
          <t>4 Maret 2020</t>
        </is>
      </c>
      <c r="I87" s="2" t="n">
        <v>46326</v>
      </c>
      <c r="J87" t="inlineStr">
        <is>
          <t>Disetujui</t>
        </is>
      </c>
      <c r="K87" t="n">
        <v>30</v>
      </c>
      <c r="L87" t="inlineStr">
        <is>
          <t>31 Oktober 2026</t>
        </is>
      </c>
      <c r="M87" t="inlineStr">
        <is>
          <t>Konstruksi Gedung Pendidikan</t>
        </is>
      </c>
      <c r="N87" t="inlineStr">
        <is>
          <t>K</t>
        </is>
      </c>
      <c r="O87" t="inlineStr">
        <is>
          <t>20231026</t>
        </is>
      </c>
      <c r="P87" t="inlineStr">
        <is>
          <t>Kalimantan Barat</t>
        </is>
      </c>
      <c r="Q87" t="inlineStr"/>
    </row>
    <row r="88">
      <c r="A88" t="inlineStr">
        <is>
          <t>SAHABAT RAYA</t>
        </is>
      </c>
      <c r="B88" t="inlineStr">
        <is>
          <t>Kota Palembang</t>
        </is>
      </c>
      <c r="C88" t="inlineStr">
        <is>
          <t>081377996436</t>
        </is>
      </c>
      <c r="D88" t="inlineStr">
        <is>
          <t>sahabat.rayacv@gmail.com</t>
        </is>
      </c>
      <c r="E88" t="inlineStr">
        <is>
          <t>https://lpjk.pu.go.id/search-badan-usaha-detail/WW9VaG53QXU3ejFhbHI2RjJuVGtCQT09</t>
        </is>
      </c>
      <c r="F88" t="n">
        <v>2</v>
      </c>
      <c r="G88" t="inlineStr">
        <is>
          <t>BS001, BS004</t>
        </is>
      </c>
      <c r="H88" t="inlineStr">
        <is>
          <t>26 Januari 2017</t>
        </is>
      </c>
      <c r="I88" s="2" t="n">
        <v>46326</v>
      </c>
      <c r="J88" t="inlineStr">
        <is>
          <t>Disetujui</t>
        </is>
      </c>
      <c r="K88" t="n">
        <v>30</v>
      </c>
      <c r="L88" t="inlineStr">
        <is>
          <t>31 Oktober 2026</t>
        </is>
      </c>
      <c r="M88" t="inlineStr">
        <is>
          <t>Konstruksi Bangunan Sipil Jalan, Konstruksi Jaringan Irigasi dan Drainase</t>
        </is>
      </c>
      <c r="N88" t="inlineStr">
        <is>
          <t>K</t>
        </is>
      </c>
      <c r="O88" t="inlineStr">
        <is>
          <t>20231024</t>
        </is>
      </c>
      <c r="P88" t="inlineStr">
        <is>
          <t>Sumatera Selatan</t>
        </is>
      </c>
      <c r="Q88" t="inlineStr"/>
    </row>
    <row r="89">
      <c r="A89" t="inlineStr">
        <is>
          <t>SALWA</t>
        </is>
      </c>
      <c r="B89" t="inlineStr">
        <is>
          <t>Kab. Tapanuli Selatan</t>
        </is>
      </c>
      <c r="C89" t="inlineStr">
        <is>
          <t>085277477940</t>
        </is>
      </c>
      <c r="D89" t="inlineStr">
        <is>
          <t>cvsalwa9@gmail.com</t>
        </is>
      </c>
      <c r="E89" t="inlineStr">
        <is>
          <t>https://lpjk.pu.go.id/search-badan-usaha-detail/QjhQd3dKMWtjTGRXU0R3S2F1dlRHUT09</t>
        </is>
      </c>
      <c r="F89" t="n">
        <v>6</v>
      </c>
      <c r="G89" t="inlineStr">
        <is>
          <t>BG002, BG004, BG005, BG006, BS001, BS004</t>
        </is>
      </c>
      <c r="H89" t="inlineStr">
        <is>
          <t>7 Maret 2012</t>
        </is>
      </c>
      <c r="I89" s="2" t="n">
        <v>46326</v>
      </c>
      <c r="J89" t="inlineStr">
        <is>
          <t>Disetujui</t>
        </is>
      </c>
      <c r="K89" t="n">
        <v>30</v>
      </c>
      <c r="L89" t="inlineStr">
        <is>
          <t>31 Oktober 2026</t>
        </is>
      </c>
      <c r="M89" t="inlineStr">
        <is>
          <t>Konstruksi Bangunan Sipil Jalan, Konstruksi Gedung Kesehatan, Konstruksi Gedung Pendidikan, Konstruksi Gedung Perbelanjaan, Konstruksi Gedung Perkantoran, Konstruksi Jaringan Irigasi dan Drainase</t>
        </is>
      </c>
      <c r="N89" t="inlineStr">
        <is>
          <t>K</t>
        </is>
      </c>
      <c r="O89" t="inlineStr">
        <is>
          <t>20231005, 20231006, 20231009</t>
        </is>
      </c>
      <c r="P89" t="inlineStr">
        <is>
          <t>Sumatera Utara</t>
        </is>
      </c>
      <c r="Q89" t="inlineStr"/>
    </row>
    <row r="90">
      <c r="A90" t="inlineStr">
        <is>
          <t>SAPTA KARYA</t>
        </is>
      </c>
      <c r="B90" t="inlineStr">
        <is>
          <t>Kota Bukittinggi</t>
        </is>
      </c>
      <c r="C90" t="inlineStr">
        <is>
          <t>08126782244</t>
        </is>
      </c>
      <c r="D90" t="inlineStr">
        <is>
          <t>sptkarya@gmail.com</t>
        </is>
      </c>
      <c r="E90" t="inlineStr">
        <is>
          <t>https://lpjk.pu.go.id/search-badan-usaha-detail/VzJXbWtFOW5rMjBDZ1RyaVpLSGg0UT09</t>
        </is>
      </c>
      <c r="F90" t="n">
        <v>6</v>
      </c>
      <c r="G90" t="inlineStr">
        <is>
          <t>BG002, BG005, BG006, BG008, BG009, BS001</t>
        </is>
      </c>
      <c r="H90" t="inlineStr">
        <is>
          <t>24 Juli 1999</t>
        </is>
      </c>
      <c r="I90" s="2" t="n">
        <v>46326</v>
      </c>
      <c r="J90" t="inlineStr">
        <is>
          <t>Disetujui</t>
        </is>
      </c>
      <c r="K90" t="n">
        <v>30</v>
      </c>
      <c r="L90" t="inlineStr">
        <is>
          <t>31 Oktober 2026</t>
        </is>
      </c>
      <c r="M90" t="inlineStr">
        <is>
          <t>Konstruksi Bangunan Sipil Jalan, Konstruksi Gedung Kesehatan, Konstruksi Gedung Lainnya, Konstruksi Gedung Pendidikan, Konstruksi Gedung Perkantoran, Konstruksi Gedung Tempat Hiburan dan Olahraga</t>
        </is>
      </c>
      <c r="N90" t="inlineStr">
        <is>
          <t>K</t>
        </is>
      </c>
      <c r="O90" t="inlineStr">
        <is>
          <t>20231024</t>
        </is>
      </c>
      <c r="P90" t="inlineStr">
        <is>
          <t>Sumatera Barat</t>
        </is>
      </c>
      <c r="Q90" t="inlineStr"/>
    </row>
    <row r="91">
      <c r="A91" t="inlineStr">
        <is>
          <t>SENTOSA MAKMUR MULIA</t>
        </is>
      </c>
      <c r="B91" t="inlineStr">
        <is>
          <t>Kab. Kendal</t>
        </is>
      </c>
      <c r="C91" t="inlineStr">
        <is>
          <t>085225052256</t>
        </is>
      </c>
      <c r="D91" t="inlineStr">
        <is>
          <t>sentosasa2023@gmail.com</t>
        </is>
      </c>
      <c r="E91" t="inlineStr">
        <is>
          <t>https://lpjk.pu.go.id/search-badan-usaha-detail/MGlyTko2UGtOZU8zd3AwV2FzSW10UT09</t>
        </is>
      </c>
      <c r="F91" t="n">
        <v>1</v>
      </c>
      <c r="G91" t="inlineStr">
        <is>
          <t>BG004</t>
        </is>
      </c>
      <c r="H91" t="inlineStr">
        <is>
          <t>14 Maret 2023</t>
        </is>
      </c>
      <c r="I91" s="2" t="n">
        <v>46326</v>
      </c>
      <c r="J91" t="inlineStr">
        <is>
          <t>Disetujui</t>
        </is>
      </c>
      <c r="K91" t="n">
        <v>30</v>
      </c>
      <c r="L91" t="inlineStr">
        <is>
          <t>31 Oktober 2026</t>
        </is>
      </c>
      <c r="M91" t="inlineStr">
        <is>
          <t>Konstruksi Gedung Perbelanjaan</t>
        </is>
      </c>
      <c r="N91" t="inlineStr">
        <is>
          <t>K</t>
        </is>
      </c>
      <c r="O91" t="inlineStr">
        <is>
          <t>20231024</t>
        </is>
      </c>
      <c r="P91" t="inlineStr">
        <is>
          <t>Jawa Tengah</t>
        </is>
      </c>
      <c r="Q91" t="inlineStr"/>
    </row>
    <row r="92">
      <c r="A92" t="inlineStr">
        <is>
          <t>SENTRA KARYATAMA PRIMA</t>
        </is>
      </c>
      <c r="B92" t="inlineStr">
        <is>
          <t>Kab. Ciamis</t>
        </is>
      </c>
      <c r="C92" t="inlineStr">
        <is>
          <t>081312696300</t>
        </is>
      </c>
      <c r="D92" t="inlineStr">
        <is>
          <t>skaryatamaprima@gmail.com</t>
        </is>
      </c>
      <c r="E92" t="inlineStr">
        <is>
          <t>https://lpjk.pu.go.id/search-badan-usaha-detail/R1pXRGF2U0d2UFo1Qk0wK3dpZkZ1QT09</t>
        </is>
      </c>
      <c r="F92" t="n">
        <v>1</v>
      </c>
      <c r="G92" t="inlineStr">
        <is>
          <t>BS002</t>
        </is>
      </c>
      <c r="H92" t="inlineStr">
        <is>
          <t>1 Juni 2007</t>
        </is>
      </c>
      <c r="I92" s="2" t="n">
        <v>46326</v>
      </c>
      <c r="J92" t="inlineStr">
        <is>
          <t>Disetujui</t>
        </is>
      </c>
      <c r="K92" t="n">
        <v>30</v>
      </c>
      <c r="L92" t="inlineStr">
        <is>
          <t>31 Oktober 2026</t>
        </is>
      </c>
      <c r="M92" t="inlineStr">
        <is>
          <t>Bangunan Sipil Jembatan, Jalan Layang, Fly Over, dan Underpass</t>
        </is>
      </c>
      <c r="N92" t="inlineStr">
        <is>
          <t>K</t>
        </is>
      </c>
      <c r="O92" t="inlineStr">
        <is>
          <t>20231030</t>
        </is>
      </c>
      <c r="P92" t="inlineStr">
        <is>
          <t>Jawa Barat</t>
        </is>
      </c>
      <c r="Q92" t="inlineStr"/>
    </row>
    <row r="93">
      <c r="A93" t="inlineStr">
        <is>
          <t>SINAR AGUNG JAYA LESTARI</t>
        </is>
      </c>
      <c r="B93" t="inlineStr">
        <is>
          <t>Kota Makassar</t>
        </is>
      </c>
      <c r="C93" t="inlineStr">
        <is>
          <t>082193617925</t>
        </is>
      </c>
      <c r="D93" t="inlineStr">
        <is>
          <t>ptsajl2018@gmail.com</t>
        </is>
      </c>
      <c r="E93" t="inlineStr">
        <is>
          <t>https://lpjk.pu.go.id/search-badan-usaha-detail/eGRLc0l2enJxUStoeVFaQTA0VG9vdz09</t>
        </is>
      </c>
      <c r="F93" t="n">
        <v>1</v>
      </c>
      <c r="G93" t="inlineStr">
        <is>
          <t>BS001</t>
        </is>
      </c>
      <c r="H93" t="inlineStr">
        <is>
          <t>18 Februari 2003</t>
        </is>
      </c>
      <c r="I93" s="2" t="n">
        <v>46326</v>
      </c>
      <c r="J93" t="inlineStr">
        <is>
          <t>Pencabutan</t>
        </is>
      </c>
      <c r="K93" t="n">
        <v>30</v>
      </c>
      <c r="L93" t="inlineStr">
        <is>
          <t>31 Oktober 2026</t>
        </is>
      </c>
      <c r="M93" t="inlineStr">
        <is>
          <t>Konstruksi Bangunan Sipil Jalan</t>
        </is>
      </c>
      <c r="N93" t="inlineStr">
        <is>
          <t>B</t>
        </is>
      </c>
      <c r="O93" t="inlineStr">
        <is>
          <t>20231028</t>
        </is>
      </c>
      <c r="P93" t="inlineStr">
        <is>
          <t>Sulawesi Selatan</t>
        </is>
      </c>
      <c r="Q93" t="inlineStr"/>
    </row>
    <row r="94">
      <c r="A94" t="inlineStr">
        <is>
          <t>SINAR WIJAYA</t>
        </is>
      </c>
      <c r="B94" t="inlineStr">
        <is>
          <t>Kota Semarang</t>
        </is>
      </c>
      <c r="C94" t="inlineStr">
        <is>
          <t>081325657113</t>
        </is>
      </c>
      <c r="D94" t="inlineStr">
        <is>
          <t>sinarwijaya@ymail.com</t>
        </is>
      </c>
      <c r="E94" t="inlineStr">
        <is>
          <t>https://lpjk.pu.go.id/search-badan-usaha-detail/VlA0bnBLSEZaVmdIeFR4Z21KU3pPdz09</t>
        </is>
      </c>
      <c r="F94" t="n">
        <v>2</v>
      </c>
      <c r="G94" t="inlineStr">
        <is>
          <t>BG006, PB007</t>
        </is>
      </c>
      <c r="H94" t="inlineStr">
        <is>
          <t>2 September 2003</t>
        </is>
      </c>
      <c r="I94" s="2" t="n">
        <v>46326</v>
      </c>
      <c r="J94" t="inlineStr">
        <is>
          <t>Disetujui, Pembekuan</t>
        </is>
      </c>
      <c r="K94" t="n">
        <v>30</v>
      </c>
      <c r="L94" t="inlineStr">
        <is>
          <t>31 Oktober 2026</t>
        </is>
      </c>
      <c r="M94" t="inlineStr">
        <is>
          <t>Konstruksi Gedung Pendidikan, Pengecatan</t>
        </is>
      </c>
      <c r="N94" t="inlineStr">
        <is>
          <t>K, Spesialis</t>
        </is>
      </c>
      <c r="O94" t="inlineStr">
        <is>
          <t>20231031</t>
        </is>
      </c>
      <c r="P94" t="inlineStr">
        <is>
          <t>Jawa Tengah</t>
        </is>
      </c>
      <c r="Q94" t="inlineStr"/>
    </row>
    <row r="95">
      <c r="A95" t="inlineStr">
        <is>
          <t>SOLAGRATIA PAPUA</t>
        </is>
      </c>
      <c r="B95" t="inlineStr">
        <is>
          <t>Kab. Jayapura</t>
        </is>
      </c>
      <c r="C95" t="inlineStr">
        <is>
          <t>082137974477</t>
        </is>
      </c>
      <c r="D95" t="inlineStr">
        <is>
          <t>papuasolagratia@gmail.com</t>
        </is>
      </c>
      <c r="E95" t="inlineStr">
        <is>
          <t>https://lpjk.pu.go.id/search-badan-usaha-detail/bHNFRU91UDZMamxlWWhWM2ovblRyZz09</t>
        </is>
      </c>
      <c r="F95" t="n">
        <v>1</v>
      </c>
      <c r="G95" t="inlineStr">
        <is>
          <t>BG001</t>
        </is>
      </c>
      <c r="H95" t="inlineStr">
        <is>
          <t>14 Maret 2014</t>
        </is>
      </c>
      <c r="I95" s="2" t="n">
        <v>46326</v>
      </c>
      <c r="J95" t="inlineStr">
        <is>
          <t>Disetujui</t>
        </is>
      </c>
      <c r="K95" t="n">
        <v>30</v>
      </c>
      <c r="L95" t="inlineStr">
        <is>
          <t>31 Oktober 2026</t>
        </is>
      </c>
      <c r="M95" t="inlineStr">
        <is>
          <t>Konstruksi Gedung Hunian</t>
        </is>
      </c>
      <c r="N95" t="inlineStr">
        <is>
          <t>K</t>
        </is>
      </c>
      <c r="O95" t="inlineStr">
        <is>
          <t>20231017</t>
        </is>
      </c>
      <c r="P95" t="inlineStr">
        <is>
          <t>Papua</t>
        </is>
      </c>
      <c r="Q95" t="inlineStr"/>
    </row>
    <row r="96">
      <c r="A96" t="inlineStr">
        <is>
          <t>SURYA BUANA NUSANTARA SEJAHTERA</t>
        </is>
      </c>
      <c r="B96" t="inlineStr">
        <is>
          <t>Kab. Banyumas</t>
        </is>
      </c>
      <c r="C96" t="inlineStr">
        <is>
          <t>081327751824</t>
        </is>
      </c>
      <c r="D96" t="inlineStr">
        <is>
          <t>suryabuananusantarasejahtera@gmail.com</t>
        </is>
      </c>
      <c r="E96" t="inlineStr">
        <is>
          <t>https://lpjk.pu.go.id/search-badan-usaha-detail/OUJaalB5MlEvVDdiNXdaNzVTdVVEUT09</t>
        </is>
      </c>
      <c r="F96" t="n">
        <v>2</v>
      </c>
      <c r="G96" t="inlineStr">
        <is>
          <t>BS001, BS002</t>
        </is>
      </c>
      <c r="H96" t="inlineStr">
        <is>
          <t>1 November 2023</t>
        </is>
      </c>
      <c r="I96" s="2" t="n">
        <v>46326</v>
      </c>
      <c r="J96" t="inlineStr">
        <is>
          <t>Disetujui</t>
        </is>
      </c>
      <c r="K96" t="n">
        <v>30</v>
      </c>
      <c r="L96" t="inlineStr">
        <is>
          <t>31 Oktober 2026</t>
        </is>
      </c>
      <c r="M96" t="inlineStr">
        <is>
          <t>Bangunan Sipil Jembatan, Jalan Layang, Fly Over, dan Underpass, Konstruksi Bangunan Sipil Jalan</t>
        </is>
      </c>
      <c r="N96" t="inlineStr">
        <is>
          <t>K</t>
        </is>
      </c>
      <c r="O96" t="inlineStr">
        <is>
          <t>20231030</t>
        </is>
      </c>
      <c r="P96" t="inlineStr">
        <is>
          <t>Jawa Tengah</t>
        </is>
      </c>
      <c r="Q96" t="inlineStr"/>
    </row>
    <row r="97">
      <c r="A97" t="inlineStr">
        <is>
          <t>TRACON INDUSTRI</t>
        </is>
      </c>
      <c r="B97" t="inlineStr">
        <is>
          <t>Kota Adm. Jakarta Selatan</t>
        </is>
      </c>
      <c r="C97" t="inlineStr">
        <is>
          <t>0217974367</t>
        </is>
      </c>
      <c r="D97" t="inlineStr">
        <is>
          <t>cslia@tracon.rekayasa.co.id</t>
        </is>
      </c>
      <c r="E97" t="inlineStr">
        <is>
          <t>https://lpjk.pu.go.id/search-badan-usaha-detail/UklzUGJSanVIdjRJa0lVU2ZnWjRDUT09</t>
        </is>
      </c>
      <c r="F97" t="n">
        <v>3</v>
      </c>
      <c r="G97" t="inlineStr">
        <is>
          <t>BG003, BS007, BS020</t>
        </is>
      </c>
      <c r="H97" t="inlineStr">
        <is>
          <t>27 Agustus 2001</t>
        </is>
      </c>
      <c r="I97" s="2" t="n">
        <v>46326</v>
      </c>
      <c r="J97" t="inlineStr">
        <is>
          <t>Pencabutan</t>
        </is>
      </c>
      <c r="K97" t="n">
        <v>30</v>
      </c>
      <c r="L97" t="inlineStr">
        <is>
          <t>31 Oktober 2026</t>
        </is>
      </c>
      <c r="M97" t="inlineStr">
        <is>
          <t>Konstruksi Bangunan Sipil Elektrikal, Konstruksi Gedung Industri, Konstruksi Jaringan Irigasi, Komunikasi, dan Limbah Lainnya</t>
        </is>
      </c>
      <c r="N97" t="inlineStr">
        <is>
          <t>K</t>
        </is>
      </c>
      <c r="O97" t="inlineStr">
        <is>
          <t>20231031, 20231102</t>
        </is>
      </c>
      <c r="P97" t="inlineStr">
        <is>
          <t>DKI Jakarta</t>
        </is>
      </c>
      <c r="Q97" t="inlineStr"/>
    </row>
    <row r="98">
      <c r="A98" t="inlineStr">
        <is>
          <t>TRI NUR HASGA</t>
        </is>
      </c>
      <c r="B98" t="inlineStr">
        <is>
          <t>Kab. Soppeng</t>
        </is>
      </c>
      <c r="C98" t="inlineStr">
        <is>
          <t>082191025777</t>
        </is>
      </c>
      <c r="D98" t="inlineStr">
        <is>
          <t>trinurhasga@gmail.com</t>
        </is>
      </c>
      <c r="E98" t="inlineStr">
        <is>
          <t>https://lpjk.pu.go.id/search-badan-usaha-detail/KzFtK29KWllqNFJ5OHNrWUdoVVpkUT09</t>
        </is>
      </c>
      <c r="F98" t="n">
        <v>2</v>
      </c>
      <c r="G98" t="inlineStr">
        <is>
          <t>RK002, RK003</t>
        </is>
      </c>
      <c r="H98" t="inlineStr">
        <is>
          <t>30 Januari 2014</t>
        </is>
      </c>
      <c r="I98" s="2" t="n">
        <v>46326</v>
      </c>
      <c r="J98" t="inlineStr">
        <is>
          <t>Disetujui</t>
        </is>
      </c>
      <c r="K98" t="n">
        <v>30</v>
      </c>
      <c r="L98" t="inlineStr">
        <is>
          <t>31 Oktober 2026</t>
        </is>
      </c>
      <c r="M98" t="inlineStr">
        <is>
          <t>Jasa Rekayasa Pekerjaan Teknik Sipil Sumber Daya Air, Jasa Rekayasa Pekerjaan Teknik Sipil Transportasi</t>
        </is>
      </c>
      <c r="N98" t="inlineStr">
        <is>
          <t>K</t>
        </is>
      </c>
      <c r="O98" t="inlineStr">
        <is>
          <t>20231020</t>
        </is>
      </c>
      <c r="P98" t="inlineStr">
        <is>
          <t>Sulawesi Selatan</t>
        </is>
      </c>
      <c r="Q98" t="inlineStr"/>
    </row>
    <row r="99">
      <c r="A99" t="inlineStr">
        <is>
          <t>TRISTAR JAYA PERKASA</t>
        </is>
      </c>
      <c r="B99" t="inlineStr">
        <is>
          <t>Kab. Parigi Moutong</t>
        </is>
      </c>
      <c r="C99" t="inlineStr">
        <is>
          <t>0811456708</t>
        </is>
      </c>
      <c r="D99" t="inlineStr">
        <is>
          <t>jtr.tristar@gmail.com</t>
        </is>
      </c>
      <c r="E99" t="inlineStr">
        <is>
          <t>https://lpjk.pu.go.id/search-badan-usaha-detail/MFpCWDRYbGhvYitjMDJqbkpaQ3czUT09</t>
        </is>
      </c>
      <c r="F99" t="n">
        <v>1</v>
      </c>
      <c r="G99" t="inlineStr">
        <is>
          <t>PL003</t>
        </is>
      </c>
      <c r="H99" t="inlineStr">
        <is>
          <t>29 Maret 2021</t>
        </is>
      </c>
      <c r="I99" s="2" t="n">
        <v>46326</v>
      </c>
      <c r="J99" t="inlineStr">
        <is>
          <t>Pembekuan</t>
        </is>
      </c>
      <c r="K99" t="n">
        <v>30</v>
      </c>
      <c r="L99" t="inlineStr">
        <is>
          <t>31 Oktober 2026</t>
        </is>
      </c>
      <c r="M99" t="inlineStr">
        <is>
          <t>Penyiapan Lahan Konstruksi</t>
        </is>
      </c>
      <c r="N99" t="inlineStr">
        <is>
          <t>Spesialis</t>
        </is>
      </c>
      <c r="O99" t="inlineStr">
        <is>
          <t>20231029</t>
        </is>
      </c>
      <c r="P99" t="inlineStr">
        <is>
          <t>Sulawesi Tengah</t>
        </is>
      </c>
      <c r="Q99" t="inlineStr"/>
    </row>
    <row r="100">
      <c r="A100" t="inlineStr">
        <is>
          <t>YURA PUTRA UTAMA</t>
        </is>
      </c>
      <c r="B100" t="inlineStr">
        <is>
          <t>Kab. Serang</t>
        </is>
      </c>
      <c r="C100" t="inlineStr">
        <is>
          <t>087774186560</t>
        </is>
      </c>
      <c r="D100" t="inlineStr">
        <is>
          <t>yuraputrautama@gmail.com</t>
        </is>
      </c>
      <c r="E100" t="inlineStr">
        <is>
          <t>https://lpjk.pu.go.id/search-badan-usaha-detail/WlV3RXhYcFEyUWxqeEZwTGNnbE53QT09</t>
        </is>
      </c>
      <c r="F100" t="n">
        <v>1</v>
      </c>
      <c r="G100" t="inlineStr">
        <is>
          <t>BS001</t>
        </is>
      </c>
      <c r="H100" t="inlineStr">
        <is>
          <t>20 Januari 2020</t>
        </is>
      </c>
      <c r="I100" s="2" t="n">
        <v>46326</v>
      </c>
      <c r="J100" t="inlineStr">
        <is>
          <t>Disetujui</t>
        </is>
      </c>
      <c r="K100" t="n">
        <v>30</v>
      </c>
      <c r="L100" t="inlineStr">
        <is>
          <t>31 Oktober 2026</t>
        </is>
      </c>
      <c r="M100" t="inlineStr">
        <is>
          <t>Konstruksi Bangunan Sipil Jalan</t>
        </is>
      </c>
      <c r="N100" t="inlineStr">
        <is>
          <t>K</t>
        </is>
      </c>
      <c r="O100" t="inlineStr">
        <is>
          <t>20230718</t>
        </is>
      </c>
      <c r="P100" t="inlineStr">
        <is>
          <t>Banten</t>
        </is>
      </c>
      <c r="Q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2026-10-01T01:11:11Z</dcterms:created>
  <dcterms:modified xsi:type="dcterms:W3CDTF">2026-10-01T01:11:11Z</dcterms:modified>
</cp:coreProperties>
</file>