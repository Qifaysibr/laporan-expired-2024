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5"/>
  <sheetViews>
    <sheetView workbookViewId="0">
      <selection activeCell="A1" sqref="A1"/>
    </sheetView>
  </sheetViews>
  <sheetFormatPr baseColWidth="8" defaultRowHeight="15"/>
  <cols>
    <col width="34" customWidth="1" min="1" max="1"/>
    <col width="27" customWidth="1" min="2" max="2"/>
    <col width="16" customWidth="1" min="3" max="3"/>
    <col width="38"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9" customWidth="1" min="12" max="12"/>
    <col width="50" customWidth="1" min="13" max="13"/>
    <col width="14"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ADEKAKARYA INDAHPERKASA</t>
        </is>
      </c>
      <c r="B2" t="inlineStr">
        <is>
          <t>Kota Bogor</t>
        </is>
      </c>
      <c r="C2" t="inlineStr">
        <is>
          <t>087872288353</t>
        </is>
      </c>
      <c r="D2" t="inlineStr">
        <is>
          <t>adekakarya@gmail.com</t>
        </is>
      </c>
      <c r="E2" t="inlineStr">
        <is>
          <t>https://lpjk.pu.go.id/search-badan-usaha-detail/N2paZTlVOTltSEVLRjE5ZjcxOEdwQT09</t>
        </is>
      </c>
      <c r="F2" t="n">
        <v>6</v>
      </c>
      <c r="G2" t="inlineStr">
        <is>
          <t>BG002, BG003, BG006, BG008, BG009, BS002</t>
        </is>
      </c>
      <c r="H2" t="inlineStr">
        <is>
          <t>3 Oktober 1994</t>
        </is>
      </c>
      <c r="I2" s="2" t="n">
        <v>46293</v>
      </c>
      <c r="J2" t="inlineStr">
        <is>
          <t>Disetujui</t>
        </is>
      </c>
      <c r="K2" t="n">
        <v>90</v>
      </c>
      <c r="L2" t="inlineStr">
        <is>
          <t>28 September 2026</t>
        </is>
      </c>
      <c r="M2" t="inlineStr">
        <is>
          <t>Bangunan Sipil Jembatan, Jalan Layang, Fly Over, dan Underpass, Konstruksi Gedung Industri, Konstruksi Gedung Lainnya, Konstruksi Gedung Pendidikan, Konstruksi Gedung Perkantoran, Konstruksi Gedung Tempat Hiburan dan Olahraga</t>
        </is>
      </c>
      <c r="N2" t="inlineStr">
        <is>
          <t>K</t>
        </is>
      </c>
      <c r="O2" t="inlineStr">
        <is>
          <t>20230923, 20230926</t>
        </is>
      </c>
      <c r="P2" t="inlineStr">
        <is>
          <t>Jawa Barat</t>
        </is>
      </c>
      <c r="Q2" s="3">
        <f>HYPERLINK("https://wa.me/6287872288353?text=Selamat siang Bapak/Ibu pimpinan ADEKAKARYA INDAHPERKASA,%0A%0ASemoga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ADHI MAKAYASA RAYA</t>
        </is>
      </c>
      <c r="B3" t="inlineStr">
        <is>
          <t>Kota Bekasi</t>
        </is>
      </c>
      <c r="C3" t="inlineStr">
        <is>
          <t>02122818071</t>
        </is>
      </c>
      <c r="D3" t="inlineStr">
        <is>
          <t>pt.adhimakayasaraya@gmail.com</t>
        </is>
      </c>
      <c r="E3" t="inlineStr">
        <is>
          <t>https://lpjk.pu.go.id/search-badan-usaha-detail/d21EUFFIdlI5L3BuK3EwWmdEK1NMdz09</t>
        </is>
      </c>
      <c r="F3" t="n">
        <v>1</v>
      </c>
      <c r="G3" t="inlineStr">
        <is>
          <t>BS001</t>
        </is>
      </c>
      <c r="H3" t="inlineStr">
        <is>
          <t>19 Juli 2017</t>
        </is>
      </c>
      <c r="I3" s="2" t="n">
        <v>46293</v>
      </c>
      <c r="J3" t="inlineStr">
        <is>
          <t>Pencabutan</t>
        </is>
      </c>
      <c r="K3" t="n">
        <v>90</v>
      </c>
      <c r="L3" t="inlineStr">
        <is>
          <t>28 September 2026</t>
        </is>
      </c>
      <c r="M3" t="inlineStr">
        <is>
          <t>Konstruksi Bangunan Sipil Jalan</t>
        </is>
      </c>
      <c r="N3" t="inlineStr">
        <is>
          <t>K</t>
        </is>
      </c>
      <c r="O3" t="inlineStr">
        <is>
          <t>20230929</t>
        </is>
      </c>
      <c r="P3" t="inlineStr">
        <is>
          <t>Jawa Barat</t>
        </is>
      </c>
      <c r="Q3" t="inlineStr"/>
    </row>
    <row r="4">
      <c r="A4" t="inlineStr">
        <is>
          <t>ANUGRAH ANANDA</t>
        </is>
      </c>
      <c r="B4" t="inlineStr">
        <is>
          <t>Kab. Bekasi</t>
        </is>
      </c>
      <c r="C4" t="inlineStr">
        <is>
          <t>0895372219444</t>
        </is>
      </c>
      <c r="D4" t="inlineStr">
        <is>
          <t>anugrahananda@emailsaya.com</t>
        </is>
      </c>
      <c r="E4" t="inlineStr">
        <is>
          <t>https://lpjk.pu.go.id/search-badan-usaha-detail/aGVxYjFjSFdub3VJZXB3UWsyRmRiQT09</t>
        </is>
      </c>
      <c r="F4" t="n">
        <v>6</v>
      </c>
      <c r="G4" t="inlineStr">
        <is>
          <t>BG006, BG009, BS001</t>
        </is>
      </c>
      <c r="H4" t="inlineStr">
        <is>
          <t>20 September 2002</t>
        </is>
      </c>
      <c r="I4" s="2" t="n">
        <v>46293</v>
      </c>
      <c r="J4" t="inlineStr">
        <is>
          <t>Disetujui</t>
        </is>
      </c>
      <c r="K4" t="n">
        <v>90</v>
      </c>
      <c r="L4" t="inlineStr">
        <is>
          <t>28 September 2026</t>
        </is>
      </c>
      <c r="M4" t="inlineStr">
        <is>
          <t>Konstruksi Bangunan Sipil Jalan, Konstruksi Gedung Lainnya, Konstruksi Gedung Pendidikan</t>
        </is>
      </c>
      <c r="N4" t="inlineStr">
        <is>
          <t>K</t>
        </is>
      </c>
      <c r="O4" t="inlineStr">
        <is>
          <t>20230922</t>
        </is>
      </c>
      <c r="P4" t="inlineStr">
        <is>
          <t>Jawa Barat</t>
        </is>
      </c>
      <c r="Q4" s="3">
        <f>HYPERLINK("https://wa.me/62895372219444?text=Selamat siang Bapak/Ibu pimpinan ANUGRAH ANANDA,%0A%0ASemoga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ANUGRAH BESTARI MANDIRI</t>
        </is>
      </c>
      <c r="B5" t="inlineStr">
        <is>
          <t>Kota Depok</t>
        </is>
      </c>
      <c r="C5" t="inlineStr">
        <is>
          <t>08157647819</t>
        </is>
      </c>
      <c r="D5" t="inlineStr">
        <is>
          <t>anugrahbestarimandiri99@gmail.com</t>
        </is>
      </c>
      <c r="E5" t="inlineStr">
        <is>
          <t>https://lpjk.pu.go.id/search-badan-usaha-detail/YjJBcFBvU3g3WE96bnkwdE1HTGZnUT09</t>
        </is>
      </c>
      <c r="F5" t="n">
        <v>2</v>
      </c>
      <c r="G5" t="inlineStr">
        <is>
          <t>BS001</t>
        </is>
      </c>
      <c r="H5" t="inlineStr">
        <is>
          <t>19 Maret 2021</t>
        </is>
      </c>
      <c r="I5" s="2" t="n">
        <v>46293</v>
      </c>
      <c r="J5" t="inlineStr">
        <is>
          <t>Disetujui</t>
        </is>
      </c>
      <c r="K5" t="n">
        <v>90</v>
      </c>
      <c r="L5" t="inlineStr">
        <is>
          <t>28 September 2026</t>
        </is>
      </c>
      <c r="M5" t="inlineStr">
        <is>
          <t>Konstruksi Bangunan Sipil Jalan</t>
        </is>
      </c>
      <c r="N5" t="inlineStr">
        <is>
          <t>K</t>
        </is>
      </c>
      <c r="O5" t="inlineStr">
        <is>
          <t>20230926</t>
        </is>
      </c>
      <c r="P5" t="inlineStr">
        <is>
          <t>Jawa Barat</t>
        </is>
      </c>
      <c r="Q5" s="3">
        <f>HYPERLINK("https://wa.me/628157647819?text=Selamat siang Bapak/Ibu pimpinan ANUGRAH BESTARI MANDIRI,%0A%0ASemoga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BANGUN ELUA KREASINDO PERKASA</t>
        </is>
      </c>
      <c r="B6" t="inlineStr">
        <is>
          <t>Kota Bekasi</t>
        </is>
      </c>
      <c r="C6" t="inlineStr">
        <is>
          <t>02121284890</t>
        </is>
      </c>
      <c r="D6" t="inlineStr">
        <is>
          <t>bangunelua@gmail.com</t>
        </is>
      </c>
      <c r="E6" t="inlineStr">
        <is>
          <t>https://lpjk.pu.go.id/search-badan-usaha-detail/T2M2c2doVW9RUmR4RmlUYXFmeTZNUT09</t>
        </is>
      </c>
      <c r="F6" t="n">
        <v>1</v>
      </c>
      <c r="G6" t="inlineStr">
        <is>
          <t>BG009</t>
        </is>
      </c>
      <c r="H6" t="inlineStr">
        <is>
          <t>13 September 2019</t>
        </is>
      </c>
      <c r="I6" s="2" t="n">
        <v>46293</v>
      </c>
      <c r="J6" t="inlineStr">
        <is>
          <t>Disetujui</t>
        </is>
      </c>
      <c r="K6" t="n">
        <v>90</v>
      </c>
      <c r="L6" t="inlineStr">
        <is>
          <t>28 September 2026</t>
        </is>
      </c>
      <c r="M6" t="inlineStr">
        <is>
          <t>Konstruksi Gedung Lainnya</t>
        </is>
      </c>
      <c r="N6" t="inlineStr">
        <is>
          <t>K</t>
        </is>
      </c>
      <c r="O6" t="inlineStr">
        <is>
          <t>20230926</t>
        </is>
      </c>
      <c r="P6" t="inlineStr">
        <is>
          <t>Jawa Barat</t>
        </is>
      </c>
      <c r="Q6" t="inlineStr"/>
    </row>
    <row r="7">
      <c r="A7" t="inlineStr">
        <is>
          <t>BINTANG PUTRA KUSUMA</t>
        </is>
      </c>
      <c r="B7" t="inlineStr">
        <is>
          <t>Kab. Bekasi</t>
        </is>
      </c>
      <c r="C7" t="inlineStr">
        <is>
          <t>08128880651</t>
        </is>
      </c>
      <c r="D7" t="inlineStr">
        <is>
          <t>pt.bintangputrakusuma@gmail.com</t>
        </is>
      </c>
      <c r="E7" t="inlineStr">
        <is>
          <t>https://lpjk.pu.go.id/search-badan-usaha-detail/ajQ2czhJeWUxMzV4UUNzT0tySjBTdz09</t>
        </is>
      </c>
      <c r="F7" t="n">
        <v>2</v>
      </c>
      <c r="G7" t="inlineStr">
        <is>
          <t>BG001</t>
        </is>
      </c>
      <c r="H7" t="inlineStr">
        <is>
          <t>22 Februari 2023</t>
        </is>
      </c>
      <c r="I7" s="2" t="n">
        <v>46293</v>
      </c>
      <c r="J7" t="inlineStr">
        <is>
          <t>Disetujui</t>
        </is>
      </c>
      <c r="K7" t="n">
        <v>90</v>
      </c>
      <c r="L7" t="inlineStr">
        <is>
          <t>28 September 2026</t>
        </is>
      </c>
      <c r="M7" t="inlineStr">
        <is>
          <t>Konstruksi Gedung Hunian</t>
        </is>
      </c>
      <c r="N7" t="inlineStr">
        <is>
          <t>K</t>
        </is>
      </c>
      <c r="O7" t="inlineStr">
        <is>
          <t>20230928</t>
        </is>
      </c>
      <c r="P7" t="inlineStr">
        <is>
          <t>Jawa Barat</t>
        </is>
      </c>
      <c r="Q7" s="3">
        <f>HYPERLINK("https://wa.me/628128880651?text=Selamat siang Bapak/Ibu pimpinan BINTANG PUTRA KUSUMA,%0A%0ASemoga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EASTERN INDOTECH MULTITAMA</t>
        </is>
      </c>
      <c r="B8" t="inlineStr">
        <is>
          <t>Kab. Bekasi</t>
        </is>
      </c>
      <c r="C8" t="inlineStr">
        <is>
          <t>02122101964</t>
        </is>
      </c>
      <c r="D8" t="inlineStr">
        <is>
          <t>sales@easternindotech.com</t>
        </is>
      </c>
      <c r="E8" t="inlineStr">
        <is>
          <t>https://lpjk.pu.go.id/search-badan-usaha-detail/VnpxeGJQelErajNyT0J1dnkzRW9Idz09</t>
        </is>
      </c>
      <c r="F8" t="n">
        <v>2</v>
      </c>
      <c r="G8" t="inlineStr">
        <is>
          <t>BG002, BG004</t>
        </is>
      </c>
      <c r="H8" t="inlineStr">
        <is>
          <t>20 Februari 2006</t>
        </is>
      </c>
      <c r="I8" s="2" t="n">
        <v>46293</v>
      </c>
      <c r="J8" t="inlineStr">
        <is>
          <t>Disetujui</t>
        </is>
      </c>
      <c r="K8" t="n">
        <v>90</v>
      </c>
      <c r="L8" t="inlineStr">
        <is>
          <t>28 September 2026</t>
        </is>
      </c>
      <c r="M8" t="inlineStr">
        <is>
          <t>Konstruksi Gedung Perbelanjaan, Konstruksi Gedung Perkantoran</t>
        </is>
      </c>
      <c r="N8" t="inlineStr">
        <is>
          <t>M</t>
        </is>
      </c>
      <c r="O8" t="inlineStr">
        <is>
          <t>20230918</t>
        </is>
      </c>
      <c r="P8" t="inlineStr">
        <is>
          <t>Jawa Barat</t>
        </is>
      </c>
      <c r="Q8" t="inlineStr"/>
    </row>
    <row r="9">
      <c r="A9" t="inlineStr">
        <is>
          <t>FUJITAMA CIPTA ANDALAN</t>
        </is>
      </c>
      <c r="B9" t="inlineStr">
        <is>
          <t>Kota Adm. Jakarta Timur</t>
        </is>
      </c>
      <c r="C9" t="inlineStr">
        <is>
          <t>081218629300</t>
        </is>
      </c>
      <c r="D9" t="inlineStr">
        <is>
          <t>pt.fujitama.ca@gmail.com</t>
        </is>
      </c>
      <c r="E9" t="inlineStr">
        <is>
          <t>https://lpjk.pu.go.id/search-badan-usaha-detail/UzhMQWVkOXFwTk5BYjMvSTRlNGpCdz09</t>
        </is>
      </c>
      <c r="F9" t="n">
        <v>1</v>
      </c>
      <c r="G9" t="inlineStr">
        <is>
          <t>RK002</t>
        </is>
      </c>
      <c r="H9" t="inlineStr">
        <is>
          <t>25 Januari 2013</t>
        </is>
      </c>
      <c r="I9" s="2" t="n">
        <v>46293</v>
      </c>
      <c r="J9" t="inlineStr">
        <is>
          <t>Disetujui</t>
        </is>
      </c>
      <c r="K9" t="n">
        <v>90</v>
      </c>
      <c r="L9" t="inlineStr">
        <is>
          <t>28 September 2026</t>
        </is>
      </c>
      <c r="M9" t="inlineStr">
        <is>
          <t>Jasa Rekayasa Pekerjaan Teknik Sipil Sumber Daya Air</t>
        </is>
      </c>
      <c r="N9" t="inlineStr">
        <is>
          <t>K</t>
        </is>
      </c>
      <c r="O9" t="inlineStr">
        <is>
          <t>20230921</t>
        </is>
      </c>
      <c r="P9" t="inlineStr">
        <is>
          <t>DKI Jakarta</t>
        </is>
      </c>
      <c r="Q9" s="3">
        <f>HYPERLINK("https://wa.me/6281218629300?text=Selamat siang Bapak/Ibu pimpinan FUJITAMA CIPTA ANDALAN,%0A%0ASemoga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GODAM SOLUSI INDONESIA</t>
        </is>
      </c>
      <c r="B10" t="inlineStr">
        <is>
          <t>Kota Adm. Jakarta Timur</t>
        </is>
      </c>
      <c r="C10" t="inlineStr">
        <is>
          <t>0811907272</t>
        </is>
      </c>
      <c r="D10" t="inlineStr">
        <is>
          <t>halo@godamsolusi.co.id</t>
        </is>
      </c>
      <c r="E10" t="inlineStr">
        <is>
          <t>https://lpjk.pu.go.id/search-badan-usaha-detail/aTBCRjhyMmpKN3dGYlJ3SVVTU1ZPdz09</t>
        </is>
      </c>
      <c r="F10" t="n">
        <v>2</v>
      </c>
      <c r="G10" t="inlineStr">
        <is>
          <t>KK008, KK012</t>
        </is>
      </c>
      <c r="H10" t="inlineStr">
        <is>
          <t>21 Maret 2023</t>
        </is>
      </c>
      <c r="I10" s="2" t="n">
        <v>46293</v>
      </c>
      <c r="J10" t="inlineStr">
        <is>
          <t>Disetujui</t>
        </is>
      </c>
      <c r="K10" t="n">
        <v>90</v>
      </c>
      <c r="L10" t="inlineStr">
        <is>
          <t>28 September 2026</t>
        </is>
      </c>
      <c r="M10" t="inlineStr">
        <is>
          <t>Pekerjaan Struktur Beton, Perkerasan Aspal</t>
        </is>
      </c>
      <c r="N10" t="inlineStr">
        <is>
          <t>Spesialis</t>
        </is>
      </c>
      <c r="O10" t="inlineStr">
        <is>
          <t>20230925</t>
        </is>
      </c>
      <c r="P10" t="inlineStr">
        <is>
          <t>DKI Jakarta</t>
        </is>
      </c>
      <c r="Q10" s="3">
        <f>HYPERLINK("https://wa.me/62811907272?text=Selamat siang Bapak/Ibu pimpinan GODAM SOLUSI INDONESIA,%0A%0ASemoga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GRAHA USAHA SEJAHTERA MANDIRI</t>
        </is>
      </c>
      <c r="B11" t="inlineStr">
        <is>
          <t>Kota Bekasi</t>
        </is>
      </c>
      <c r="C11" t="inlineStr">
        <is>
          <t>0818730593</t>
        </is>
      </c>
      <c r="D11" t="inlineStr">
        <is>
          <t>wieraza@yahoo.com</t>
        </is>
      </c>
      <c r="E11" t="inlineStr">
        <is>
          <t>https://lpjk.pu.go.id/search-badan-usaha-detail/US8yaGRKbmF0Y0Y4cUFMRDFIY0JUdz09</t>
        </is>
      </c>
      <c r="F11" t="n">
        <v>1</v>
      </c>
      <c r="G11" t="inlineStr">
        <is>
          <t>BG002</t>
        </is>
      </c>
      <c r="H11" t="inlineStr">
        <is>
          <t>14 Maret 2012</t>
        </is>
      </c>
      <c r="I11" s="2" t="n">
        <v>46293</v>
      </c>
      <c r="J11" t="inlineStr">
        <is>
          <t>Disetujui</t>
        </is>
      </c>
      <c r="K11" t="n">
        <v>90</v>
      </c>
      <c r="L11" t="inlineStr">
        <is>
          <t>28 September 2026</t>
        </is>
      </c>
      <c r="M11" t="inlineStr">
        <is>
          <t>Konstruksi Gedung Perkantoran</t>
        </is>
      </c>
      <c r="N11" t="inlineStr">
        <is>
          <t>K</t>
        </is>
      </c>
      <c r="O11" t="inlineStr">
        <is>
          <t>20230928</t>
        </is>
      </c>
      <c r="P11" t="inlineStr">
        <is>
          <t>Jawa Barat</t>
        </is>
      </c>
      <c r="Q11" s="3">
        <f>HYPERLINK("https://wa.me/62818730593?text=Selamat siang Bapak/Ibu pimpinan GRAHA USAHA SEJAHTERA MANDIRI,%0A%0ASemoga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2">
      <c r="A12" t="inlineStr">
        <is>
          <t>GUNA ARTHA SEJAHTERA</t>
        </is>
      </c>
      <c r="B12" t="inlineStr">
        <is>
          <t>Kab. Bogor</t>
        </is>
      </c>
      <c r="C12" t="inlineStr">
        <is>
          <t>087770888141</t>
        </is>
      </c>
      <c r="D12" t="inlineStr">
        <is>
          <t>gunaarthasejahtera@yahoo.co.id</t>
        </is>
      </c>
      <c r="E12" t="inlineStr">
        <is>
          <t>https://lpjk.pu.go.id/search-badan-usaha-detail/Ym1RKzVLY2Q1eGVmd1A3bGhVOG03Zz09</t>
        </is>
      </c>
      <c r="F12" t="n">
        <v>4</v>
      </c>
      <c r="G12" t="inlineStr">
        <is>
          <t>BG005, BG006, BG009, BS004</t>
        </is>
      </c>
      <c r="H12" t="inlineStr">
        <is>
          <t>16 Oktober 2010</t>
        </is>
      </c>
      <c r="I12" s="2" t="n">
        <v>46293</v>
      </c>
      <c r="J12" t="inlineStr">
        <is>
          <t>Disetujui</t>
        </is>
      </c>
      <c r="K12" t="n">
        <v>90</v>
      </c>
      <c r="L12" t="inlineStr">
        <is>
          <t>28 September 2026</t>
        </is>
      </c>
      <c r="M12" t="inlineStr">
        <is>
          <t>Konstruksi Gedung Kesehatan, Konstruksi Gedung Lainnya, Konstruksi Gedung Pendidikan, Konstruksi Jaringan Irigasi dan Drainase</t>
        </is>
      </c>
      <c r="N12" t="inlineStr">
        <is>
          <t>K</t>
        </is>
      </c>
      <c r="O12" t="inlineStr">
        <is>
          <t>20230927</t>
        </is>
      </c>
      <c r="P12" t="inlineStr">
        <is>
          <t>Jawa Barat</t>
        </is>
      </c>
      <c r="Q12" s="3">
        <f>HYPERLINK("https://wa.me/6287770888141?text=Selamat siang Bapak/Ibu pimpinan GUNA ARTHA SEJAHTERA,%0A%0ASemoga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3">
      <c r="A13" t="inlineStr">
        <is>
          <t>GUNTUR SATRIA PERKASA</t>
        </is>
      </c>
      <c r="B13" t="inlineStr">
        <is>
          <t>Kota Adm. Jakarta Timur</t>
        </is>
      </c>
      <c r="C13" t="inlineStr">
        <is>
          <t>085691751785</t>
        </is>
      </c>
      <c r="D13" t="inlineStr">
        <is>
          <t>guntur.satriaperkasa@yahoo.com</t>
        </is>
      </c>
      <c r="E13" t="inlineStr">
        <is>
          <t>https://lpjk.pu.go.id/search-badan-usaha-detail/OGxjelVySm81dHNyOXYzSG9VRFk1QT09</t>
        </is>
      </c>
      <c r="F13" t="n">
        <v>1</v>
      </c>
      <c r="G13" t="inlineStr">
        <is>
          <t>BS005</t>
        </is>
      </c>
      <c r="H13" t="inlineStr">
        <is>
          <t>27 Februari 2006</t>
        </is>
      </c>
      <c r="I13" s="2" t="n">
        <v>46293</v>
      </c>
      <c r="J13" t="inlineStr">
        <is>
          <t>Disetujui</t>
        </is>
      </c>
      <c r="K13" t="n">
        <v>90</v>
      </c>
      <c r="L13" t="inlineStr">
        <is>
          <t>28 September 2026</t>
        </is>
      </c>
      <c r="M13" t="inlineStr">
        <is>
          <t>Konstruksi Bangunan Sipil Pengolahan Air Bersih</t>
        </is>
      </c>
      <c r="N13" t="inlineStr">
        <is>
          <t>M</t>
        </is>
      </c>
      <c r="O13" t="inlineStr">
        <is>
          <t>20230925</t>
        </is>
      </c>
      <c r="P13" t="inlineStr">
        <is>
          <t>DKI Jakarta</t>
        </is>
      </c>
      <c r="Q13" s="3">
        <f>HYPERLINK("https://wa.me/6285691751785?text=Selamat siang Bapak/Ibu pimpinan GUNTUR SATRIA PERKASA,%0A%0ASemoga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INESCO</t>
        </is>
      </c>
      <c r="B14" t="inlineStr">
        <is>
          <t>Kab. Bogor</t>
        </is>
      </c>
      <c r="C14" t="inlineStr">
        <is>
          <t>08121101270</t>
        </is>
      </c>
      <c r="D14" t="inlineStr">
        <is>
          <t>cv.inesco@yahoo.com</t>
        </is>
      </c>
      <c r="E14" t="inlineStr">
        <is>
          <t>https://lpjk.pu.go.id/search-badan-usaha-detail/ZVUzRmZnVFUvbHhWWmxxZnREaFJDdz09</t>
        </is>
      </c>
      <c r="F14" t="n">
        <v>1</v>
      </c>
      <c r="G14" t="inlineStr">
        <is>
          <t>BS001</t>
        </is>
      </c>
      <c r="H14" t="inlineStr">
        <is>
          <t>17 Oktober 1986</t>
        </is>
      </c>
      <c r="I14" s="2" t="n">
        <v>46293</v>
      </c>
      <c r="J14" t="inlineStr">
        <is>
          <t>Disetujui</t>
        </is>
      </c>
      <c r="K14" t="n">
        <v>90</v>
      </c>
      <c r="L14" t="inlineStr">
        <is>
          <t>28 September 2026</t>
        </is>
      </c>
      <c r="M14" t="inlineStr">
        <is>
          <t>Konstruksi Bangunan Sipil Jalan</t>
        </is>
      </c>
      <c r="N14" t="inlineStr">
        <is>
          <t>K</t>
        </is>
      </c>
      <c r="O14" t="inlineStr">
        <is>
          <t>20230911</t>
        </is>
      </c>
      <c r="P14" t="inlineStr">
        <is>
          <t>Jawa Barat</t>
        </is>
      </c>
      <c r="Q14" s="3">
        <f>HYPERLINK("https://wa.me/628121101270?text=Selamat siang Bapak/Ibu pimpinan INESCO,%0A%0ASemoga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5">
      <c r="A15" t="inlineStr">
        <is>
          <t>JASKO PRIMA ELECTRICAL</t>
        </is>
      </c>
      <c r="B15" t="inlineStr">
        <is>
          <t>Kab. Bekasi</t>
        </is>
      </c>
      <c r="C15" t="inlineStr">
        <is>
          <t>08121353432</t>
        </is>
      </c>
      <c r="D15" t="inlineStr">
        <is>
          <t>jaskoprimaelectrical@gmail.com</t>
        </is>
      </c>
      <c r="E15" t="inlineStr">
        <is>
          <t>https://lpjk.pu.go.id/search-badan-usaha-detail/eFd1SzhMNTRyQkRiaEJmeDZ4Nk51Zz09</t>
        </is>
      </c>
      <c r="F15" t="n">
        <v>1</v>
      </c>
      <c r="G15" t="inlineStr">
        <is>
          <t>BS002</t>
        </is>
      </c>
      <c r="H15" t="inlineStr">
        <is>
          <t>28 April 2022</t>
        </is>
      </c>
      <c r="I15" s="2" t="n">
        <v>46293</v>
      </c>
      <c r="J15" t="inlineStr">
        <is>
          <t>Disetujui</t>
        </is>
      </c>
      <c r="K15" t="n">
        <v>90</v>
      </c>
      <c r="L15" t="inlineStr">
        <is>
          <t>28 September 2026</t>
        </is>
      </c>
      <c r="M15" t="inlineStr">
        <is>
          <t>Bangunan Sipil Jembatan, Jalan Layang, Fly Over, dan Underpass</t>
        </is>
      </c>
      <c r="N15" t="inlineStr">
        <is>
          <t>K</t>
        </is>
      </c>
      <c r="O15" t="inlineStr">
        <is>
          <t>20230928</t>
        </is>
      </c>
      <c r="P15" t="inlineStr">
        <is>
          <t>Jawa Barat</t>
        </is>
      </c>
      <c r="Q15" s="3">
        <f>HYPERLINK("https://wa.me/628121353432?text=Selamat siang Bapak/Ibu pimpinan JASKO PRIMA ELECTRICAL,%0A%0ASemoga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6">
      <c r="A16" t="inlineStr">
        <is>
          <t>KARYA PUTRA KANBES</t>
        </is>
      </c>
      <c r="B16" t="inlineStr">
        <is>
          <t>Kota Bekasi</t>
        </is>
      </c>
      <c r="C16" t="inlineStr">
        <is>
          <t>085711871434</t>
        </is>
      </c>
      <c r="D16" t="inlineStr">
        <is>
          <t>karyaputrakanbes@gmail.com</t>
        </is>
      </c>
      <c r="E16" t="inlineStr">
        <is>
          <t>https://lpjk.pu.go.id/search-badan-usaha-detail/REZVTkxScUJmRGhJYlVUMmp5VTFHQT09</t>
        </is>
      </c>
      <c r="F16" t="n">
        <v>2</v>
      </c>
      <c r="G16" t="inlineStr">
        <is>
          <t>BG006, BS002</t>
        </is>
      </c>
      <c r="H16" t="inlineStr">
        <is>
          <t>18 Agustus 2023</t>
        </is>
      </c>
      <c r="I16" s="2" t="n">
        <v>46293</v>
      </c>
      <c r="J16" t="inlineStr">
        <is>
          <t>Disetujui</t>
        </is>
      </c>
      <c r="K16" t="n">
        <v>90</v>
      </c>
      <c r="L16" t="inlineStr">
        <is>
          <t>28 September 2026</t>
        </is>
      </c>
      <c r="M16" t="inlineStr">
        <is>
          <t>Bangunan Sipil Jembatan, Jalan Layang, Fly Over, dan Underpass, Konstruksi Gedung Pendidikan</t>
        </is>
      </c>
      <c r="N16" t="inlineStr">
        <is>
          <t>K</t>
        </is>
      </c>
      <c r="O16" t="inlineStr">
        <is>
          <t>20230927</t>
        </is>
      </c>
      <c r="P16" t="inlineStr">
        <is>
          <t>Jawa Barat</t>
        </is>
      </c>
      <c r="Q16" s="3">
        <f>HYPERLINK("https://wa.me/6285711871434?text=Selamat siang Bapak/Ibu pimpinan KARYA PUTRA KANBES,%0A%0ASemoga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7">
      <c r="A17" t="inlineStr">
        <is>
          <t>LIUD JAYA</t>
        </is>
      </c>
      <c r="B17" t="inlineStr">
        <is>
          <t>Kab. Bogor</t>
        </is>
      </c>
      <c r="C17" t="inlineStr">
        <is>
          <t>085692108339</t>
        </is>
      </c>
      <c r="D17" t="inlineStr">
        <is>
          <t>cvliudjaya@yahoo.co.id</t>
        </is>
      </c>
      <c r="E17" t="inlineStr">
        <is>
          <t>https://lpjk.pu.go.id/search-badan-usaha-detail/Ny9aSHk4M0U4UVRTdDR4bUgzMzFTUT09</t>
        </is>
      </c>
      <c r="F17" t="n">
        <v>10</v>
      </c>
      <c r="G17" t="inlineStr">
        <is>
          <t>BG002, BG006, BG009, BS001, BS004</t>
        </is>
      </c>
      <c r="H17" t="inlineStr">
        <is>
          <t>23 Oktober 2008</t>
        </is>
      </c>
      <c r="I17" s="2" t="n">
        <v>46293</v>
      </c>
      <c r="J17" t="inlineStr">
        <is>
          <t>Disetujui, Pencabutan</t>
        </is>
      </c>
      <c r="K17" t="n">
        <v>90</v>
      </c>
      <c r="L17" t="inlineStr">
        <is>
          <t>28 September 2026</t>
        </is>
      </c>
      <c r="M17" t="inlineStr">
        <is>
          <t>Konstruksi Bangunan Sipil Jalan, Konstruksi Gedung Lainnya, Konstruksi Gedung Pendidikan, Konstruksi Gedung Perkantoran, Konstruksi Jaringan Irigasi dan Drainase</t>
        </is>
      </c>
      <c r="N17" t="inlineStr">
        <is>
          <t>K</t>
        </is>
      </c>
      <c r="O17" t="inlineStr">
        <is>
          <t>20230921</t>
        </is>
      </c>
      <c r="P17" t="inlineStr">
        <is>
          <t>Jawa Barat</t>
        </is>
      </c>
      <c r="Q17" s="3">
        <f>HYPERLINK("https://wa.me/6285692108339?text=Selamat siang Bapak/Ibu pimpinan LIUD JAYA,%0A%0ASemoga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8">
      <c r="A18" t="inlineStr">
        <is>
          <t>MEKATRIKA KARYA SINERGI</t>
        </is>
      </c>
      <c r="B18" t="inlineStr">
        <is>
          <t>Kab. Bogor</t>
        </is>
      </c>
      <c r="C18" t="inlineStr">
        <is>
          <t>0218226806</t>
        </is>
      </c>
      <c r="D18" t="inlineStr">
        <is>
          <t>mekatrikakaryasinergi@gmail.com</t>
        </is>
      </c>
      <c r="E18" t="inlineStr">
        <is>
          <t>https://lpjk.pu.go.id/search-badan-usaha-detail/ZE5KSFJtMG1hZGVQNjRpM0JOWjNGZz09</t>
        </is>
      </c>
      <c r="F18" t="n">
        <v>4</v>
      </c>
      <c r="G18" t="inlineStr">
        <is>
          <t>BG004, BG009</t>
        </is>
      </c>
      <c r="H18" t="inlineStr">
        <is>
          <t>28 Oktober 2016</t>
        </is>
      </c>
      <c r="I18" s="2" t="n">
        <v>46293</v>
      </c>
      <c r="J18" t="inlineStr">
        <is>
          <t>Disetujui</t>
        </is>
      </c>
      <c r="K18" t="n">
        <v>90</v>
      </c>
      <c r="L18" t="inlineStr">
        <is>
          <t>28 September 2026</t>
        </is>
      </c>
      <c r="M18" t="inlineStr">
        <is>
          <t>Konstruksi Gedung Lainnya, Konstruksi Gedung Perbelanjaan</t>
        </is>
      </c>
      <c r="N18" t="inlineStr">
        <is>
          <t>K</t>
        </is>
      </c>
      <c r="O18" t="inlineStr">
        <is>
          <t>20230929</t>
        </is>
      </c>
      <c r="P18" t="inlineStr">
        <is>
          <t>Jawa Barat</t>
        </is>
      </c>
      <c r="Q18" t="inlineStr"/>
    </row>
    <row r="19">
      <c r="A19" t="inlineStr">
        <is>
          <t>MIANA</t>
        </is>
      </c>
      <c r="B19" t="inlineStr">
        <is>
          <t>Kota Depok</t>
        </is>
      </c>
      <c r="C19" t="inlineStr">
        <is>
          <t>085216678656</t>
        </is>
      </c>
      <c r="D19" t="inlineStr">
        <is>
          <t>cvmianadepok@gmail.com</t>
        </is>
      </c>
      <c r="E19" t="inlineStr">
        <is>
          <t>https://lpjk.pu.go.id/search-badan-usaha-detail/a21wUWR3V2c4WS9kZG5DWWkrQU45QT09</t>
        </is>
      </c>
      <c r="F19" t="n">
        <v>4</v>
      </c>
      <c r="G19" t="inlineStr">
        <is>
          <t>BS001, BS004</t>
        </is>
      </c>
      <c r="H19" t="inlineStr">
        <is>
          <t>26 Januari 2021</t>
        </is>
      </c>
      <c r="I19" s="2" t="n">
        <v>46293</v>
      </c>
      <c r="J19" t="inlineStr">
        <is>
          <t>Disetujui</t>
        </is>
      </c>
      <c r="K19" t="n">
        <v>90</v>
      </c>
      <c r="L19" t="inlineStr">
        <is>
          <t>28 September 2026</t>
        </is>
      </c>
      <c r="M19" t="inlineStr">
        <is>
          <t>Konstruksi Bangunan Sipil Jalan, Konstruksi Jaringan Irigasi dan Drainase</t>
        </is>
      </c>
      <c r="N19" t="inlineStr">
        <is>
          <t>K</t>
        </is>
      </c>
      <c r="O19" t="inlineStr">
        <is>
          <t>20230927, 20230928</t>
        </is>
      </c>
      <c r="P19" t="inlineStr">
        <is>
          <t>Jawa Barat</t>
        </is>
      </c>
      <c r="Q19" s="3">
        <f>HYPERLINK("https://wa.me/6285216678656?text=Selamat siang Bapak/Ibu pimpinan MIANA,%0A%0ASemoga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20">
      <c r="A20" t="inlineStr">
        <is>
          <t>PALAWA NUSANTARA UTAMA</t>
        </is>
      </c>
      <c r="B20" t="inlineStr">
        <is>
          <t>Kab. Bekasi</t>
        </is>
      </c>
      <c r="C20" t="inlineStr">
        <is>
          <t>081316556807</t>
        </is>
      </c>
      <c r="D20" t="inlineStr">
        <is>
          <t>palawa.nusantara@hotmail.com</t>
        </is>
      </c>
      <c r="E20" t="inlineStr">
        <is>
          <t>https://lpjk.pu.go.id/search-badan-usaha-detail/dWNSMHFra2pCL2M5TXNMUk1QNGxXQT09</t>
        </is>
      </c>
      <c r="F20" t="n">
        <v>2</v>
      </c>
      <c r="G20" t="inlineStr">
        <is>
          <t>BG001, BG008</t>
        </is>
      </c>
      <c r="H20" t="inlineStr">
        <is>
          <t>21 Januari 2022</t>
        </is>
      </c>
      <c r="I20" s="2" t="n">
        <v>46293</v>
      </c>
      <c r="J20" t="inlineStr">
        <is>
          <t>Disetujui</t>
        </is>
      </c>
      <c r="K20" t="n">
        <v>90</v>
      </c>
      <c r="L20" t="inlineStr">
        <is>
          <t>28 September 2026</t>
        </is>
      </c>
      <c r="M20" t="inlineStr">
        <is>
          <t>Konstruksi Gedung Hunian, Konstruksi Gedung Tempat Hiburan dan Olahraga</t>
        </is>
      </c>
      <c r="N20" t="inlineStr">
        <is>
          <t>K</t>
        </is>
      </c>
      <c r="O20" t="inlineStr">
        <is>
          <t>20230927</t>
        </is>
      </c>
      <c r="P20" t="inlineStr">
        <is>
          <t>Jawa Barat</t>
        </is>
      </c>
      <c r="Q20" s="3">
        <f>HYPERLINK("https://wa.me/6281316556807?text=Selamat siang Bapak/Ibu pimpinan PALAWA NUSANTARA UTAMA,%0A%0ASemoga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21">
      <c r="A21" t="inlineStr">
        <is>
          <t>PETRA HAGANTA</t>
        </is>
      </c>
      <c r="B21" t="inlineStr">
        <is>
          <t>Kota Depok</t>
        </is>
      </c>
      <c r="C21" t="inlineStr">
        <is>
          <t>081385568626</t>
        </is>
      </c>
      <c r="D21" t="inlineStr">
        <is>
          <t>hagantapetra@gmail.com</t>
        </is>
      </c>
      <c r="E21" t="inlineStr">
        <is>
          <t>https://lpjk.pu.go.id/search-badan-usaha-detail/dlJMRURTTmtEa3ZMU09BOFdsWmJBMkVqdUxxNm44MmhpUDdLdGRxOE9yST0</t>
        </is>
      </c>
      <c r="F21" t="n">
        <v>2</v>
      </c>
      <c r="G21" t="inlineStr">
        <is>
          <t>BG006, BG009</t>
        </is>
      </c>
      <c r="H21" t="inlineStr">
        <is>
          <t>3 November 2025</t>
        </is>
      </c>
      <c r="I21" s="2" t="n">
        <v>46293</v>
      </c>
      <c r="J21" t="inlineStr">
        <is>
          <t>Disetujui</t>
        </is>
      </c>
      <c r="K21" t="n">
        <v>90</v>
      </c>
      <c r="L21" t="inlineStr">
        <is>
          <t>28 September 2026</t>
        </is>
      </c>
      <c r="M21" t="inlineStr">
        <is>
          <t>Konstruksi Gedung Lainnya, Konstruksi Gedung Pendidikan</t>
        </is>
      </c>
      <c r="N21" t="inlineStr">
        <is>
          <t>K</t>
        </is>
      </c>
      <c r="O21" t="inlineStr">
        <is>
          <t>20230925</t>
        </is>
      </c>
      <c r="P21" t="inlineStr">
        <is>
          <t>Jawa Barat</t>
        </is>
      </c>
      <c r="Q21" s="3">
        <f>HYPERLINK("https://wa.me/6281385568626?text=Selamat siang Bapak/Ibu pimpinan PETRA HAGANTA,%0A%0ASemoga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22">
      <c r="A22" t="inlineStr">
        <is>
          <t>SATU VISI MEDIA</t>
        </is>
      </c>
      <c r="B22" t="inlineStr">
        <is>
          <t>Kota Bekasi</t>
        </is>
      </c>
      <c r="C22" t="inlineStr">
        <is>
          <t>0818816597</t>
        </is>
      </c>
      <c r="D22" t="inlineStr">
        <is>
          <t>bagusvisi_m@yahoo.com</t>
        </is>
      </c>
      <c r="E22" t="inlineStr">
        <is>
          <t>https://lpjk.pu.go.id/search-badan-usaha-detail/dUUyN0NPVkhCU09pdGpGMzIvTTFPUT09</t>
        </is>
      </c>
      <c r="F22" t="n">
        <v>1</v>
      </c>
      <c r="G22" t="inlineStr">
        <is>
          <t>BS009</t>
        </is>
      </c>
      <c r="H22" t="inlineStr">
        <is>
          <t>19 Mei 2014</t>
        </is>
      </c>
      <c r="I22" s="2" t="n">
        <v>46293</v>
      </c>
      <c r="J22" t="inlineStr">
        <is>
          <t>Disetujui</t>
        </is>
      </c>
      <c r="K22" t="n">
        <v>90</v>
      </c>
      <c r="L22" t="inlineStr">
        <is>
          <t>28 September 2026</t>
        </is>
      </c>
      <c r="M22" t="inlineStr">
        <is>
          <t>Konstruksi Sentral Telekomunikasi</t>
        </is>
      </c>
      <c r="N22" t="inlineStr">
        <is>
          <t>K</t>
        </is>
      </c>
      <c r="O22" t="inlineStr">
        <is>
          <t>20230927</t>
        </is>
      </c>
      <c r="P22" t="inlineStr">
        <is>
          <t>Jawa Barat</t>
        </is>
      </c>
      <c r="Q22" s="3">
        <f>HYPERLINK("https://wa.me/62818816597?text=Selamat siang Bapak/Ibu pimpinan SATU VISI MEDIA,%0A%0ASemoga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23">
      <c r="A23" t="inlineStr">
        <is>
          <t>SINAR GUNUNG SEJATI</t>
        </is>
      </c>
      <c r="B23" t="inlineStr">
        <is>
          <t>Kab. Bogor</t>
        </is>
      </c>
      <c r="C23" t="inlineStr">
        <is>
          <t>02129099618</t>
        </is>
      </c>
      <c r="D23" t="inlineStr">
        <is>
          <t>pt.sinargunungsejati@gmail.com</t>
        </is>
      </c>
      <c r="E23" t="inlineStr">
        <is>
          <t>https://lpjk.pu.go.id/search-badan-usaha-detail/NDlMWGdpNDBiOUxJS0pmSzA0Y1JjUT09</t>
        </is>
      </c>
      <c r="F23" t="n">
        <v>1</v>
      </c>
      <c r="G23" t="inlineStr">
        <is>
          <t>BG004</t>
        </is>
      </c>
      <c r="H23" t="inlineStr">
        <is>
          <t>20 Agustus 2009</t>
        </is>
      </c>
      <c r="I23" s="2" t="n">
        <v>46293</v>
      </c>
      <c r="J23" t="inlineStr">
        <is>
          <t>Disetujui</t>
        </is>
      </c>
      <c r="K23" t="n">
        <v>90</v>
      </c>
      <c r="L23" t="inlineStr">
        <is>
          <t>28 September 2026</t>
        </is>
      </c>
      <c r="M23" t="inlineStr">
        <is>
          <t>Konstruksi Gedung Perbelanjaan</t>
        </is>
      </c>
      <c r="N23" t="inlineStr">
        <is>
          <t>M</t>
        </is>
      </c>
      <c r="O23" t="inlineStr">
        <is>
          <t>20230803</t>
        </is>
      </c>
      <c r="P23" t="inlineStr">
        <is>
          <t>Jawa Barat</t>
        </is>
      </c>
      <c r="Q23" t="inlineStr"/>
    </row>
    <row r="24">
      <c r="A24" t="inlineStr">
        <is>
          <t>SURYA GEMILANG ABADI</t>
        </is>
      </c>
      <c r="B24" t="inlineStr">
        <is>
          <t>Kab. Bogor</t>
        </is>
      </c>
      <c r="C24" t="inlineStr">
        <is>
          <t>0217264175</t>
        </is>
      </c>
      <c r="D24" t="inlineStr">
        <is>
          <t>cv.sga2023@gmail.com</t>
        </is>
      </c>
      <c r="E24" t="inlineStr">
        <is>
          <t>https://lpjk.pu.go.id/search-badan-usaha-detail/c1NEaTdQV3MxU0ltcjVjRmR1U2R4QT09</t>
        </is>
      </c>
      <c r="F24" t="n">
        <v>2</v>
      </c>
      <c r="G24" t="inlineStr">
        <is>
          <t>BG004, BG006</t>
        </is>
      </c>
      <c r="H24" t="inlineStr">
        <is>
          <t>9 Februari 2012</t>
        </is>
      </c>
      <c r="I24" s="2" t="n">
        <v>46293</v>
      </c>
      <c r="J24" t="inlineStr">
        <is>
          <t>Disetujui</t>
        </is>
      </c>
      <c r="K24" t="n">
        <v>90</v>
      </c>
      <c r="L24" t="inlineStr">
        <is>
          <t>28 September 2026</t>
        </is>
      </c>
      <c r="M24" t="inlineStr">
        <is>
          <t>Konstruksi Gedung Pendidikan, Konstruksi Gedung Perbelanjaan</t>
        </is>
      </c>
      <c r="N24" t="inlineStr">
        <is>
          <t>K</t>
        </is>
      </c>
      <c r="O24" t="inlineStr">
        <is>
          <t>20230818, 20230825</t>
        </is>
      </c>
      <c r="P24" t="inlineStr">
        <is>
          <t>Jawa Barat</t>
        </is>
      </c>
      <c r="Q24" t="inlineStr"/>
    </row>
    <row r="25">
      <c r="A25" t="inlineStr">
        <is>
          <t>UNGGUL SOKAJA</t>
        </is>
      </c>
      <c r="B25" t="inlineStr">
        <is>
          <t>Kota Adm. Jakarta Timur</t>
        </is>
      </c>
      <c r="C25" t="inlineStr">
        <is>
          <t>081293438687</t>
        </is>
      </c>
      <c r="D25" t="inlineStr">
        <is>
          <t>unggul_sokaja@yahoo.com</t>
        </is>
      </c>
      <c r="E25" t="inlineStr">
        <is>
          <t>https://lpjk.pu.go.id/search-badan-usaha-detail/d1pqQ2lWcW5XdWdjMDR4Ri9FbkNaQT09</t>
        </is>
      </c>
      <c r="F25" t="n">
        <v>2</v>
      </c>
      <c r="G25" t="inlineStr">
        <is>
          <t>BG006, BG009</t>
        </is>
      </c>
      <c r="H25" t="inlineStr">
        <is>
          <t>28 Februari 2013</t>
        </is>
      </c>
      <c r="I25" s="2" t="n">
        <v>46293</v>
      </c>
      <c r="J25" t="inlineStr">
        <is>
          <t>Disetujui</t>
        </is>
      </c>
      <c r="K25" t="n">
        <v>90</v>
      </c>
      <c r="L25" t="inlineStr">
        <is>
          <t>28 September 2026</t>
        </is>
      </c>
      <c r="M25" t="inlineStr">
        <is>
          <t>Konstruksi Gedung Lainnya, Konstruksi Gedung Pendidikan</t>
        </is>
      </c>
      <c r="N25" t="inlineStr">
        <is>
          <t>M</t>
        </is>
      </c>
      <c r="O25" t="inlineStr">
        <is>
          <t>20230921, 20230922</t>
        </is>
      </c>
      <c r="P25" t="inlineStr">
        <is>
          <t>DKI Jakarta</t>
        </is>
      </c>
      <c r="Q25" s="3">
        <f>HYPERLINK("https://wa.me/6281293438687?text=Selamat siang Bapak/Ibu pimpinan UNGGUL SOKAJA,%0A%0ASemoga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26">
      <c r="A26" t="inlineStr">
        <is>
          <t>WIKKI RESTU KURNIA</t>
        </is>
      </c>
      <c r="B26" t="inlineStr">
        <is>
          <t>Kota Bekasi</t>
        </is>
      </c>
      <c r="C26" t="inlineStr">
        <is>
          <t>081296472217</t>
        </is>
      </c>
      <c r="D26" t="inlineStr">
        <is>
          <t>wikkirestukurnia@gmail.com</t>
        </is>
      </c>
      <c r="E26" t="inlineStr">
        <is>
          <t>https://lpjk.pu.go.id/search-badan-usaha-detail/V3FRVGlRVXA0bmVlaDNaSXBlS3Zmdz09</t>
        </is>
      </c>
      <c r="F26" t="n">
        <v>1</v>
      </c>
      <c r="G26" t="inlineStr">
        <is>
          <t>BG001</t>
        </is>
      </c>
      <c r="H26" t="inlineStr">
        <is>
          <t>8 Desember 2014</t>
        </is>
      </c>
      <c r="I26" s="2" t="n">
        <v>46293</v>
      </c>
      <c r="J26" t="inlineStr">
        <is>
          <t>Pencabutan</t>
        </is>
      </c>
      <c r="K26" t="n">
        <v>90</v>
      </c>
      <c r="L26" t="inlineStr">
        <is>
          <t>28 September 2026</t>
        </is>
      </c>
      <c r="M26" t="inlineStr">
        <is>
          <t>Konstruksi Gedung Hunian</t>
        </is>
      </c>
      <c r="N26" t="inlineStr">
        <is>
          <t>K</t>
        </is>
      </c>
      <c r="O26" t="inlineStr">
        <is>
          <t>20230921</t>
        </is>
      </c>
      <c r="P26" t="inlineStr">
        <is>
          <t>Jawa Barat</t>
        </is>
      </c>
      <c r="Q26" s="3">
        <f>HYPERLINK("https://wa.me/6281296472217?text=Selamat siang Bapak/Ibu pimpinan WIKKI RESTU KURNIA,%0A%0ASemoga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27">
      <c r="A27" t="inlineStr">
        <is>
          <t>WIRAJAYA</t>
        </is>
      </c>
      <c r="B27" t="inlineStr">
        <is>
          <t>Kota Adm. Jakarta Timur</t>
        </is>
      </c>
      <c r="C27" t="inlineStr">
        <is>
          <t>02187798793</t>
        </is>
      </c>
      <c r="D27" t="inlineStr">
        <is>
          <t>purnamarudi91@gmail.com</t>
        </is>
      </c>
      <c r="E27" t="inlineStr">
        <is>
          <t>https://lpjk.pu.go.id/search-badan-usaha-detail/MEtKNkJhbnYzNDIydU1zQnVndG1wZz09</t>
        </is>
      </c>
      <c r="F27" t="n">
        <v>3</v>
      </c>
      <c r="G27" t="inlineStr">
        <is>
          <t>IN004, IN007, IN008</t>
        </is>
      </c>
      <c r="H27" t="inlineStr">
        <is>
          <t>7 Desember 2001</t>
        </is>
      </c>
      <c r="I27" s="2" t="n">
        <v>46293</v>
      </c>
      <c r="J27" t="inlineStr">
        <is>
          <t>Disetujui</t>
        </is>
      </c>
      <c r="K27" t="n">
        <v>90</v>
      </c>
      <c r="L27" t="inlineStr">
        <is>
          <t>28 September 2026</t>
        </is>
      </c>
      <c r="M27" t="inlineStr">
        <is>
          <t>Instalasi Minyak dan Gas, Instalasi Pendingin Dan Ventilasi Udara, Instalasi Saluran Air (Plambing)</t>
        </is>
      </c>
      <c r="N27" t="inlineStr">
        <is>
          <t>Spesialis</t>
        </is>
      </c>
      <c r="O27" t="inlineStr">
        <is>
          <t>20230816</t>
        </is>
      </c>
      <c r="P27" t="inlineStr">
        <is>
          <t>DKI Jakarta</t>
        </is>
      </c>
      <c r="Q27" t="inlineStr"/>
    </row>
    <row r="28">
      <c r="A28" t="inlineStr">
        <is>
          <t>ABHIMATA CITRA ABADI</t>
        </is>
      </c>
      <c r="B28" t="inlineStr">
        <is>
          <t>Kota Adm. Jakarta Pusat</t>
        </is>
      </c>
      <c r="C28" t="inlineStr">
        <is>
          <t>02157930304</t>
        </is>
      </c>
      <c r="D28" t="inlineStr">
        <is>
          <t>christina.loho@abhimata.co.id</t>
        </is>
      </c>
      <c r="E28" t="inlineStr">
        <is>
          <t>https://lpjk.pu.go.id/search-badan-usaha-detail/bUhtb0doWG9xVTVpWFZtUGdpancxUT09</t>
        </is>
      </c>
      <c r="F28" t="n">
        <v>1</v>
      </c>
      <c r="G28" t="inlineStr">
        <is>
          <t>IN007</t>
        </is>
      </c>
      <c r="H28" t="inlineStr">
        <is>
          <t>19 Desember 1989</t>
        </is>
      </c>
      <c r="I28" s="2" t="n">
        <v>46293</v>
      </c>
      <c r="J28" t="inlineStr">
        <is>
          <t>Disetujui</t>
        </is>
      </c>
      <c r="K28" t="n">
        <v>90</v>
      </c>
      <c r="L28" t="inlineStr">
        <is>
          <t>28 September 2026</t>
        </is>
      </c>
      <c r="M28" t="inlineStr">
        <is>
          <t>Instalasi Saluran Air (Plambing)</t>
        </is>
      </c>
      <c r="N28" t="inlineStr">
        <is>
          <t>Spesialis</t>
        </is>
      </c>
      <c r="O28" t="inlineStr">
        <is>
          <t>20230901</t>
        </is>
      </c>
      <c r="P28" t="inlineStr">
        <is>
          <t>DKI Jakarta</t>
        </is>
      </c>
      <c r="Q28" t="inlineStr"/>
    </row>
    <row r="29">
      <c r="A29" t="inlineStr">
        <is>
          <t>ADHYA CIPTA NAWASENA</t>
        </is>
      </c>
      <c r="B29" t="inlineStr">
        <is>
          <t>Kota Palembang</t>
        </is>
      </c>
      <c r="C29" t="inlineStr">
        <is>
          <t>081347288276</t>
        </is>
      </c>
      <c r="D29" t="inlineStr">
        <is>
          <t>adhyaciptanawasena@gmail.com</t>
        </is>
      </c>
      <c r="E29" t="inlineStr">
        <is>
          <t>https://lpjk.pu.go.id/search-badan-usaha-detail/Q2JHNm9ZNVR1MmhWKzVYQWVVM2JuQT09</t>
        </is>
      </c>
      <c r="F29" t="n">
        <v>2</v>
      </c>
      <c r="G29" t="inlineStr">
        <is>
          <t>BS001</t>
        </is>
      </c>
      <c r="H29" t="inlineStr">
        <is>
          <t>28 April 2023</t>
        </is>
      </c>
      <c r="I29" s="2" t="n">
        <v>46293</v>
      </c>
      <c r="J29" t="inlineStr">
        <is>
          <t>Disetujui</t>
        </is>
      </c>
      <c r="K29" t="n">
        <v>90</v>
      </c>
      <c r="L29" t="inlineStr">
        <is>
          <t>28 September 2026</t>
        </is>
      </c>
      <c r="M29" t="inlineStr">
        <is>
          <t>Konstruksi Bangunan Sipil Jalan</t>
        </is>
      </c>
      <c r="N29" t="inlineStr">
        <is>
          <t>K</t>
        </is>
      </c>
      <c r="O29" t="inlineStr">
        <is>
          <t>20230927</t>
        </is>
      </c>
      <c r="P29" t="inlineStr">
        <is>
          <t>Sumatera Selatan</t>
        </is>
      </c>
      <c r="Q29" t="inlineStr"/>
    </row>
    <row r="30">
      <c r="A30" t="inlineStr">
        <is>
          <t>AJISAKA</t>
        </is>
      </c>
      <c r="B30" t="inlineStr">
        <is>
          <t>Kab. Sleman</t>
        </is>
      </c>
      <c r="C30" t="inlineStr">
        <is>
          <t>02744464591</t>
        </is>
      </c>
      <c r="D30" t="inlineStr">
        <is>
          <t>ajisaka.cv7@gmail.com</t>
        </is>
      </c>
      <c r="E30" t="inlineStr">
        <is>
          <t>https://lpjk.pu.go.id/search-badan-usaha-detail/cnNSd0RNOHV0ZkYvYXJnM293Zlo5Zz09</t>
        </is>
      </c>
      <c r="F30" t="n">
        <v>1</v>
      </c>
      <c r="G30" t="inlineStr">
        <is>
          <t>BS010</t>
        </is>
      </c>
      <c r="H30" t="inlineStr">
        <is>
          <t>3 Maret 2016</t>
        </is>
      </c>
      <c r="I30" s="2" t="n">
        <v>46293</v>
      </c>
      <c r="J30" t="inlineStr">
        <is>
          <t>Disetujui</t>
        </is>
      </c>
      <c r="K30" t="n">
        <v>90</v>
      </c>
      <c r="L30" t="inlineStr">
        <is>
          <t>28 September 2026</t>
        </is>
      </c>
      <c r="M30" t="inlineStr">
        <is>
          <t>Konstruksi Bangunan Prasarana Sumber Daya Air</t>
        </is>
      </c>
      <c r="N30" t="inlineStr">
        <is>
          <t>K</t>
        </is>
      </c>
      <c r="O30" t="inlineStr">
        <is>
          <t>20230927</t>
        </is>
      </c>
      <c r="P30" t="inlineStr">
        <is>
          <t>DI Yogyakarta</t>
        </is>
      </c>
      <c r="Q30" t="inlineStr"/>
    </row>
    <row r="31">
      <c r="A31" t="inlineStr">
        <is>
          <t>AKSA JAYA KONSTRUKSI</t>
        </is>
      </c>
      <c r="B31" t="inlineStr">
        <is>
          <t>Kab. Banyuwangi</t>
        </is>
      </c>
      <c r="C31" t="inlineStr">
        <is>
          <t>082132466667</t>
        </is>
      </c>
      <c r="D31" t="inlineStr">
        <is>
          <t>cv.aksajayakonstruksi@gmail.com</t>
        </is>
      </c>
      <c r="E31" t="inlineStr">
        <is>
          <t>https://lpjk.pu.go.id/search-badan-usaha-detail/Z1RocWI0U1NLNkJqVzBVNGFFeWFFQT09</t>
        </is>
      </c>
      <c r="F31" t="n">
        <v>1</v>
      </c>
      <c r="G31" t="inlineStr">
        <is>
          <t>BG009</t>
        </is>
      </c>
      <c r="H31" t="inlineStr">
        <is>
          <t>21 Juni 2023</t>
        </is>
      </c>
      <c r="I31" s="2" t="n">
        <v>46293</v>
      </c>
      <c r="J31" t="inlineStr">
        <is>
          <t>Disetujui</t>
        </is>
      </c>
      <c r="K31" t="n">
        <v>90</v>
      </c>
      <c r="L31" t="inlineStr">
        <is>
          <t>28 September 2026</t>
        </is>
      </c>
      <c r="M31" t="inlineStr">
        <is>
          <t>Konstruksi Gedung Lainnya</t>
        </is>
      </c>
      <c r="N31" t="inlineStr">
        <is>
          <t>K</t>
        </is>
      </c>
      <c r="O31" t="inlineStr">
        <is>
          <t>20230926</t>
        </is>
      </c>
      <c r="P31" t="inlineStr">
        <is>
          <t>Jawa Timur</t>
        </is>
      </c>
      <c r="Q31" t="inlineStr"/>
    </row>
    <row r="32">
      <c r="A32" t="inlineStr">
        <is>
          <t>ALDY MUTIARA LAND</t>
        </is>
      </c>
      <c r="B32" t="inlineStr">
        <is>
          <t>Kota Pontianak</t>
        </is>
      </c>
      <c r="C32" t="inlineStr">
        <is>
          <t>08125123038</t>
        </is>
      </c>
      <c r="D32" t="inlineStr">
        <is>
          <t>aldymutiaralandproper@gmail.com</t>
        </is>
      </c>
      <c r="E32" t="inlineStr">
        <is>
          <t>https://lpjk.pu.go.id/search-badan-usaha-detail/MERlMFprRnJhWk1KcDhGZmROdDV0Zz09</t>
        </is>
      </c>
      <c r="F32" t="n">
        <v>1</v>
      </c>
      <c r="G32" t="inlineStr">
        <is>
          <t>BS001</t>
        </is>
      </c>
      <c r="H32" t="inlineStr">
        <is>
          <t>12 Februari 2020</t>
        </is>
      </c>
      <c r="I32" s="2" t="n">
        <v>46293</v>
      </c>
      <c r="J32" t="inlineStr">
        <is>
          <t>Disetujui</t>
        </is>
      </c>
      <c r="K32" t="n">
        <v>90</v>
      </c>
      <c r="L32" t="inlineStr">
        <is>
          <t>28 September 2026</t>
        </is>
      </c>
      <c r="M32" t="inlineStr">
        <is>
          <t>Konstruksi Bangunan Sipil Jalan</t>
        </is>
      </c>
      <c r="N32" t="inlineStr">
        <is>
          <t>K</t>
        </is>
      </c>
      <c r="O32" t="inlineStr">
        <is>
          <t>20230922</t>
        </is>
      </c>
      <c r="P32" t="inlineStr">
        <is>
          <t>Kalimantan Barat</t>
        </is>
      </c>
      <c r="Q32" t="inlineStr"/>
    </row>
    <row r="33">
      <c r="A33" t="inlineStr">
        <is>
          <t>ALMAIRA</t>
        </is>
      </c>
      <c r="B33" t="inlineStr">
        <is>
          <t>Kab. Kotawaringin Timur</t>
        </is>
      </c>
      <c r="C33" t="inlineStr">
        <is>
          <t>085234111010</t>
        </is>
      </c>
      <c r="D33" t="inlineStr">
        <is>
          <t>cvalmaira18@gmail.com</t>
        </is>
      </c>
      <c r="E33" t="inlineStr">
        <is>
          <t>https://lpjk.pu.go.id/search-badan-usaha-detail/U0xESzNJdloyVURERktTV3dSZllyQT09</t>
        </is>
      </c>
      <c r="F33" t="n">
        <v>1</v>
      </c>
      <c r="G33" t="inlineStr">
        <is>
          <t>BS004</t>
        </is>
      </c>
      <c r="H33" t="inlineStr">
        <is>
          <t>2 Februari 2015</t>
        </is>
      </c>
      <c r="I33" s="2" t="n">
        <v>46293</v>
      </c>
      <c r="J33" t="inlineStr">
        <is>
          <t>Disetujui</t>
        </is>
      </c>
      <c r="K33" t="n">
        <v>90</v>
      </c>
      <c r="L33" t="inlineStr">
        <is>
          <t>28 September 2026</t>
        </is>
      </c>
      <c r="M33" t="inlineStr">
        <is>
          <t>Konstruksi Jaringan Irigasi dan Drainase</t>
        </is>
      </c>
      <c r="N33" t="inlineStr">
        <is>
          <t>K</t>
        </is>
      </c>
      <c r="O33" t="inlineStr">
        <is>
          <t>20230920</t>
        </is>
      </c>
      <c r="P33" t="inlineStr">
        <is>
          <t>Kalimantan Tengah</t>
        </is>
      </c>
      <c r="Q33" t="inlineStr"/>
    </row>
    <row r="34">
      <c r="A34" t="inlineStr">
        <is>
          <t>ALONG ABADI SEJAHTERA</t>
        </is>
      </c>
      <c r="B34" t="inlineStr">
        <is>
          <t>Kab. Indramayu</t>
        </is>
      </c>
      <c r="C34" t="inlineStr">
        <is>
          <t>081287184322</t>
        </is>
      </c>
      <c r="D34" t="inlineStr">
        <is>
          <t>ptalongabadisejahtera@gmail.com</t>
        </is>
      </c>
      <c r="E34" t="inlineStr">
        <is>
          <t>https://lpjk.pu.go.id/search-badan-usaha-detail/M01xd3BnaUZpbkl1L1Z6NGNtbDU2UT09</t>
        </is>
      </c>
      <c r="F34" t="n">
        <v>2</v>
      </c>
      <c r="G34" t="inlineStr">
        <is>
          <t>BG002</t>
        </is>
      </c>
      <c r="H34" t="inlineStr">
        <is>
          <t>2 Mei 2023</t>
        </is>
      </c>
      <c r="I34" s="2" t="n">
        <v>46293</v>
      </c>
      <c r="J34" t="inlineStr">
        <is>
          <t>Pencabutan</t>
        </is>
      </c>
      <c r="K34" t="n">
        <v>90</v>
      </c>
      <c r="L34" t="inlineStr">
        <is>
          <t>28 September 2026</t>
        </is>
      </c>
      <c r="M34" t="inlineStr">
        <is>
          <t>Konstruksi Gedung Perkantoran</t>
        </is>
      </c>
      <c r="N34" t="inlineStr">
        <is>
          <t>K</t>
        </is>
      </c>
      <c r="O34" t="inlineStr">
        <is>
          <t>20230908</t>
        </is>
      </c>
      <c r="P34" t="inlineStr">
        <is>
          <t>Jawa Barat</t>
        </is>
      </c>
      <c r="Q34" t="inlineStr"/>
    </row>
    <row r="35">
      <c r="A35" t="inlineStr">
        <is>
          <t>ALPHA SURYA DWITAMA</t>
        </is>
      </c>
      <c r="B35" t="inlineStr">
        <is>
          <t>Kota Bandung</t>
        </is>
      </c>
      <c r="C35" t="inlineStr">
        <is>
          <t>087825034678</t>
        </is>
      </c>
      <c r="D35" t="inlineStr">
        <is>
          <t>alphasuryadwitama@gmail.com</t>
        </is>
      </c>
      <c r="E35" t="inlineStr">
        <is>
          <t>https://lpjk.pu.go.id/search-badan-usaha-detail/T2ZtVU5OQnhtWG1EOEx0aGdudUM4UT09</t>
        </is>
      </c>
      <c r="F35" t="n">
        <v>2</v>
      </c>
      <c r="G35" t="inlineStr">
        <is>
          <t>BG006, BG009</t>
        </is>
      </c>
      <c r="H35" t="inlineStr">
        <is>
          <t>24 Desember 2021</t>
        </is>
      </c>
      <c r="I35" s="2" t="n">
        <v>46293</v>
      </c>
      <c r="J35" t="inlineStr">
        <is>
          <t>Disetujui</t>
        </is>
      </c>
      <c r="K35" t="n">
        <v>90</v>
      </c>
      <c r="L35" t="inlineStr">
        <is>
          <t>28 September 2026</t>
        </is>
      </c>
      <c r="M35" t="inlineStr">
        <is>
          <t>Konstruksi Gedung Lainnya, Konstruksi Gedung Pendidikan</t>
        </is>
      </c>
      <c r="N35" t="inlineStr">
        <is>
          <t>K</t>
        </is>
      </c>
      <c r="O35" t="inlineStr">
        <is>
          <t>20230928, 20230929</t>
        </is>
      </c>
      <c r="P35" t="inlineStr">
        <is>
          <t>Jawa Barat</t>
        </is>
      </c>
      <c r="Q35" t="inlineStr"/>
    </row>
    <row r="36">
      <c r="A36" t="inlineStr">
        <is>
          <t>ALVENA</t>
        </is>
      </c>
      <c r="B36" t="inlineStr">
        <is>
          <t>Kota Tasikmalaya</t>
        </is>
      </c>
      <c r="C36" t="inlineStr">
        <is>
          <t>082119079544</t>
        </is>
      </c>
      <c r="D36" t="inlineStr">
        <is>
          <t>cvalvena@gmail.com</t>
        </is>
      </c>
      <c r="E36" t="inlineStr">
        <is>
          <t>https://lpjk.pu.go.id/search-badan-usaha-detail/aGswWHVtVjdrTDQ5czhYaEd0cE5Mdz09</t>
        </is>
      </c>
      <c r="F36" t="n">
        <v>1</v>
      </c>
      <c r="G36" t="inlineStr">
        <is>
          <t>BS004</t>
        </is>
      </c>
      <c r="H36" t="inlineStr">
        <is>
          <t>21 September 2020</t>
        </is>
      </c>
      <c r="I36" s="2" t="n">
        <v>46293</v>
      </c>
      <c r="J36" t="inlineStr">
        <is>
          <t>Disetujui</t>
        </is>
      </c>
      <c r="K36" t="n">
        <v>90</v>
      </c>
      <c r="L36" t="inlineStr">
        <is>
          <t>28 September 2026</t>
        </is>
      </c>
      <c r="M36" t="inlineStr">
        <is>
          <t>Konstruksi Jaringan Irigasi dan Drainase</t>
        </is>
      </c>
      <c r="N36" t="inlineStr">
        <is>
          <t>K</t>
        </is>
      </c>
      <c r="O36" t="inlineStr">
        <is>
          <t>20221129</t>
        </is>
      </c>
      <c r="P36" t="inlineStr">
        <is>
          <t>Jawa Barat</t>
        </is>
      </c>
      <c r="Q36" t="inlineStr"/>
    </row>
    <row r="37">
      <c r="A37" t="inlineStr">
        <is>
          <t>ANUGERAH BINTANG ABADI</t>
        </is>
      </c>
      <c r="B37" t="inlineStr">
        <is>
          <t>Kota Medan</t>
        </is>
      </c>
      <c r="C37" t="inlineStr">
        <is>
          <t>08116083009</t>
        </is>
      </c>
      <c r="D37" t="inlineStr">
        <is>
          <t>ptanugerahbintang138@gmail.com</t>
        </is>
      </c>
      <c r="E37" t="inlineStr">
        <is>
          <t>https://lpjk.pu.go.id/search-badan-usaha-detail/eG01R1pyVkJMZ2tGeWhybnRUV1pjUT09</t>
        </is>
      </c>
      <c r="F37" t="n">
        <v>1</v>
      </c>
      <c r="G37" t="inlineStr">
        <is>
          <t>BG003</t>
        </is>
      </c>
      <c r="H37" t="inlineStr">
        <is>
          <t>29 Maret 2004</t>
        </is>
      </c>
      <c r="I37" s="2" t="n">
        <v>46293</v>
      </c>
      <c r="J37" t="inlineStr">
        <is>
          <t>Disetujui</t>
        </is>
      </c>
      <c r="K37" t="n">
        <v>90</v>
      </c>
      <c r="L37" t="inlineStr">
        <is>
          <t>28 September 2026</t>
        </is>
      </c>
      <c r="M37" t="inlineStr">
        <is>
          <t>Konstruksi Gedung Industri</t>
        </is>
      </c>
      <c r="N37" t="inlineStr">
        <is>
          <t>M</t>
        </is>
      </c>
      <c r="O37" t="inlineStr">
        <is>
          <t>20230925</t>
        </is>
      </c>
      <c r="P37" t="inlineStr">
        <is>
          <t>Sumatera Utara</t>
        </is>
      </c>
      <c r="Q37" t="inlineStr"/>
    </row>
    <row r="38">
      <c r="A38" t="inlineStr">
        <is>
          <t>ANUGRAH KARYA GANESHA</t>
        </is>
      </c>
      <c r="B38" t="inlineStr">
        <is>
          <t>Kab. Kepulauan Sangihe</t>
        </is>
      </c>
      <c r="C38" t="inlineStr">
        <is>
          <t>082344096456</t>
        </is>
      </c>
      <c r="D38" t="inlineStr">
        <is>
          <t>Anugrahkaryaganesha@gmail.com</t>
        </is>
      </c>
      <c r="E38" t="inlineStr">
        <is>
          <t>https://lpjk.pu.go.id/search-badan-usaha-detail/SW5jQzlHbTRLRHRSUUtVRGNORDFyZz09</t>
        </is>
      </c>
      <c r="F38" t="n">
        <v>2</v>
      </c>
      <c r="G38" t="inlineStr">
        <is>
          <t>BG006</t>
        </is>
      </c>
      <c r="H38" t="inlineStr">
        <is>
          <t>18 Agustus 2016</t>
        </is>
      </c>
      <c r="I38" s="2" t="n">
        <v>46293</v>
      </c>
      <c r="J38" t="inlineStr">
        <is>
          <t>Disetujui</t>
        </is>
      </c>
      <c r="K38" t="n">
        <v>90</v>
      </c>
      <c r="L38" t="inlineStr">
        <is>
          <t>28 September 2026</t>
        </is>
      </c>
      <c r="M38" t="inlineStr">
        <is>
          <t>Konstruksi Gedung Pendidikan</t>
        </is>
      </c>
      <c r="N38" t="inlineStr">
        <is>
          <t>K</t>
        </is>
      </c>
      <c r="O38" t="inlineStr">
        <is>
          <t>20230927</t>
        </is>
      </c>
      <c r="P38" t="inlineStr">
        <is>
          <t>Sulawesi Utara</t>
        </is>
      </c>
      <c r="Q38" t="inlineStr"/>
    </row>
    <row r="39">
      <c r="A39" t="inlineStr">
        <is>
          <t>ANUGRAH KURNIA MEKAR</t>
        </is>
      </c>
      <c r="B39" t="inlineStr">
        <is>
          <t>Kab. Subang</t>
        </is>
      </c>
      <c r="C39" t="inlineStr">
        <is>
          <t>0811222734</t>
        </is>
      </c>
      <c r="D39" t="inlineStr">
        <is>
          <t>anugerahkurniamekar.cv@gmail.com</t>
        </is>
      </c>
      <c r="E39" t="inlineStr">
        <is>
          <t>https://lpjk.pu.go.id/search-badan-usaha-detail/UitlME1tbGFza21PQzFaT2tNeFhqZz09</t>
        </is>
      </c>
      <c r="F39" t="n">
        <v>4</v>
      </c>
      <c r="G39" t="inlineStr">
        <is>
          <t>BS001, BS004</t>
        </is>
      </c>
      <c r="H39" t="inlineStr">
        <is>
          <t>7 Januari 2020</t>
        </is>
      </c>
      <c r="I39" s="2" t="n">
        <v>46293</v>
      </c>
      <c r="J39" t="inlineStr">
        <is>
          <t>Disetujui</t>
        </is>
      </c>
      <c r="K39" t="n">
        <v>90</v>
      </c>
      <c r="L39" t="inlineStr">
        <is>
          <t>28 September 2026</t>
        </is>
      </c>
      <c r="M39" t="inlineStr">
        <is>
          <t>Konstruksi Bangunan Sipil Jalan, Konstruksi Jaringan Irigasi dan Drainase</t>
        </is>
      </c>
      <c r="N39" t="inlineStr">
        <is>
          <t>K</t>
        </is>
      </c>
      <c r="O39" t="inlineStr">
        <is>
          <t>20230927, 20230928</t>
        </is>
      </c>
      <c r="P39" t="inlineStr">
        <is>
          <t>Jawa Barat</t>
        </is>
      </c>
      <c r="Q39" t="inlineStr"/>
    </row>
    <row r="40">
      <c r="A40" t="inlineStr">
        <is>
          <t>ANUGRAH MAHA KARYA PERSADA</t>
        </is>
      </c>
      <c r="B40" t="inlineStr">
        <is>
          <t>Kab. Tuban</t>
        </is>
      </c>
      <c r="C40" t="inlineStr">
        <is>
          <t>082143196801</t>
        </is>
      </c>
      <c r="D40" t="inlineStr">
        <is>
          <t>pt.amkpersada@gmail.com</t>
        </is>
      </c>
      <c r="E40" t="inlineStr">
        <is>
          <t>https://lpjk.pu.go.id/search-badan-usaha-detail/WWtvUElndjdnNGNDbXdOUiswalhhZz09</t>
        </is>
      </c>
      <c r="F40" t="n">
        <v>2</v>
      </c>
      <c r="G40" t="inlineStr">
        <is>
          <t>BG005</t>
        </is>
      </c>
      <c r="H40" t="inlineStr">
        <is>
          <t>11 Maret 2020</t>
        </is>
      </c>
      <c r="I40" s="2" t="n">
        <v>46293</v>
      </c>
      <c r="J40" t="inlineStr">
        <is>
          <t>Disetujui</t>
        </is>
      </c>
      <c r="K40" t="n">
        <v>90</v>
      </c>
      <c r="L40" t="inlineStr">
        <is>
          <t>28 September 2026</t>
        </is>
      </c>
      <c r="M40" t="inlineStr">
        <is>
          <t>Konstruksi Gedung Kesehatan</t>
        </is>
      </c>
      <c r="N40" t="inlineStr">
        <is>
          <t>K</t>
        </is>
      </c>
      <c r="O40" t="inlineStr">
        <is>
          <t>20230925</t>
        </is>
      </c>
      <c r="P40" t="inlineStr">
        <is>
          <t>Jawa Timur</t>
        </is>
      </c>
      <c r="Q40" t="inlineStr"/>
    </row>
    <row r="41">
      <c r="A41" t="inlineStr">
        <is>
          <t>ARAFAH RAYA MANDIRI</t>
        </is>
      </c>
      <c r="B41" t="inlineStr">
        <is>
          <t>Kota Medan</t>
        </is>
      </c>
      <c r="C41" t="inlineStr">
        <is>
          <t>085361223650</t>
        </is>
      </c>
      <c r="D41" t="inlineStr">
        <is>
          <t>arafahrayamandiri@gmail.com</t>
        </is>
      </c>
      <c r="E41" t="inlineStr">
        <is>
          <t>https://lpjk.pu.go.id/search-badan-usaha-detail/YjFjcmJESDN3SWpFbDZXaHRoN1pPdz09</t>
        </is>
      </c>
      <c r="F41" t="n">
        <v>2</v>
      </c>
      <c r="G41" t="inlineStr">
        <is>
          <t>IN004</t>
        </is>
      </c>
      <c r="H41" t="inlineStr">
        <is>
          <t>24 Agustus 2019</t>
        </is>
      </c>
      <c r="I41" s="2" t="n">
        <v>46293</v>
      </c>
      <c r="J41" t="inlineStr">
        <is>
          <t>Pencabutan</t>
        </is>
      </c>
      <c r="K41" t="n">
        <v>90</v>
      </c>
      <c r="L41" t="inlineStr">
        <is>
          <t>28 September 2026</t>
        </is>
      </c>
      <c r="M41" t="inlineStr">
        <is>
          <t>Instalasi Minyak dan Gas</t>
        </is>
      </c>
      <c r="N41" t="inlineStr">
        <is>
          <t>Spesialis</t>
        </is>
      </c>
      <c r="O41" t="inlineStr">
        <is>
          <t>20230907</t>
        </is>
      </c>
      <c r="P41" t="inlineStr">
        <is>
          <t>Sumatera Utara</t>
        </is>
      </c>
      <c r="Q41" t="inlineStr"/>
    </row>
    <row r="42">
      <c r="A42" t="inlineStr">
        <is>
          <t>ARBI KONSTRUKSI</t>
        </is>
      </c>
      <c r="B42" t="inlineStr">
        <is>
          <t>Kota Palembang</t>
        </is>
      </c>
      <c r="C42" t="inlineStr">
        <is>
          <t>081367520400</t>
        </is>
      </c>
      <c r="D42" t="inlineStr">
        <is>
          <t>arbikontsruksi@gmail.com</t>
        </is>
      </c>
      <c r="E42" t="inlineStr">
        <is>
          <t>https://lpjk.pu.go.id/search-badan-usaha-detail/NTVpVWRiOTVzWkhnQ1N5QmVrMmtMdz09</t>
        </is>
      </c>
      <c r="F42" t="n">
        <v>2</v>
      </c>
      <c r="G42" t="inlineStr">
        <is>
          <t>BG005, BG006</t>
        </is>
      </c>
      <c r="H42" t="inlineStr">
        <is>
          <t>21 Maret 2023</t>
        </is>
      </c>
      <c r="I42" s="2" t="n">
        <v>46293</v>
      </c>
      <c r="J42" t="inlineStr">
        <is>
          <t>Disetujui</t>
        </is>
      </c>
      <c r="K42" t="n">
        <v>90</v>
      </c>
      <c r="L42" t="inlineStr">
        <is>
          <t>28 September 2026</t>
        </is>
      </c>
      <c r="M42" t="inlineStr">
        <is>
          <t>Konstruksi Gedung Kesehatan, Konstruksi Gedung Pendidikan</t>
        </is>
      </c>
      <c r="N42" t="inlineStr">
        <is>
          <t>K</t>
        </is>
      </c>
      <c r="O42" t="inlineStr">
        <is>
          <t>20230927</t>
        </is>
      </c>
      <c r="P42" t="inlineStr">
        <is>
          <t>Sumatera Selatan</t>
        </is>
      </c>
      <c r="Q42" t="inlineStr"/>
    </row>
    <row r="43">
      <c r="A43" t="inlineStr">
        <is>
          <t>ARGATAMA</t>
        </is>
      </c>
      <c r="B43" t="inlineStr">
        <is>
          <t>Kab. Jember</t>
        </is>
      </c>
      <c r="C43" t="inlineStr">
        <is>
          <t>085236887000</t>
        </is>
      </c>
      <c r="D43" t="inlineStr">
        <is>
          <t>cvargatamajbr@gmail.com</t>
        </is>
      </c>
      <c r="E43" t="inlineStr">
        <is>
          <t>https://lpjk.pu.go.id/search-badan-usaha-detail/eitYOU9oeDZwMEJrd013TW1tWTBuZz09</t>
        </is>
      </c>
      <c r="F43" t="n">
        <v>3</v>
      </c>
      <c r="G43" t="inlineStr">
        <is>
          <t>BG005, BG008, BG009</t>
        </is>
      </c>
      <c r="H43" t="inlineStr">
        <is>
          <t>22 Januari 1982</t>
        </is>
      </c>
      <c r="I43" s="2" t="n">
        <v>46293</v>
      </c>
      <c r="J43" t="inlineStr">
        <is>
          <t>Disetujui</t>
        </is>
      </c>
      <c r="K43" t="n">
        <v>90</v>
      </c>
      <c r="L43" t="inlineStr">
        <is>
          <t>28 September 2026</t>
        </is>
      </c>
      <c r="M43" t="inlineStr">
        <is>
          <t>Konstruksi Gedung Kesehatan, Konstruksi Gedung Lainnya, Konstruksi Gedung Tempat Hiburan dan Olahraga</t>
        </is>
      </c>
      <c r="N43" t="inlineStr">
        <is>
          <t>K</t>
        </is>
      </c>
      <c r="O43" t="inlineStr">
        <is>
          <t>20230925</t>
        </is>
      </c>
      <c r="P43" t="inlineStr">
        <is>
          <t>Jawa Timur</t>
        </is>
      </c>
      <c r="Q43" t="inlineStr"/>
    </row>
    <row r="44">
      <c r="A44" t="inlineStr">
        <is>
          <t>ARUNIKA BERKAH ABADI</t>
        </is>
      </c>
      <c r="B44" t="inlineStr">
        <is>
          <t>Kota Sukabumi</t>
        </is>
      </c>
      <c r="C44" t="inlineStr">
        <is>
          <t>089657777074</t>
        </is>
      </c>
      <c r="D44" t="inlineStr">
        <is>
          <t>arunikaberkahabadi@gmail.com</t>
        </is>
      </c>
      <c r="E44" t="inlineStr">
        <is>
          <t>https://lpjk.pu.go.id/search-badan-usaha-detail/QUF4b1ZXTFRWTnhRNDZjb1NBKzJWQT09</t>
        </is>
      </c>
      <c r="F44" t="n">
        <v>8</v>
      </c>
      <c r="G44" t="inlineStr">
        <is>
          <t>BG005, BG006, BS001, BS004</t>
        </is>
      </c>
      <c r="H44" t="inlineStr">
        <is>
          <t>12 Januari 2023</t>
        </is>
      </c>
      <c r="I44" s="2" t="n">
        <v>46293</v>
      </c>
      <c r="J44" t="inlineStr">
        <is>
          <t>Disetujui</t>
        </is>
      </c>
      <c r="K44" t="n">
        <v>90</v>
      </c>
      <c r="L44" t="inlineStr">
        <is>
          <t>28 September 2026</t>
        </is>
      </c>
      <c r="M44" t="inlineStr">
        <is>
          <t>Konstruksi Bangunan Sipil Jalan, Konstruksi Gedung Kesehatan, Konstruksi Gedung Pendidikan, Konstruksi Jaringan Irigasi dan Drainase</t>
        </is>
      </c>
      <c r="N44" t="inlineStr">
        <is>
          <t>K</t>
        </is>
      </c>
      <c r="O44" t="inlineStr">
        <is>
          <t>20230928</t>
        </is>
      </c>
      <c r="P44" t="inlineStr">
        <is>
          <t>Jawa Barat</t>
        </is>
      </c>
      <c r="Q44" t="inlineStr"/>
    </row>
    <row r="45">
      <c r="A45" t="inlineStr">
        <is>
          <t>ASTAMA ADHI KARYA</t>
        </is>
      </c>
      <c r="B45" t="inlineStr">
        <is>
          <t>Kota Adm. Jakarta Barat</t>
        </is>
      </c>
      <c r="C45" t="inlineStr">
        <is>
          <t>02155962566</t>
        </is>
      </c>
      <c r="D45" t="inlineStr">
        <is>
          <t>ptastamaadhikarya@gmail.com</t>
        </is>
      </c>
      <c r="E45" t="inlineStr">
        <is>
          <t>https://lpjk.pu.go.id/search-badan-usaha-detail/dFRyWS8ySGdZOHJBMzBwd0R4ZXQyQT09</t>
        </is>
      </c>
      <c r="F45" t="n">
        <v>1</v>
      </c>
      <c r="G45" t="inlineStr">
        <is>
          <t>BS001</t>
        </is>
      </c>
      <c r="H45" t="inlineStr">
        <is>
          <t>25 Mei 2021</t>
        </is>
      </c>
      <c r="I45" s="2" t="n">
        <v>46293</v>
      </c>
      <c r="J45" t="inlineStr">
        <is>
          <t>Disetujui</t>
        </is>
      </c>
      <c r="K45" t="n">
        <v>90</v>
      </c>
      <c r="L45" t="inlineStr">
        <is>
          <t>28 September 2026</t>
        </is>
      </c>
      <c r="M45" t="inlineStr">
        <is>
          <t>Konstruksi Bangunan Sipil Jalan</t>
        </is>
      </c>
      <c r="N45" t="inlineStr">
        <is>
          <t>K</t>
        </is>
      </c>
      <c r="O45" t="inlineStr">
        <is>
          <t>20230921</t>
        </is>
      </c>
      <c r="P45" t="inlineStr">
        <is>
          <t>DKI Jakarta</t>
        </is>
      </c>
      <c r="Q45" t="inlineStr"/>
    </row>
    <row r="46">
      <c r="A46" t="inlineStr">
        <is>
          <t>AWAN TRIBUANA MAJU</t>
        </is>
      </c>
      <c r="B46" t="inlineStr">
        <is>
          <t>Kota Pontianak</t>
        </is>
      </c>
      <c r="C46" t="inlineStr">
        <is>
          <t>08125729309</t>
        </is>
      </c>
      <c r="D46" t="inlineStr">
        <is>
          <t>awan_tribuanamaju@yahoo.com</t>
        </is>
      </c>
      <c r="E46" t="inlineStr">
        <is>
          <t>https://lpjk.pu.go.id/search-badan-usaha-detail/MHAzNm9oT2R6TFNZRXZoM2ZhTkNYdz09</t>
        </is>
      </c>
      <c r="F46" t="n">
        <v>2</v>
      </c>
      <c r="G46" t="inlineStr">
        <is>
          <t>BS001, BS004</t>
        </is>
      </c>
      <c r="H46" t="inlineStr">
        <is>
          <t>13 Agustus 2007</t>
        </is>
      </c>
      <c r="I46" s="2" t="n">
        <v>46293</v>
      </c>
      <c r="J46" t="inlineStr">
        <is>
          <t>Disetujui</t>
        </is>
      </c>
      <c r="K46" t="n">
        <v>90</v>
      </c>
      <c r="L46" t="inlineStr">
        <is>
          <t>28 September 2026</t>
        </is>
      </c>
      <c r="M46" t="inlineStr">
        <is>
          <t>Konstruksi Bangunan Sipil Jalan, Konstruksi Jaringan Irigasi dan Drainase</t>
        </is>
      </c>
      <c r="N46" t="inlineStr">
        <is>
          <t>K</t>
        </is>
      </c>
      <c r="O46" t="inlineStr">
        <is>
          <t>20230927</t>
        </is>
      </c>
      <c r="P46" t="inlineStr">
        <is>
          <t>Kalimantan Barat</t>
        </is>
      </c>
      <c r="Q46" t="inlineStr"/>
    </row>
    <row r="47">
      <c r="A47" t="inlineStr">
        <is>
          <t>AZRINA JAYA KONSULTAN</t>
        </is>
      </c>
      <c r="B47" t="inlineStr">
        <is>
          <t>Kota Tegal</t>
        </is>
      </c>
      <c r="C47" t="inlineStr">
        <is>
          <t>085742029911</t>
        </is>
      </c>
      <c r="D47" t="inlineStr">
        <is>
          <t>azrina.jaya.konsultan@gmail.com</t>
        </is>
      </c>
      <c r="E47" t="inlineStr">
        <is>
          <t>https://lpjk.pu.go.id/search-badan-usaha-detail/L2hBZEo3UzE1bE9PM29lTjJqQzVmUT09</t>
        </is>
      </c>
      <c r="F47" t="n">
        <v>3</v>
      </c>
      <c r="G47" t="inlineStr">
        <is>
          <t>AR001, RK001, RK003</t>
        </is>
      </c>
      <c r="H47" t="inlineStr">
        <is>
          <t>30 Januari 2020</t>
        </is>
      </c>
      <c r="I47" s="2" t="n">
        <v>46293</v>
      </c>
      <c r="J47" t="inlineStr">
        <is>
          <t>Disetujui, Pencabutan</t>
        </is>
      </c>
      <c r="K47" t="n">
        <v>90</v>
      </c>
      <c r="L47" t="inlineStr">
        <is>
          <t>28 September 2026</t>
        </is>
      </c>
      <c r="M47" t="inlineStr">
        <is>
          <t>Jasa Arsitektural Bangunan Gedung Hunian dan Non Hunian, Jasa Rekayasa Konstruksi Bangunan Gedung Hunian dan Non Hunian, Jasa Rekayasa Pekerjaan Teknik Sipil Transportasi</t>
        </is>
      </c>
      <c r="N47" t="inlineStr">
        <is>
          <t>K</t>
        </is>
      </c>
      <c r="O47" t="inlineStr">
        <is>
          <t>20230922</t>
        </is>
      </c>
      <c r="P47" t="inlineStr">
        <is>
          <t>Jawa Tengah</t>
        </is>
      </c>
      <c r="Q47" t="inlineStr"/>
    </row>
    <row r="48">
      <c r="A48" t="inlineStr">
        <is>
          <t>BAGINDA ABABIEL</t>
        </is>
      </c>
      <c r="B48" t="inlineStr">
        <is>
          <t>Kab. Tuban</t>
        </is>
      </c>
      <c r="C48" t="inlineStr">
        <is>
          <t>0821790004444</t>
        </is>
      </c>
      <c r="D48" t="inlineStr">
        <is>
          <t>a.baginda@yahoo.com</t>
        </is>
      </c>
      <c r="E48" t="inlineStr">
        <is>
          <t>https://lpjk.pu.go.id/search-badan-usaha-detail/VENxc01qN0dmY01WOUVmNG10Vkp3UT09</t>
        </is>
      </c>
      <c r="F48" t="n">
        <v>1</v>
      </c>
      <c r="G48" t="inlineStr">
        <is>
          <t>BG006</t>
        </is>
      </c>
      <c r="H48" t="inlineStr">
        <is>
          <t>11 Desember 2017</t>
        </is>
      </c>
      <c r="I48" s="2" t="n">
        <v>46293</v>
      </c>
      <c r="J48" t="inlineStr">
        <is>
          <t>Disetujui</t>
        </is>
      </c>
      <c r="K48" t="n">
        <v>90</v>
      </c>
      <c r="L48" t="inlineStr">
        <is>
          <t>28 September 2026</t>
        </is>
      </c>
      <c r="M48" t="inlineStr">
        <is>
          <t>Konstruksi Gedung Pendidikan</t>
        </is>
      </c>
      <c r="N48" t="inlineStr">
        <is>
          <t>K</t>
        </is>
      </c>
      <c r="O48" t="inlineStr">
        <is>
          <t>20230925</t>
        </is>
      </c>
      <c r="P48" t="inlineStr">
        <is>
          <t>Jawa Timur</t>
        </is>
      </c>
      <c r="Q48" t="inlineStr"/>
    </row>
    <row r="49">
      <c r="A49" t="inlineStr">
        <is>
          <t>BANGUN JAYA MANDIRI</t>
        </is>
      </c>
      <c r="B49" t="inlineStr">
        <is>
          <t>Kota Adm. Jakarta Utara</t>
        </is>
      </c>
      <c r="C49" t="inlineStr">
        <is>
          <t>0216692696</t>
        </is>
      </c>
      <c r="D49" t="inlineStr">
        <is>
          <t>bangunjayamandiri88@gmail.com</t>
        </is>
      </c>
      <c r="E49" t="inlineStr">
        <is>
          <t>https://lpjk.pu.go.id/search-badan-usaha-detail/UFptdFNhSERvbXdqR1Zma3JvdHlNQT09</t>
        </is>
      </c>
      <c r="F49" t="n">
        <v>2</v>
      </c>
      <c r="G49" t="inlineStr">
        <is>
          <t>BG002, BG003</t>
        </is>
      </c>
      <c r="H49" t="inlineStr">
        <is>
          <t>31 Agustus 2016</t>
        </is>
      </c>
      <c r="I49" s="2" t="n">
        <v>46293</v>
      </c>
      <c r="J49" t="inlineStr">
        <is>
          <t>Disetujui</t>
        </is>
      </c>
      <c r="K49" t="n">
        <v>90</v>
      </c>
      <c r="L49" t="inlineStr">
        <is>
          <t>28 September 2026</t>
        </is>
      </c>
      <c r="M49" t="inlineStr">
        <is>
          <t>Konstruksi Gedung Industri, Konstruksi Gedung Perkantoran</t>
        </is>
      </c>
      <c r="N49" t="inlineStr">
        <is>
          <t>K</t>
        </is>
      </c>
      <c r="O49" t="inlineStr">
        <is>
          <t>20230922</t>
        </is>
      </c>
      <c r="P49" t="inlineStr">
        <is>
          <t>DKI Jakarta</t>
        </is>
      </c>
      <c r="Q49" t="inlineStr"/>
    </row>
    <row r="50">
      <c r="A50" t="inlineStr">
        <is>
          <t>BANGUN KELOLA SWADAYA</t>
        </is>
      </c>
      <c r="B50" t="inlineStr">
        <is>
          <t>Kota Adm. Jakarta Selatan</t>
        </is>
      </c>
      <c r="C50" t="inlineStr">
        <is>
          <t>0217261310</t>
        </is>
      </c>
      <c r="D50" t="inlineStr">
        <is>
          <t>legal.ptbks@gmail.com</t>
        </is>
      </c>
      <c r="E50" t="inlineStr">
        <is>
          <t>https://lpjk.pu.go.id/search-badan-usaha-detail/bFdEN0laZGNhSU5IRi83RFo3RW9uUT09</t>
        </is>
      </c>
      <c r="F50" t="n">
        <v>1</v>
      </c>
      <c r="G50" t="inlineStr">
        <is>
          <t>IN002</t>
        </is>
      </c>
      <c r="H50" t="inlineStr">
        <is>
          <t>25 Mei 2016</t>
        </is>
      </c>
      <c r="I50" s="2" t="n">
        <v>46293</v>
      </c>
      <c r="J50" t="inlineStr">
        <is>
          <t>Disetujui</t>
        </is>
      </c>
      <c r="K50" t="n">
        <v>90</v>
      </c>
      <c r="L50" t="inlineStr">
        <is>
          <t>28 September 2026</t>
        </is>
      </c>
      <c r="M50" t="inlineStr">
        <is>
          <t>Instalasi Telekomunikasi</t>
        </is>
      </c>
      <c r="N50" t="inlineStr">
        <is>
          <t>Spesialis</t>
        </is>
      </c>
      <c r="O50" t="inlineStr">
        <is>
          <t>20230926</t>
        </is>
      </c>
      <c r="P50" t="inlineStr">
        <is>
          <t>DKI Jakarta</t>
        </is>
      </c>
      <c r="Q50" t="inlineStr"/>
    </row>
    <row r="51">
      <c r="A51" t="inlineStr">
        <is>
          <t>BANGUN MANDIRI INDONESIA</t>
        </is>
      </c>
      <c r="B51" t="inlineStr">
        <is>
          <t>Kota Tangerang</t>
        </is>
      </c>
      <c r="C51" t="inlineStr">
        <is>
          <t>085287569804</t>
        </is>
      </c>
      <c r="D51" t="inlineStr">
        <is>
          <t>cvbangunmandirindo19@gmail.com</t>
        </is>
      </c>
      <c r="E51" t="inlineStr">
        <is>
          <t>https://lpjk.pu.go.id/search-badan-usaha-detail/N3ZMYUJpME9wZUdPQmpxelR1azRydz09</t>
        </is>
      </c>
      <c r="F51" t="n">
        <v>1</v>
      </c>
      <c r="G51" t="inlineStr">
        <is>
          <t>BS001</t>
        </is>
      </c>
      <c r="H51" t="inlineStr">
        <is>
          <t>25 Februari 2020</t>
        </is>
      </c>
      <c r="I51" s="2" t="n">
        <v>46293</v>
      </c>
      <c r="J51" t="inlineStr">
        <is>
          <t>Disetujui</t>
        </is>
      </c>
      <c r="K51" t="n">
        <v>90</v>
      </c>
      <c r="L51" t="inlineStr">
        <is>
          <t>28 September 2026</t>
        </is>
      </c>
      <c r="M51" t="inlineStr">
        <is>
          <t>Konstruksi Bangunan Sipil Jalan</t>
        </is>
      </c>
      <c r="N51" t="inlineStr">
        <is>
          <t>K</t>
        </is>
      </c>
      <c r="O51" t="inlineStr">
        <is>
          <t>20230802</t>
        </is>
      </c>
      <c r="P51" t="inlineStr">
        <is>
          <t>Banten</t>
        </is>
      </c>
      <c r="Q51" t="inlineStr"/>
    </row>
    <row r="52">
      <c r="A52" t="inlineStr">
        <is>
          <t>BANGUN PRATAMA MANDIRI</t>
        </is>
      </c>
      <c r="B52" t="inlineStr">
        <is>
          <t>Kab. Banyuwangi</t>
        </is>
      </c>
      <c r="C52" t="inlineStr">
        <is>
          <t>085257543815</t>
        </is>
      </c>
      <c r="D52" t="inlineStr">
        <is>
          <t>cv_bangunpratamamandiri@ymail.com</t>
        </is>
      </c>
      <c r="E52" t="inlineStr">
        <is>
          <t>https://lpjk.pu.go.id/search-badan-usaha-detail/VFJmVGtDeWl1aTE1M0h0Sk1mVGg5UT09</t>
        </is>
      </c>
      <c r="F52" t="n">
        <v>2</v>
      </c>
      <c r="G52" t="inlineStr">
        <is>
          <t>BG006, BS001</t>
        </is>
      </c>
      <c r="H52" t="inlineStr">
        <is>
          <t>22 November 2007</t>
        </is>
      </c>
      <c r="I52" s="2" t="n">
        <v>46293</v>
      </c>
      <c r="J52" t="inlineStr">
        <is>
          <t>Disetujui</t>
        </is>
      </c>
      <c r="K52" t="n">
        <v>90</v>
      </c>
      <c r="L52" t="inlineStr">
        <is>
          <t>28 September 2026</t>
        </is>
      </c>
      <c r="M52" t="inlineStr">
        <is>
          <t>Konstruksi Bangunan Sipil Jalan, Konstruksi Gedung Pendidikan</t>
        </is>
      </c>
      <c r="N52" t="inlineStr">
        <is>
          <t>K</t>
        </is>
      </c>
      <c r="O52" t="inlineStr">
        <is>
          <t>20230926</t>
        </is>
      </c>
      <c r="P52" t="inlineStr">
        <is>
          <t>Jawa Timur</t>
        </is>
      </c>
      <c r="Q52" t="inlineStr"/>
    </row>
    <row r="53">
      <c r="A53" t="inlineStr">
        <is>
          <t>BARAKWAN</t>
        </is>
      </c>
      <c r="B53" t="inlineStr">
        <is>
          <t>Kab. Kutai Kartanegara</t>
        </is>
      </c>
      <c r="C53" t="inlineStr">
        <is>
          <t>081258113006</t>
        </is>
      </c>
      <c r="D53" t="inlineStr">
        <is>
          <t>cv.barakwan@gmail.com</t>
        </is>
      </c>
      <c r="E53" t="inlineStr">
        <is>
          <t>https://lpjk.pu.go.id/search-badan-usaha-detail/TEE0VkM3V04ySk42QXZ3aDNCdlROdz09</t>
        </is>
      </c>
      <c r="F53" t="n">
        <v>2</v>
      </c>
      <c r="G53" t="inlineStr">
        <is>
          <t>BS001</t>
        </is>
      </c>
      <c r="H53" t="inlineStr">
        <is>
          <t>20 Februari 2020</t>
        </is>
      </c>
      <c r="I53" s="2" t="n">
        <v>46293</v>
      </c>
      <c r="J53" t="inlineStr">
        <is>
          <t>Disetujui</t>
        </is>
      </c>
      <c r="K53" t="n">
        <v>90</v>
      </c>
      <c r="L53" t="inlineStr">
        <is>
          <t>28 September 2026</t>
        </is>
      </c>
      <c r="M53" t="inlineStr">
        <is>
          <t>Konstruksi Bangunan Sipil Jalan</t>
        </is>
      </c>
      <c r="N53" t="inlineStr">
        <is>
          <t>K</t>
        </is>
      </c>
      <c r="O53" t="inlineStr">
        <is>
          <t>20230926</t>
        </is>
      </c>
      <c r="P53" t="inlineStr">
        <is>
          <t>Kalimantan Timur</t>
        </is>
      </c>
      <c r="Q53" t="inlineStr"/>
    </row>
    <row r="54">
      <c r="A54" t="inlineStr">
        <is>
          <t>BATARA LASINRANG PERKASA</t>
        </is>
      </c>
      <c r="B54" t="inlineStr">
        <is>
          <t>Kab. Manokwari</t>
        </is>
      </c>
      <c r="C54" t="inlineStr">
        <is>
          <t>08124001737</t>
        </is>
      </c>
      <c r="D54" t="inlineStr">
        <is>
          <t>bataralasinrang2023@gmail.com</t>
        </is>
      </c>
      <c r="E54" t="inlineStr">
        <is>
          <t>https://lpjk.pu.go.id/search-badan-usaha-detail/c1V5UHB6a1NRVlRwNEZJQllkWGRhQT09</t>
        </is>
      </c>
      <c r="F54" t="n">
        <v>1</v>
      </c>
      <c r="G54" t="inlineStr">
        <is>
          <t>BS001</t>
        </is>
      </c>
      <c r="H54" t="inlineStr">
        <is>
          <t>30 September 2009</t>
        </is>
      </c>
      <c r="I54" s="2" t="n">
        <v>46293</v>
      </c>
      <c r="J54" t="inlineStr">
        <is>
          <t>Pencabutan</t>
        </is>
      </c>
      <c r="K54" t="n">
        <v>90</v>
      </c>
      <c r="L54" t="inlineStr">
        <is>
          <t>28 September 2026</t>
        </is>
      </c>
      <c r="M54" t="inlineStr">
        <is>
          <t>Konstruksi Bangunan Sipil Jalan</t>
        </is>
      </c>
      <c r="N54" t="inlineStr">
        <is>
          <t>M</t>
        </is>
      </c>
      <c r="O54" t="inlineStr">
        <is>
          <t>20230929</t>
        </is>
      </c>
      <c r="P54" t="inlineStr">
        <is>
          <t>Papua Barat</t>
        </is>
      </c>
      <c r="Q54" t="inlineStr"/>
    </row>
    <row r="55">
      <c r="A55" t="inlineStr">
        <is>
          <t>BAYU PUTRA PERDANA</t>
        </is>
      </c>
      <c r="B55" t="inlineStr">
        <is>
          <t>Kab. Tulungagung</t>
        </is>
      </c>
      <c r="C55" t="inlineStr">
        <is>
          <t>081216227549</t>
        </is>
      </c>
      <c r="D55" t="inlineStr">
        <is>
          <t>bison.fighter@yahoo.com</t>
        </is>
      </c>
      <c r="E55" t="inlineStr">
        <is>
          <t>https://lpjk.pu.go.id/search-badan-usaha-detail/T3dLTGtYc3E3QkE4NnNoSHd2QmtiUT09</t>
        </is>
      </c>
      <c r="F55" t="n">
        <v>1</v>
      </c>
      <c r="G55" t="inlineStr">
        <is>
          <t>BS001</t>
        </is>
      </c>
      <c r="H55" t="inlineStr">
        <is>
          <t>7 September 2009</t>
        </is>
      </c>
      <c r="I55" s="2" t="n">
        <v>46293</v>
      </c>
      <c r="J55" t="inlineStr">
        <is>
          <t>Disetujui</t>
        </is>
      </c>
      <c r="K55" t="n">
        <v>90</v>
      </c>
      <c r="L55" t="inlineStr">
        <is>
          <t>28 September 2026</t>
        </is>
      </c>
      <c r="M55" t="inlineStr">
        <is>
          <t>Konstruksi Bangunan Sipil Jalan</t>
        </is>
      </c>
      <c r="N55" t="inlineStr">
        <is>
          <t>K</t>
        </is>
      </c>
      <c r="O55" t="inlineStr">
        <is>
          <t>20230929</t>
        </is>
      </c>
      <c r="P55" t="inlineStr">
        <is>
          <t>Jawa Timur</t>
        </is>
      </c>
      <c r="Q55" t="inlineStr"/>
    </row>
    <row r="56">
      <c r="A56" t="inlineStr">
        <is>
          <t>BERDAYA MEDIATAMA</t>
        </is>
      </c>
      <c r="B56" t="inlineStr">
        <is>
          <t>Kota Kendari</t>
        </is>
      </c>
      <c r="C56" t="inlineStr">
        <is>
          <t>085335531111</t>
        </is>
      </c>
      <c r="D56" t="inlineStr">
        <is>
          <t>berdayacv@gmail.com</t>
        </is>
      </c>
      <c r="E56" t="inlineStr">
        <is>
          <t>https://lpjk.pu.go.id/search-badan-usaha-detail/aFpKZVBZWElrdmR5czk0WUhmVDV0QT09</t>
        </is>
      </c>
      <c r="F56" t="n">
        <v>1</v>
      </c>
      <c r="G56" t="inlineStr">
        <is>
          <t>BG006</t>
        </is>
      </c>
      <c r="H56" t="inlineStr">
        <is>
          <t>13 November 2013</t>
        </is>
      </c>
      <c r="I56" s="2" t="n">
        <v>46293</v>
      </c>
      <c r="J56" t="inlineStr">
        <is>
          <t>Disetujui</t>
        </is>
      </c>
      <c r="K56" t="n">
        <v>90</v>
      </c>
      <c r="L56" t="inlineStr">
        <is>
          <t>28 September 2026</t>
        </is>
      </c>
      <c r="M56" t="inlineStr">
        <is>
          <t>Konstruksi Gedung Pendidikan</t>
        </is>
      </c>
      <c r="N56" t="inlineStr">
        <is>
          <t>K</t>
        </is>
      </c>
      <c r="O56" t="inlineStr">
        <is>
          <t>20230922</t>
        </is>
      </c>
      <c r="P56" t="inlineStr">
        <is>
          <t>Sulawesi Tenggara</t>
        </is>
      </c>
      <c r="Q56" t="inlineStr"/>
    </row>
    <row r="57">
      <c r="A57" t="inlineStr">
        <is>
          <t>BERKAH AGUNG SEJAHTERA SENTOSA</t>
        </is>
      </c>
      <c r="B57" t="inlineStr">
        <is>
          <t>Kota Salatiga</t>
        </is>
      </c>
      <c r="C57" t="inlineStr">
        <is>
          <t>085729205427</t>
        </is>
      </c>
      <c r="D57" t="inlineStr">
        <is>
          <t>berkahagungsejahtera.cv@gmail.com</t>
        </is>
      </c>
      <c r="E57" t="inlineStr">
        <is>
          <t>https://lpjk.pu.go.id/search-badan-usaha-detail/TzlreEV3dGlTZjR1Wm4vOGVXK29uUT09</t>
        </is>
      </c>
      <c r="F57" t="n">
        <v>6</v>
      </c>
      <c r="G57" t="inlineStr">
        <is>
          <t>BG002, BG009, BS001</t>
        </is>
      </c>
      <c r="H57" t="inlineStr">
        <is>
          <t>30 Mei 2023</t>
        </is>
      </c>
      <c r="I57" s="2" t="n">
        <v>46293</v>
      </c>
      <c r="J57" t="inlineStr">
        <is>
          <t>Disetujui</t>
        </is>
      </c>
      <c r="K57" t="n">
        <v>90</v>
      </c>
      <c r="L57" t="inlineStr">
        <is>
          <t>28 September 2026</t>
        </is>
      </c>
      <c r="M57" t="inlineStr">
        <is>
          <t>Konstruksi Bangunan Sipil Jalan, Konstruksi Gedung Lainnya, Konstruksi Gedung Perkantoran</t>
        </is>
      </c>
      <c r="N57" t="inlineStr">
        <is>
          <t>K</t>
        </is>
      </c>
      <c r="O57" t="inlineStr">
        <is>
          <t>20230920</t>
        </is>
      </c>
      <c r="P57" t="inlineStr">
        <is>
          <t>Jawa Tengah</t>
        </is>
      </c>
      <c r="Q57" t="inlineStr"/>
    </row>
    <row r="58">
      <c r="A58" t="inlineStr">
        <is>
          <t>BERKAH JAYA SENTOSA</t>
        </is>
      </c>
      <c r="B58" t="inlineStr">
        <is>
          <t>Kab. Kampar</t>
        </is>
      </c>
      <c r="C58" t="inlineStr">
        <is>
          <t>081260199262</t>
        </is>
      </c>
      <c r="D58" t="inlineStr">
        <is>
          <t>cv.berkahjayasentos4@gmail.com</t>
        </is>
      </c>
      <c r="E58" t="inlineStr">
        <is>
          <t>https://lpjk.pu.go.id/search-badan-usaha-detail/RmowRkk1bklrZVJLWHBFaUh3emdOUT09</t>
        </is>
      </c>
      <c r="F58" t="n">
        <v>2</v>
      </c>
      <c r="G58" t="inlineStr">
        <is>
          <t>BS001</t>
        </is>
      </c>
      <c r="H58" t="inlineStr">
        <is>
          <t>23 April 2018</t>
        </is>
      </c>
      <c r="I58" s="2" t="n">
        <v>46293</v>
      </c>
      <c r="J58" t="inlineStr">
        <is>
          <t>Disetujui</t>
        </is>
      </c>
      <c r="K58" t="n">
        <v>90</v>
      </c>
      <c r="L58" t="inlineStr">
        <is>
          <t>28 September 2026</t>
        </is>
      </c>
      <c r="M58" t="inlineStr">
        <is>
          <t>Konstruksi Bangunan Sipil Jalan</t>
        </is>
      </c>
      <c r="N58" t="inlineStr">
        <is>
          <t>K</t>
        </is>
      </c>
      <c r="O58" t="inlineStr">
        <is>
          <t>20230929</t>
        </is>
      </c>
      <c r="P58" t="inlineStr">
        <is>
          <t>Riau</t>
        </is>
      </c>
      <c r="Q58" t="inlineStr"/>
    </row>
    <row r="59">
      <c r="A59" t="inlineStr">
        <is>
          <t>BERKAT TRINITAS</t>
        </is>
      </c>
      <c r="B59" t="inlineStr">
        <is>
          <t>Kab. Minahasa Utara</t>
        </is>
      </c>
      <c r="C59" t="inlineStr">
        <is>
          <t>0431-7243689</t>
        </is>
      </c>
      <c r="D59" t="inlineStr">
        <is>
          <t>cv.berkattrinitas@gmail.com</t>
        </is>
      </c>
      <c r="E59" t="inlineStr">
        <is>
          <t>https://lpjk.pu.go.id/search-badan-usaha-detail/MW1tN0dhbk9xZERYeXdjRlZEV0JBQT09</t>
        </is>
      </c>
      <c r="F59" t="n">
        <v>6</v>
      </c>
      <c r="G59" t="inlineStr">
        <is>
          <t>BG001, BG003, BG004</t>
        </is>
      </c>
      <c r="H59" t="inlineStr">
        <is>
          <t>30 April 2004</t>
        </is>
      </c>
      <c r="I59" s="2" t="n">
        <v>46293</v>
      </c>
      <c r="J59" t="inlineStr">
        <is>
          <t>Disetujui</t>
        </is>
      </c>
      <c r="K59" t="n">
        <v>90</v>
      </c>
      <c r="L59" t="inlineStr">
        <is>
          <t>28 September 2026</t>
        </is>
      </c>
      <c r="M59" t="inlineStr">
        <is>
          <t>Konstruksi Gedung Hunian, Konstruksi Gedung Industri, Konstruksi Gedung Perbelanjaan</t>
        </is>
      </c>
      <c r="N59" t="inlineStr">
        <is>
          <t>K</t>
        </is>
      </c>
      <c r="O59" t="inlineStr">
        <is>
          <t>20230921</t>
        </is>
      </c>
      <c r="P59" t="inlineStr">
        <is>
          <t>Sulawesi Utara</t>
        </is>
      </c>
      <c r="Q59" t="inlineStr"/>
    </row>
    <row r="60">
      <c r="A60" t="inlineStr">
        <is>
          <t>BIMA BERKAH MANDIRI</t>
        </is>
      </c>
      <c r="B60" t="inlineStr">
        <is>
          <t>Kab. Tuban</t>
        </is>
      </c>
      <c r="C60" t="inlineStr">
        <is>
          <t>081230942781</t>
        </is>
      </c>
      <c r="D60" t="inlineStr">
        <is>
          <t>wahyuanitasari68@gmail.com</t>
        </is>
      </c>
      <c r="E60" t="inlineStr">
        <is>
          <t>https://lpjk.pu.go.id/search-badan-usaha-detail/WUd0QWd3Q0pSbkVURnlHZ3ZNSjhGQT09</t>
        </is>
      </c>
      <c r="F60" t="n">
        <v>2</v>
      </c>
      <c r="G60" t="inlineStr">
        <is>
          <t>BG003</t>
        </is>
      </c>
      <c r="H60" t="inlineStr">
        <is>
          <t>22 Oktober 2014</t>
        </is>
      </c>
      <c r="I60" s="2" t="n">
        <v>46293</v>
      </c>
      <c r="J60" t="inlineStr">
        <is>
          <t>Disetujui</t>
        </is>
      </c>
      <c r="K60" t="n">
        <v>90</v>
      </c>
      <c r="L60" t="inlineStr">
        <is>
          <t>28 September 2026</t>
        </is>
      </c>
      <c r="M60" t="inlineStr">
        <is>
          <t>Konstruksi Gedung Industri</t>
        </is>
      </c>
      <c r="N60" t="inlineStr">
        <is>
          <t>K</t>
        </is>
      </c>
      <c r="O60" t="inlineStr">
        <is>
          <t>20230927</t>
        </is>
      </c>
      <c r="P60" t="inlineStr">
        <is>
          <t>Jawa Timur</t>
        </is>
      </c>
      <c r="Q60" t="inlineStr"/>
    </row>
    <row r="61">
      <c r="A61" t="inlineStr">
        <is>
          <t>BIMA MADIUN</t>
        </is>
      </c>
      <c r="B61" t="inlineStr">
        <is>
          <t>Kab. Madiun</t>
        </is>
      </c>
      <c r="C61" t="inlineStr">
        <is>
          <t>-</t>
        </is>
      </c>
      <c r="D61" t="inlineStr">
        <is>
          <t>cv.bimamadiun@yahoo.co.id</t>
        </is>
      </c>
      <c r="E61" t="inlineStr">
        <is>
          <t>https://lpjk.pu.go.id/search-badan-usaha-detail/a3BYTTFscGZjT1pLUkk4ZVNUdnI1UT09</t>
        </is>
      </c>
      <c r="F61" t="n">
        <v>1</v>
      </c>
      <c r="G61" t="inlineStr">
        <is>
          <t>BS002</t>
        </is>
      </c>
      <c r="H61" t="inlineStr">
        <is>
          <t>19 April 2000</t>
        </is>
      </c>
      <c r="I61" s="2" t="n">
        <v>46293</v>
      </c>
      <c r="J61" t="inlineStr">
        <is>
          <t>Disetujui</t>
        </is>
      </c>
      <c r="K61" t="n">
        <v>90</v>
      </c>
      <c r="L61" t="inlineStr">
        <is>
          <t>28 September 2026</t>
        </is>
      </c>
      <c r="M61" t="inlineStr">
        <is>
          <t>Bangunan Sipil Jembatan, Jalan Layang, Fly Over, dan Underpass</t>
        </is>
      </c>
      <c r="N61" t="inlineStr">
        <is>
          <t>K</t>
        </is>
      </c>
      <c r="O61" t="inlineStr">
        <is>
          <t>20230922</t>
        </is>
      </c>
      <c r="P61" t="inlineStr">
        <is>
          <t>Jawa Timur</t>
        </is>
      </c>
      <c r="Q61" t="inlineStr"/>
    </row>
    <row r="62">
      <c r="A62" t="inlineStr">
        <is>
          <t>BINTANG HARAPAN</t>
        </is>
      </c>
      <c r="B62" t="inlineStr">
        <is>
          <t>Kab. Magelang</t>
        </is>
      </c>
      <c r="C62" t="inlineStr">
        <is>
          <t>081391130019</t>
        </is>
      </c>
      <c r="D62" t="inlineStr">
        <is>
          <t>bintangharapan66@gmail.com</t>
        </is>
      </c>
      <c r="E62" t="inlineStr">
        <is>
          <t>https://lpjk.pu.go.id/search-badan-usaha-detail/dU54MHduSlFHdnc0MFlQWXBESHpFUT09</t>
        </is>
      </c>
      <c r="F62" t="n">
        <v>6</v>
      </c>
      <c r="G62" t="inlineStr">
        <is>
          <t>BS001, BS002, BS004</t>
        </is>
      </c>
      <c r="H62" t="inlineStr">
        <is>
          <t>14 Maret 2012</t>
        </is>
      </c>
      <c r="I62" s="2" t="n">
        <v>46293</v>
      </c>
      <c r="J62" t="inlineStr">
        <is>
          <t>Disetujui</t>
        </is>
      </c>
      <c r="K62" t="n">
        <v>90</v>
      </c>
      <c r="L62" t="inlineStr">
        <is>
          <t>28 September 2026</t>
        </is>
      </c>
      <c r="M62" t="inlineStr">
        <is>
          <t>Bangunan Sipil Jembatan, Jalan Layang, Fly Over, dan Underpass, Konstruksi Bangunan Sipil Jalan, Konstruksi Jaringan Irigasi dan Drainase</t>
        </is>
      </c>
      <c r="N62" t="inlineStr">
        <is>
          <t>K</t>
        </is>
      </c>
      <c r="O62" t="inlineStr">
        <is>
          <t>20230926</t>
        </is>
      </c>
      <c r="P62" t="inlineStr">
        <is>
          <t>Jawa Tengah</t>
        </is>
      </c>
      <c r="Q62" t="inlineStr"/>
    </row>
    <row r="63">
      <c r="A63" t="inlineStr">
        <is>
          <t>BINTANG SURYA KENCANA</t>
        </is>
      </c>
      <c r="B63" t="inlineStr">
        <is>
          <t>Kab. Ponorogo</t>
        </is>
      </c>
      <c r="C63" t="inlineStr">
        <is>
          <t>081335658050</t>
        </is>
      </c>
      <c r="D63" t="inlineStr">
        <is>
          <t>bintangsuryakencanacv@gmail.com</t>
        </is>
      </c>
      <c r="E63" t="inlineStr">
        <is>
          <t>https://lpjk.pu.go.id/search-badan-usaha-detail/ckRaR3RFMHI4b1BXN1B1ckkzT09WQT09</t>
        </is>
      </c>
      <c r="F63" t="n">
        <v>14</v>
      </c>
      <c r="G63" t="inlineStr">
        <is>
          <t>BG004, BG005, BG006, BS001</t>
        </is>
      </c>
      <c r="H63" t="inlineStr">
        <is>
          <t>26 Juli 2004</t>
        </is>
      </c>
      <c r="I63" s="2" t="n">
        <v>46293</v>
      </c>
      <c r="J63" t="inlineStr">
        <is>
          <t>Disetujui</t>
        </is>
      </c>
      <c r="K63" t="n">
        <v>90</v>
      </c>
      <c r="L63" t="inlineStr">
        <is>
          <t>28 September 2026</t>
        </is>
      </c>
      <c r="M63" t="inlineStr">
        <is>
          <t>Konstruksi Bangunan Sipil Jalan, Konstruksi Gedung Kesehatan, Konstruksi Gedung Pendidikan, Konstruksi Gedung Perbelanjaan</t>
        </is>
      </c>
      <c r="N63" t="inlineStr">
        <is>
          <t>K</t>
        </is>
      </c>
      <c r="O63" t="inlineStr">
        <is>
          <t>20230926, 20230927</t>
        </is>
      </c>
      <c r="P63" t="inlineStr">
        <is>
          <t>Jawa Timur</t>
        </is>
      </c>
      <c r="Q63" t="inlineStr"/>
    </row>
    <row r="64">
      <c r="A64" t="inlineStr">
        <is>
          <t>BORNEO CITRA INOVASI</t>
        </is>
      </c>
      <c r="B64" t="inlineStr">
        <is>
          <t>Kab. Kapuas Hulu</t>
        </is>
      </c>
      <c r="C64" t="inlineStr">
        <is>
          <t>0895340179199</t>
        </is>
      </c>
      <c r="D64" t="inlineStr">
        <is>
          <t>borneocitrainovasi@gmail.com</t>
        </is>
      </c>
      <c r="E64" t="inlineStr">
        <is>
          <t>https://lpjk.pu.go.id/search-badan-usaha-detail/dnhhc0JiMFAzcjFXV2xaRnZQY214QT09</t>
        </is>
      </c>
      <c r="F64" t="n">
        <v>1</v>
      </c>
      <c r="G64" t="inlineStr">
        <is>
          <t>BG006</t>
        </is>
      </c>
      <c r="H64" t="inlineStr">
        <is>
          <t>6 Januari 2017</t>
        </is>
      </c>
      <c r="I64" s="2" t="n">
        <v>46293</v>
      </c>
      <c r="J64" t="inlineStr">
        <is>
          <t>Disetujui</t>
        </is>
      </c>
      <c r="K64" t="n">
        <v>90</v>
      </c>
      <c r="L64" t="inlineStr">
        <is>
          <t>28 September 2026</t>
        </is>
      </c>
      <c r="M64" t="inlineStr">
        <is>
          <t>Konstruksi Gedung Pendidikan</t>
        </is>
      </c>
      <c r="N64" t="inlineStr">
        <is>
          <t>K</t>
        </is>
      </c>
      <c r="O64" t="inlineStr">
        <is>
          <t>20230927</t>
        </is>
      </c>
      <c r="P64" t="inlineStr">
        <is>
          <t>Kalimantan Barat</t>
        </is>
      </c>
      <c r="Q64" t="inlineStr"/>
    </row>
    <row r="65">
      <c r="A65" t="inlineStr">
        <is>
          <t>BUDI INDAH</t>
        </is>
      </c>
      <c r="B65" t="inlineStr">
        <is>
          <t>Kab. Siak</t>
        </is>
      </c>
      <c r="C65" t="inlineStr">
        <is>
          <t>0812619234</t>
        </is>
      </c>
      <c r="D65" t="inlineStr">
        <is>
          <t>budiindahcv@yahoo.com</t>
        </is>
      </c>
      <c r="E65" t="inlineStr">
        <is>
          <t>https://lpjk.pu.go.id/search-badan-usaha-detail/RS9zQjlHU3hIeVZyUzdRTFl5VGtJZz09</t>
        </is>
      </c>
      <c r="F65" t="n">
        <v>1</v>
      </c>
      <c r="G65" t="inlineStr">
        <is>
          <t>KK012</t>
        </is>
      </c>
      <c r="H65" t="inlineStr">
        <is>
          <t>18 Desember 2000</t>
        </is>
      </c>
      <c r="I65" s="2" t="n">
        <v>46293</v>
      </c>
      <c r="J65" t="inlineStr">
        <is>
          <t>Pembekuan</t>
        </is>
      </c>
      <c r="K65" t="n">
        <v>90</v>
      </c>
      <c r="L65" t="inlineStr">
        <is>
          <t>28 September 2026</t>
        </is>
      </c>
      <c r="M65" t="inlineStr">
        <is>
          <t>Pekerjaan Struktur Beton</t>
        </is>
      </c>
      <c r="N65" t="inlineStr">
        <is>
          <t>Spesialis</t>
        </is>
      </c>
      <c r="O65" t="inlineStr">
        <is>
          <t>20230929</t>
        </is>
      </c>
      <c r="P65" t="inlineStr">
        <is>
          <t>Riau</t>
        </is>
      </c>
      <c r="Q65" t="inlineStr"/>
    </row>
    <row r="66">
      <c r="A66" t="inlineStr">
        <is>
          <t>BUKIT RAYA LESTARI</t>
        </is>
      </c>
      <c r="B66" t="inlineStr">
        <is>
          <t>Kota Samarinda</t>
        </is>
      </c>
      <c r="C66" t="inlineStr">
        <is>
          <t>082153977141</t>
        </is>
      </c>
      <c r="D66" t="inlineStr">
        <is>
          <t>bukitrayalestaricv@gmail.com</t>
        </is>
      </c>
      <c r="E66" t="inlineStr">
        <is>
          <t>https://lpjk.pu.go.id/search-badan-usaha-detail/VHdHTUxuek0yU2RYcFg2aG1NVTF0UT09</t>
        </is>
      </c>
      <c r="F66" t="n">
        <v>1</v>
      </c>
      <c r="G66" t="inlineStr">
        <is>
          <t>BS004</t>
        </is>
      </c>
      <c r="H66" t="inlineStr">
        <is>
          <t>18 November 2019</t>
        </is>
      </c>
      <c r="I66" s="2" t="n">
        <v>46293</v>
      </c>
      <c r="J66" t="inlineStr">
        <is>
          <t>Disetujui</t>
        </is>
      </c>
      <c r="K66" t="n">
        <v>90</v>
      </c>
      <c r="L66" t="inlineStr">
        <is>
          <t>28 September 2026</t>
        </is>
      </c>
      <c r="M66" t="inlineStr">
        <is>
          <t>Konstruksi Jaringan Irigasi dan Drainase</t>
        </is>
      </c>
      <c r="N66" t="inlineStr">
        <is>
          <t>K</t>
        </is>
      </c>
      <c r="O66" t="inlineStr">
        <is>
          <t>20230926</t>
        </is>
      </c>
      <c r="P66" t="inlineStr">
        <is>
          <t>Kalimantan Timur</t>
        </is>
      </c>
      <c r="Q66" t="inlineStr"/>
    </row>
    <row r="67">
      <c r="A67" t="inlineStr">
        <is>
          <t>BUMI DAMAI PERKASA</t>
        </is>
      </c>
      <c r="B67" t="inlineStr">
        <is>
          <t>Kota Adm. Jakarta Utara</t>
        </is>
      </c>
      <c r="C67" t="inlineStr">
        <is>
          <t>08128197970</t>
        </is>
      </c>
      <c r="D67" t="inlineStr">
        <is>
          <t>ptbumidamaiperkasa@gmail.com</t>
        </is>
      </c>
      <c r="E67" t="inlineStr">
        <is>
          <t>https://lpjk.pu.go.id/search-badan-usaha-detail/cUQvNmJSeGlzNGQ1R25lTlRaNnBldz09</t>
        </is>
      </c>
      <c r="F67" t="n">
        <v>1</v>
      </c>
      <c r="G67" t="inlineStr">
        <is>
          <t>BG009</t>
        </is>
      </c>
      <c r="H67" t="inlineStr">
        <is>
          <t>3 April 2023</t>
        </is>
      </c>
      <c r="I67" s="2" t="n">
        <v>46293</v>
      </c>
      <c r="J67" t="inlineStr">
        <is>
          <t>Disetujui</t>
        </is>
      </c>
      <c r="K67" t="n">
        <v>90</v>
      </c>
      <c r="L67" t="inlineStr">
        <is>
          <t>28 September 2026</t>
        </is>
      </c>
      <c r="M67" t="inlineStr">
        <is>
          <t>Konstruksi Gedung Lainnya</t>
        </is>
      </c>
      <c r="N67" t="inlineStr">
        <is>
          <t>K</t>
        </is>
      </c>
      <c r="O67" t="inlineStr">
        <is>
          <t>20230921</t>
        </is>
      </c>
      <c r="P67" t="inlineStr">
        <is>
          <t>DKI Jakarta</t>
        </is>
      </c>
      <c r="Q67" t="inlineStr"/>
    </row>
    <row r="68">
      <c r="A68" t="inlineStr">
        <is>
          <t>BUMI MAKMUR</t>
        </is>
      </c>
      <c r="B68" t="inlineStr">
        <is>
          <t>Kota Banda Aceh</t>
        </is>
      </c>
      <c r="C68" t="inlineStr">
        <is>
          <t>081375304672</t>
        </is>
      </c>
      <c r="D68" t="inlineStr">
        <is>
          <t>cv.bumimakmur19@gmail.com</t>
        </is>
      </c>
      <c r="E68" t="inlineStr">
        <is>
          <t>https://lpjk.pu.go.id/search-badan-usaha-detail/VGwvL0NBYUJjeFlRUG5ZNnVhcEFuUT09</t>
        </is>
      </c>
      <c r="F68" t="n">
        <v>2</v>
      </c>
      <c r="G68" t="inlineStr">
        <is>
          <t>BS001, BS004</t>
        </is>
      </c>
      <c r="H68" t="inlineStr">
        <is>
          <t>4 Mei 2017</t>
        </is>
      </c>
      <c r="I68" s="2" t="n">
        <v>46293</v>
      </c>
      <c r="J68" t="inlineStr">
        <is>
          <t>Disetujui</t>
        </is>
      </c>
      <c r="K68" t="n">
        <v>90</v>
      </c>
      <c r="L68" t="inlineStr">
        <is>
          <t>28 September 2026</t>
        </is>
      </c>
      <c r="M68" t="inlineStr">
        <is>
          <t>Konstruksi Bangunan Sipil Jalan, Konstruksi Jaringan Irigasi dan Drainase</t>
        </is>
      </c>
      <c r="N68" t="inlineStr">
        <is>
          <t>K</t>
        </is>
      </c>
      <c r="O68" t="inlineStr">
        <is>
          <t>20230905, 20230925</t>
        </is>
      </c>
      <c r="P68" t="inlineStr">
        <is>
          <t>Aceh</t>
        </is>
      </c>
      <c r="Q68" t="inlineStr"/>
    </row>
    <row r="69">
      <c r="A69" t="inlineStr">
        <is>
          <t>BUNGA MUTIARA</t>
        </is>
      </c>
      <c r="B69" t="inlineStr">
        <is>
          <t>Kota Bandar Lampung</t>
        </is>
      </c>
      <c r="C69" t="inlineStr">
        <is>
          <t>081379831041</t>
        </is>
      </c>
      <c r="D69" t="inlineStr">
        <is>
          <t>bungamutiaracv@yahoo.com</t>
        </is>
      </c>
      <c r="E69" t="inlineStr">
        <is>
          <t>https://lpjk.pu.go.id/search-badan-usaha-detail/V1hHNDFBdzRjTVl3VG14em1PNzdhQT09</t>
        </is>
      </c>
      <c r="F69" t="n">
        <v>2</v>
      </c>
      <c r="G69" t="inlineStr">
        <is>
          <t>BS001, BS002</t>
        </is>
      </c>
      <c r="H69" t="inlineStr">
        <is>
          <t>11 Maret 2020</t>
        </is>
      </c>
      <c r="I69" s="2" t="n">
        <v>46293</v>
      </c>
      <c r="J69" t="inlineStr">
        <is>
          <t>Disetujui</t>
        </is>
      </c>
      <c r="K69" t="n">
        <v>90</v>
      </c>
      <c r="L69" t="inlineStr">
        <is>
          <t>28 September 2026</t>
        </is>
      </c>
      <c r="M69" t="inlineStr">
        <is>
          <t>Bangunan Sipil Jembatan, Jalan Layang, Fly Over, dan Underpass, Konstruksi Bangunan Sipil Jalan</t>
        </is>
      </c>
      <c r="N69" t="inlineStr">
        <is>
          <t>K</t>
        </is>
      </c>
      <c r="O69" t="inlineStr">
        <is>
          <t>20230921, 20230929</t>
        </is>
      </c>
      <c r="P69" t="inlineStr">
        <is>
          <t>Lampung</t>
        </is>
      </c>
      <c r="Q69" t="inlineStr"/>
    </row>
    <row r="70">
      <c r="A70" t="inlineStr">
        <is>
          <t>CAHAYA AGUNG DIRGAYASA</t>
        </is>
      </c>
      <c r="B70" t="inlineStr">
        <is>
          <t>Kab. Tangerang</t>
        </is>
      </c>
      <c r="C70" t="inlineStr">
        <is>
          <t>021593713337</t>
        </is>
      </c>
      <c r="D70" t="inlineStr">
        <is>
          <t>cad@cahayaagung.co.id</t>
        </is>
      </c>
      <c r="E70" t="inlineStr">
        <is>
          <t>https://lpjk.pu.go.id/search-badan-usaha-detail/THg4ZGw2TlI3aWo5dEdyRjBYTkNuQT09</t>
        </is>
      </c>
      <c r="F70" t="n">
        <v>1</v>
      </c>
      <c r="G70" t="inlineStr">
        <is>
          <t>BS005</t>
        </is>
      </c>
      <c r="H70" t="inlineStr">
        <is>
          <t>21 November 2009</t>
        </is>
      </c>
      <c r="I70" s="2" t="n">
        <v>46293</v>
      </c>
      <c r="J70" t="inlineStr">
        <is>
          <t>Disetujui</t>
        </is>
      </c>
      <c r="K70" t="n">
        <v>90</v>
      </c>
      <c r="L70" t="inlineStr">
        <is>
          <t>28 September 2026</t>
        </is>
      </c>
      <c r="M70" t="inlineStr">
        <is>
          <t>Konstruksi Bangunan Sipil Pengolahan Air Bersih</t>
        </is>
      </c>
      <c r="N70" t="inlineStr">
        <is>
          <t>K</t>
        </is>
      </c>
      <c r="O70" t="inlineStr">
        <is>
          <t>20230922</t>
        </is>
      </c>
      <c r="P70" t="inlineStr">
        <is>
          <t>Banten</t>
        </is>
      </c>
      <c r="Q70" t="inlineStr"/>
    </row>
    <row r="71">
      <c r="A71" t="inlineStr">
        <is>
          <t>CAHAYA ALAM JAYA MAKMUR</t>
        </is>
      </c>
      <c r="B71" t="inlineStr">
        <is>
          <t>Kota Bandar Lampung</t>
        </is>
      </c>
      <c r="C71" t="inlineStr">
        <is>
          <t>081369168686</t>
        </is>
      </c>
      <c r="D71" t="inlineStr">
        <is>
          <t>cvcahayaalamjayamakmur@gmail.com</t>
        </is>
      </c>
      <c r="E71" t="inlineStr">
        <is>
          <t>https://lpjk.pu.go.id/search-badan-usaha-detail/RGcxa3JyUGpVaGZmcmwrUDIyT3Jrdz09</t>
        </is>
      </c>
      <c r="F71" t="n">
        <v>1</v>
      </c>
      <c r="G71" t="inlineStr">
        <is>
          <t>BS001</t>
        </is>
      </c>
      <c r="H71" t="inlineStr">
        <is>
          <t>18 September 2023</t>
        </is>
      </c>
      <c r="I71" s="2" t="n">
        <v>46293</v>
      </c>
      <c r="J71" t="inlineStr">
        <is>
          <t>Disetujui</t>
        </is>
      </c>
      <c r="K71" t="n">
        <v>90</v>
      </c>
      <c r="L71" t="inlineStr">
        <is>
          <t>28 September 2026</t>
        </is>
      </c>
      <c r="M71" t="inlineStr">
        <is>
          <t>Konstruksi Bangunan Sipil Jalan</t>
        </is>
      </c>
      <c r="N71" t="inlineStr">
        <is>
          <t>K</t>
        </is>
      </c>
      <c r="O71" t="inlineStr">
        <is>
          <t>20230927</t>
        </is>
      </c>
      <c r="P71" t="inlineStr">
        <is>
          <t>Lampung</t>
        </is>
      </c>
      <c r="Q71" t="inlineStr"/>
    </row>
    <row r="72">
      <c r="A72" t="inlineStr">
        <is>
          <t>CAHAYA BIMANTARA</t>
        </is>
      </c>
      <c r="B72" t="inlineStr">
        <is>
          <t>Kota Semarang</t>
        </is>
      </c>
      <c r="C72" t="inlineStr">
        <is>
          <t>085642709700</t>
        </is>
      </c>
      <c r="D72" t="inlineStr">
        <is>
          <t>cahayabimantara18@gmail.com</t>
        </is>
      </c>
      <c r="E72" t="inlineStr">
        <is>
          <t>https://lpjk.pu.go.id/search-badan-usaha-detail/dm40M1FLTjcvUHVXYnp4YTlhNTdXQT09</t>
        </is>
      </c>
      <c r="F72" t="n">
        <v>2</v>
      </c>
      <c r="G72" t="inlineStr">
        <is>
          <t>BG006, BG009</t>
        </is>
      </c>
      <c r="H72" t="inlineStr">
        <is>
          <t>6 Maret 2017</t>
        </is>
      </c>
      <c r="I72" s="2" t="n">
        <v>46293</v>
      </c>
      <c r="J72" t="inlineStr">
        <is>
          <t>Disetujui</t>
        </is>
      </c>
      <c r="K72" t="n">
        <v>90</v>
      </c>
      <c r="L72" t="inlineStr">
        <is>
          <t>28 September 2026</t>
        </is>
      </c>
      <c r="M72" t="inlineStr">
        <is>
          <t>Konstruksi Gedung Lainnya, Konstruksi Gedung Pendidikan</t>
        </is>
      </c>
      <c r="N72" t="inlineStr">
        <is>
          <t>K</t>
        </is>
      </c>
      <c r="O72" t="inlineStr">
        <is>
          <t>20230922</t>
        </is>
      </c>
      <c r="P72" t="inlineStr">
        <is>
          <t>Jawa Tengah</t>
        </is>
      </c>
      <c r="Q72" t="inlineStr"/>
    </row>
    <row r="73">
      <c r="A73" t="inlineStr">
        <is>
          <t>CAHAYA MANDIRI SAKTI</t>
        </is>
      </c>
      <c r="B73" t="inlineStr">
        <is>
          <t>Kab. Gresik</t>
        </is>
      </c>
      <c r="C73" t="inlineStr">
        <is>
          <t>082234058883</t>
        </is>
      </c>
      <c r="D73" t="inlineStr">
        <is>
          <t>cahayamandirisakti.cv@gmail.com</t>
        </is>
      </c>
      <c r="E73" t="inlineStr">
        <is>
          <t>https://lpjk.pu.go.id/search-badan-usaha-detail/d1BnYktxU1FpVjZ5NXBpVXM2R3U5dz09</t>
        </is>
      </c>
      <c r="F73" t="n">
        <v>1</v>
      </c>
      <c r="G73" t="inlineStr">
        <is>
          <t>BS005</t>
        </is>
      </c>
      <c r="H73" t="inlineStr">
        <is>
          <t>5 November 2018</t>
        </is>
      </c>
      <c r="I73" s="2" t="n">
        <v>46293</v>
      </c>
      <c r="J73" t="inlineStr">
        <is>
          <t>Pencabutan</t>
        </is>
      </c>
      <c r="K73" t="n">
        <v>90</v>
      </c>
      <c r="L73" t="inlineStr">
        <is>
          <t>28 September 2026</t>
        </is>
      </c>
      <c r="M73" t="inlineStr">
        <is>
          <t>Konstruksi Bangunan Sipil Pengolahan Air Bersih</t>
        </is>
      </c>
      <c r="N73" t="inlineStr">
        <is>
          <t>K</t>
        </is>
      </c>
      <c r="O73" t="inlineStr">
        <is>
          <t>20230922</t>
        </is>
      </c>
      <c r="P73" t="inlineStr">
        <is>
          <t>Jawa Timur</t>
        </is>
      </c>
      <c r="Q73" t="inlineStr"/>
    </row>
    <row r="74">
      <c r="A74" t="inlineStr">
        <is>
          <t>CENTRAL PATEN INSTALASINDO</t>
        </is>
      </c>
      <c r="B74" t="inlineStr">
        <is>
          <t>Kota Lhokseumawe</t>
        </is>
      </c>
      <c r="C74" t="inlineStr">
        <is>
          <t>085277222223</t>
        </is>
      </c>
      <c r="D74" t="inlineStr">
        <is>
          <t>centralpaten.pt@gmail.com</t>
        </is>
      </c>
      <c r="E74" t="inlineStr">
        <is>
          <t>https://lpjk.pu.go.id/search-badan-usaha-detail/WXRYa0E5clhPemozbGs1cGVLSkVtZz09</t>
        </is>
      </c>
      <c r="F74" t="n">
        <v>4</v>
      </c>
      <c r="G74" t="inlineStr">
        <is>
          <t>BG001, BG002</t>
        </is>
      </c>
      <c r="H74" t="inlineStr">
        <is>
          <t>9 September 2009</t>
        </is>
      </c>
      <c r="I74" s="2" t="n">
        <v>46293</v>
      </c>
      <c r="J74" t="inlineStr">
        <is>
          <t>Disetujui</t>
        </is>
      </c>
      <c r="K74" t="n">
        <v>90</v>
      </c>
      <c r="L74" t="inlineStr">
        <is>
          <t>28 September 2026</t>
        </is>
      </c>
      <c r="M74" t="inlineStr">
        <is>
          <t>Konstruksi Gedung Hunian, Konstruksi Gedung Perkantoran</t>
        </is>
      </c>
      <c r="N74" t="inlineStr">
        <is>
          <t>K</t>
        </is>
      </c>
      <c r="O74" t="inlineStr">
        <is>
          <t>20230925</t>
        </is>
      </c>
      <c r="P74" t="inlineStr">
        <is>
          <t>Aceh</t>
        </is>
      </c>
      <c r="Q74" t="inlineStr"/>
    </row>
    <row r="75">
      <c r="A75" t="inlineStr">
        <is>
          <t>CILANGKAP PUTRA SEJATI</t>
        </is>
      </c>
      <c r="B75" t="inlineStr">
        <is>
          <t>Kab. Purwakarta</t>
        </is>
      </c>
      <c r="C75" t="inlineStr">
        <is>
          <t>02648315155</t>
        </is>
      </c>
      <c r="D75" t="inlineStr">
        <is>
          <t>pt.cilangkapputrasejati@yahoo.com</t>
        </is>
      </c>
      <c r="E75" t="inlineStr">
        <is>
          <t>https://lpjk.pu.go.id/search-badan-usaha-detail/b3ZEQnA1My9CTXhEdlNVWFlQZGRMZz09</t>
        </is>
      </c>
      <c r="F75" t="n">
        <v>6</v>
      </c>
      <c r="G75" t="inlineStr">
        <is>
          <t>BG001, BG002, BG009, BS001, BS002, BS004</t>
        </is>
      </c>
      <c r="H75" t="inlineStr">
        <is>
          <t>31 Agustus 2017</t>
        </is>
      </c>
      <c r="I75" s="2" t="n">
        <v>46293</v>
      </c>
      <c r="J75" t="inlineStr">
        <is>
          <t>Disetujui</t>
        </is>
      </c>
      <c r="K75" t="n">
        <v>90</v>
      </c>
      <c r="L75" t="inlineStr">
        <is>
          <t>28 September 2026</t>
        </is>
      </c>
      <c r="M75" t="inlineStr">
        <is>
          <t>Bangunan Sipil Jembatan, Jalan Layang, Fly Over, dan Underpass, Konstruksi Bangunan Sipil Jalan, Konstruksi Gedung Hunian, Konstruksi Gedung Lainnya, Konstruksi Gedung Perkantoran, Konstruksi Jaringan Irigasi dan Drainase</t>
        </is>
      </c>
      <c r="N75" t="inlineStr">
        <is>
          <t>K</t>
        </is>
      </c>
      <c r="O75" t="inlineStr">
        <is>
          <t>20230921, 20230922</t>
        </is>
      </c>
      <c r="P75" t="inlineStr">
        <is>
          <t>Jawa Barat</t>
        </is>
      </c>
      <c r="Q75" t="inlineStr"/>
    </row>
    <row r="76">
      <c r="A76" t="inlineStr">
        <is>
          <t>CIPTA GRAHA MANDIRI KONSULTAN</t>
        </is>
      </c>
      <c r="B76" t="inlineStr">
        <is>
          <t>Kab. Jember</t>
        </is>
      </c>
      <c r="C76" t="inlineStr">
        <is>
          <t>081234128587</t>
        </is>
      </c>
      <c r="D76" t="inlineStr">
        <is>
          <t>ciptagrahamandirikonsultan@gmail.com</t>
        </is>
      </c>
      <c r="E76" t="inlineStr">
        <is>
          <t>https://lpjk.pu.go.id/search-badan-usaha-detail/RE1mN1g1VDNObnZ2cGE3K3h3Tmh0QT09</t>
        </is>
      </c>
      <c r="F76" t="n">
        <v>2</v>
      </c>
      <c r="G76" t="inlineStr">
        <is>
          <t>AR003</t>
        </is>
      </c>
      <c r="H76" t="inlineStr">
        <is>
          <t>3 November 2008</t>
        </is>
      </c>
      <c r="I76" s="2" t="n">
        <v>46293</v>
      </c>
      <c r="J76" t="inlineStr">
        <is>
          <t>Disetujui</t>
        </is>
      </c>
      <c r="K76" t="n">
        <v>90</v>
      </c>
      <c r="L76" t="inlineStr">
        <is>
          <t>28 September 2026</t>
        </is>
      </c>
      <c r="M76" t="inlineStr">
        <is>
          <t>Jasa Desain Interior pada Bangunan Gedung dan Bangunan Sipil</t>
        </is>
      </c>
      <c r="N76" t="inlineStr">
        <is>
          <t>K</t>
        </is>
      </c>
      <c r="O76" t="inlineStr">
        <is>
          <t>20230915</t>
        </is>
      </c>
      <c r="P76" t="inlineStr">
        <is>
          <t>Jawa Timur</t>
        </is>
      </c>
      <c r="Q76" t="inlineStr"/>
    </row>
    <row r="77">
      <c r="A77" t="inlineStr">
        <is>
          <t>CIPTA JAYA SEMPURNA</t>
        </is>
      </c>
      <c r="B77" t="inlineStr">
        <is>
          <t>Kota Medan</t>
        </is>
      </c>
      <c r="C77" t="inlineStr">
        <is>
          <t>085297699699</t>
        </is>
      </c>
      <c r="D77" t="inlineStr">
        <is>
          <t>cvciptajayasempurna.cjs@gmail.com</t>
        </is>
      </c>
      <c r="E77" t="inlineStr">
        <is>
          <t>https://lpjk.pu.go.id/search-badan-usaha-detail/WDhBOEVpZnIvVDVzMzFlU24yTEVvZz09</t>
        </is>
      </c>
      <c r="F77" t="n">
        <v>2</v>
      </c>
      <c r="G77" t="inlineStr">
        <is>
          <t>BG005</t>
        </is>
      </c>
      <c r="H77" t="inlineStr">
        <is>
          <t>3 Juni 2022</t>
        </is>
      </c>
      <c r="I77" s="2" t="n">
        <v>46293</v>
      </c>
      <c r="J77" t="inlineStr">
        <is>
          <t>Disetujui</t>
        </is>
      </c>
      <c r="K77" t="n">
        <v>90</v>
      </c>
      <c r="L77" t="inlineStr">
        <is>
          <t>28 September 2026</t>
        </is>
      </c>
      <c r="M77" t="inlineStr">
        <is>
          <t>Konstruksi Gedung Kesehatan</t>
        </is>
      </c>
      <c r="N77" t="inlineStr">
        <is>
          <t>K</t>
        </is>
      </c>
      <c r="O77" t="inlineStr">
        <is>
          <t>20230929</t>
        </is>
      </c>
      <c r="P77" t="inlineStr">
        <is>
          <t>Sumatera Utara</t>
        </is>
      </c>
      <c r="Q77" t="inlineStr"/>
    </row>
    <row r="78">
      <c r="A78" t="inlineStr">
        <is>
          <t>CIPTA PERSADA PESONA</t>
        </is>
      </c>
      <c r="B78" t="inlineStr">
        <is>
          <t>Kab. Sidoarjo</t>
        </is>
      </c>
      <c r="C78" t="inlineStr">
        <is>
          <t>082234722266</t>
        </is>
      </c>
      <c r="D78" t="inlineStr">
        <is>
          <t>pciptapersadapesona@gmail.com</t>
        </is>
      </c>
      <c r="E78" t="inlineStr">
        <is>
          <t>https://lpjk.pu.go.id/search-badan-usaha-detail/aGRhUWpmejZpMmVFOWJlVVJTNjNzQT09</t>
        </is>
      </c>
      <c r="F78" t="n">
        <v>4</v>
      </c>
      <c r="G78" t="inlineStr">
        <is>
          <t>BG003, BG009</t>
        </is>
      </c>
      <c r="H78" t="inlineStr">
        <is>
          <t>7 Maret 2018</t>
        </is>
      </c>
      <c r="I78" s="2" t="n">
        <v>46293</v>
      </c>
      <c r="J78" t="inlineStr">
        <is>
          <t>Disetujui</t>
        </is>
      </c>
      <c r="K78" t="n">
        <v>90</v>
      </c>
      <c r="L78" t="inlineStr">
        <is>
          <t>28 September 2026</t>
        </is>
      </c>
      <c r="M78" t="inlineStr">
        <is>
          <t>Konstruksi Gedung Industri, Konstruksi Gedung Lainnya</t>
        </is>
      </c>
      <c r="N78" t="inlineStr">
        <is>
          <t>K</t>
        </is>
      </c>
      <c r="O78" t="inlineStr">
        <is>
          <t>20230925</t>
        </is>
      </c>
      <c r="P78" t="inlineStr">
        <is>
          <t>Jawa Timur</t>
        </is>
      </c>
      <c r="Q78" t="inlineStr"/>
    </row>
    <row r="79">
      <c r="A79" t="inlineStr">
        <is>
          <t>CITRA DAYA PERSADA</t>
        </is>
      </c>
      <c r="B79" t="inlineStr">
        <is>
          <t>Kab. Indramayu</t>
        </is>
      </c>
      <c r="C79" t="inlineStr">
        <is>
          <t>089507280464</t>
        </is>
      </c>
      <c r="D79" t="inlineStr">
        <is>
          <t>citradayapersada@gmail.com</t>
        </is>
      </c>
      <c r="E79" t="inlineStr">
        <is>
          <t>https://lpjk.pu.go.id/search-badan-usaha-detail/dDBJTFJ4bTNySEo2WVcyMk14MFJndz09</t>
        </is>
      </c>
      <c r="F79" t="n">
        <v>4</v>
      </c>
      <c r="G79" t="inlineStr">
        <is>
          <t>BG002, BG005, BG006, BS004</t>
        </is>
      </c>
      <c r="H79" t="inlineStr">
        <is>
          <t>11 September 2023</t>
        </is>
      </c>
      <c r="I79" s="2" t="n">
        <v>46293</v>
      </c>
      <c r="J79" t="inlineStr">
        <is>
          <t>Disetujui</t>
        </is>
      </c>
      <c r="K79" t="n">
        <v>90</v>
      </c>
      <c r="L79" t="inlineStr">
        <is>
          <t>28 September 2026</t>
        </is>
      </c>
      <c r="M79" t="inlineStr">
        <is>
          <t>Konstruksi Gedung Kesehatan, Konstruksi Gedung Pendidikan, Konstruksi Gedung Perkantoran, Konstruksi Jaringan Irigasi dan Drainase</t>
        </is>
      </c>
      <c r="N79" t="inlineStr">
        <is>
          <t>K</t>
        </is>
      </c>
      <c r="O79" t="inlineStr">
        <is>
          <t>20230925</t>
        </is>
      </c>
      <c r="P79" t="inlineStr">
        <is>
          <t>Jawa Barat</t>
        </is>
      </c>
      <c r="Q79" t="inlineStr"/>
    </row>
    <row r="80">
      <c r="A80" t="inlineStr">
        <is>
          <t>DANIAL RAKHIS KONTRAKTOR</t>
        </is>
      </c>
      <c r="B80" t="inlineStr">
        <is>
          <t>Kab. Purwakarta</t>
        </is>
      </c>
      <c r="C80" t="inlineStr">
        <is>
          <t>0</t>
        </is>
      </c>
      <c r="D80" t="inlineStr">
        <is>
          <t>danialrakhis.akbar@gmail.com</t>
        </is>
      </c>
      <c r="E80" t="inlineStr">
        <is>
          <t>https://lpjk.pu.go.id/search-badan-usaha-detail/V0JITzI5NVBqcVVRWFVwREVacHJVdz09</t>
        </is>
      </c>
      <c r="F80" t="n">
        <v>3</v>
      </c>
      <c r="G80" t="inlineStr">
        <is>
          <t>BG005, BS001, BS004</t>
        </is>
      </c>
      <c r="H80" t="inlineStr">
        <is>
          <t>7 Oktober 2020</t>
        </is>
      </c>
      <c r="I80" s="2" t="n">
        <v>46293</v>
      </c>
      <c r="J80" t="inlineStr">
        <is>
          <t>Disetujui</t>
        </is>
      </c>
      <c r="K80" t="n">
        <v>90</v>
      </c>
      <c r="L80" t="inlineStr">
        <is>
          <t>28 September 2026</t>
        </is>
      </c>
      <c r="M80" t="inlineStr">
        <is>
          <t>Konstruksi Bangunan Sipil Jalan, Konstruksi Gedung Kesehatan, Konstruksi Jaringan Irigasi dan Drainase</t>
        </is>
      </c>
      <c r="N80" t="inlineStr">
        <is>
          <t>K</t>
        </is>
      </c>
      <c r="O80" t="inlineStr">
        <is>
          <t>20230929</t>
        </is>
      </c>
      <c r="P80" t="inlineStr">
        <is>
          <t>Jawa Barat</t>
        </is>
      </c>
      <c r="Q80" t="inlineStr"/>
    </row>
    <row r="81">
      <c r="A81" t="inlineStr">
        <is>
          <t>DARMA RAYA KONSTRUKSI</t>
        </is>
      </c>
      <c r="B81" t="inlineStr">
        <is>
          <t>Kab. Jember</t>
        </is>
      </c>
      <c r="C81" t="inlineStr">
        <is>
          <t>08174107000</t>
        </is>
      </c>
      <c r="D81" t="inlineStr">
        <is>
          <t>wkencagie@gmail.com</t>
        </is>
      </c>
      <c r="E81" t="inlineStr">
        <is>
          <t>https://lpjk.pu.go.id/search-badan-usaha-detail/ZGFFVHB4c1BEdzh5Um5VVkErZkk3QT09</t>
        </is>
      </c>
      <c r="F81" t="n">
        <v>4</v>
      </c>
      <c r="G81" t="inlineStr">
        <is>
          <t>BG009</t>
        </is>
      </c>
      <c r="H81" t="inlineStr">
        <is>
          <t>22 Maret 2017</t>
        </is>
      </c>
      <c r="I81" s="2" t="n">
        <v>46293</v>
      </c>
      <c r="J81" t="inlineStr">
        <is>
          <t>Disetujui</t>
        </is>
      </c>
      <c r="K81" t="n">
        <v>90</v>
      </c>
      <c r="L81" t="inlineStr">
        <is>
          <t>28 September 2026</t>
        </is>
      </c>
      <c r="M81" t="inlineStr">
        <is>
          <t>Konstruksi Gedung Lainnya</t>
        </is>
      </c>
      <c r="N81" t="inlineStr">
        <is>
          <t>K</t>
        </is>
      </c>
      <c r="O81" t="inlineStr">
        <is>
          <t>20230925</t>
        </is>
      </c>
      <c r="P81" t="inlineStr">
        <is>
          <t>Jawa Timur</t>
        </is>
      </c>
      <c r="Q81" t="inlineStr"/>
    </row>
    <row r="82">
      <c r="A82" t="inlineStr">
        <is>
          <t>DENDY KURNIA</t>
        </is>
      </c>
      <c r="B82" t="inlineStr">
        <is>
          <t>Kab. Bengkalis</t>
        </is>
      </c>
      <c r="C82" t="inlineStr">
        <is>
          <t>082392129331</t>
        </is>
      </c>
      <c r="D82" t="inlineStr">
        <is>
          <t>cvdendyk@gmail.com</t>
        </is>
      </c>
      <c r="E82" t="inlineStr">
        <is>
          <t>https://lpjk.pu.go.id/search-badan-usaha-detail/LzlCamZwRUViU3VjeUp1bG1ibWNjQT09</t>
        </is>
      </c>
      <c r="F82" t="n">
        <v>2</v>
      </c>
      <c r="G82" t="inlineStr">
        <is>
          <t>BG001, BG002</t>
        </is>
      </c>
      <c r="H82" t="inlineStr">
        <is>
          <t>31 Maret 2000</t>
        </is>
      </c>
      <c r="I82" s="2" t="n">
        <v>46293</v>
      </c>
      <c r="J82" t="inlineStr">
        <is>
          <t>Disetujui</t>
        </is>
      </c>
      <c r="K82" t="n">
        <v>90</v>
      </c>
      <c r="L82" t="inlineStr">
        <is>
          <t>28 September 2026</t>
        </is>
      </c>
      <c r="M82" t="inlineStr">
        <is>
          <t>Konstruksi Gedung Hunian, Konstruksi Gedung Perkantoran</t>
        </is>
      </c>
      <c r="N82" t="inlineStr">
        <is>
          <t>K</t>
        </is>
      </c>
      <c r="O82" t="inlineStr">
        <is>
          <t>20230928, 20230929</t>
        </is>
      </c>
      <c r="P82" t="inlineStr">
        <is>
          <t>Riau</t>
        </is>
      </c>
      <c r="Q82" t="inlineStr"/>
    </row>
    <row r="83">
      <c r="A83" t="inlineStr">
        <is>
          <t>DEWATA MANDIRI SEJAHTERA</t>
        </is>
      </c>
      <c r="B83" t="inlineStr">
        <is>
          <t>Kab. Badung</t>
        </is>
      </c>
      <c r="C83" t="inlineStr">
        <is>
          <t>081805325425</t>
        </is>
      </c>
      <c r="D83" t="inlineStr">
        <is>
          <t>dewatamandirisejahtera@hotmail.com</t>
        </is>
      </c>
      <c r="E83" t="inlineStr">
        <is>
          <t>https://lpjk.pu.go.id/search-badan-usaha-detail/ZUNGVGprZnFqb2M0WE15ZnlQUFhJZz09</t>
        </is>
      </c>
      <c r="F83" t="n">
        <v>2</v>
      </c>
      <c r="G83" t="inlineStr">
        <is>
          <t>BG009</t>
        </is>
      </c>
      <c r="H83" t="inlineStr">
        <is>
          <t>1 Mei 2023</t>
        </is>
      </c>
      <c r="I83" s="2" t="n">
        <v>46293</v>
      </c>
      <c r="J83" t="inlineStr">
        <is>
          <t>Disetujui</t>
        </is>
      </c>
      <c r="K83" t="n">
        <v>90</v>
      </c>
      <c r="L83" t="inlineStr">
        <is>
          <t>28 September 2026</t>
        </is>
      </c>
      <c r="M83" t="inlineStr">
        <is>
          <t>Konstruksi Gedung Lainnya</t>
        </is>
      </c>
      <c r="N83" t="inlineStr">
        <is>
          <t>K</t>
        </is>
      </c>
      <c r="O83" t="inlineStr">
        <is>
          <t>20230926</t>
        </is>
      </c>
      <c r="P83" t="inlineStr">
        <is>
          <t>Bali</t>
        </is>
      </c>
      <c r="Q83" t="inlineStr"/>
    </row>
    <row r="84">
      <c r="A84" t="inlineStr">
        <is>
          <t>DINAMIKA DESAIN</t>
        </is>
      </c>
      <c r="B84" t="inlineStr">
        <is>
          <t>Kab. Tabanan</t>
        </is>
      </c>
      <c r="C84" t="inlineStr">
        <is>
          <t>087861762086</t>
        </is>
      </c>
      <c r="D84" t="inlineStr">
        <is>
          <t>cv.dinamika.desain@gmail.com</t>
        </is>
      </c>
      <c r="E84" t="inlineStr">
        <is>
          <t>https://lpjk.pu.go.id/search-badan-usaha-detail/YVlZZ01sN2tkWmdOeURNU2JqY1M2dz09</t>
        </is>
      </c>
      <c r="F84" t="n">
        <v>3</v>
      </c>
      <c r="G84" t="inlineStr">
        <is>
          <t>RK001</t>
        </is>
      </c>
      <c r="H84" t="inlineStr">
        <is>
          <t>9 April 2017</t>
        </is>
      </c>
      <c r="I84" s="2" t="n">
        <v>46293</v>
      </c>
      <c r="J84" t="inlineStr">
        <is>
          <t>Disetujui</t>
        </is>
      </c>
      <c r="K84" t="n">
        <v>90</v>
      </c>
      <c r="L84" t="inlineStr">
        <is>
          <t>28 September 2026</t>
        </is>
      </c>
      <c r="M84" t="inlineStr">
        <is>
          <t>Jasa Rekayasa Konstruksi Bangunan Gedung Hunian dan Non Hunian</t>
        </is>
      </c>
      <c r="N84" t="inlineStr">
        <is>
          <t>K</t>
        </is>
      </c>
      <c r="O84" t="inlineStr">
        <is>
          <t>20230919</t>
        </is>
      </c>
      <c r="P84" t="inlineStr">
        <is>
          <t>Bali</t>
        </is>
      </c>
      <c r="Q84" t="inlineStr"/>
    </row>
    <row r="85">
      <c r="A85" t="inlineStr">
        <is>
          <t>DINAMIKAPRAKARSA MUKTI</t>
        </is>
      </c>
      <c r="B85" t="inlineStr">
        <is>
          <t>Kota Tangerang</t>
        </is>
      </c>
      <c r="C85" t="inlineStr">
        <is>
          <t>081295747043</t>
        </is>
      </c>
      <c r="D85" t="inlineStr">
        <is>
          <t>dpminterdesign@gmail.com</t>
        </is>
      </c>
      <c r="E85" t="inlineStr">
        <is>
          <t>https://lpjk.pu.go.id/search-badan-usaha-detail/YTZGdHBweG9ySmYwalVDNmtRSS9OQT09</t>
        </is>
      </c>
      <c r="F85" t="n">
        <v>3</v>
      </c>
      <c r="G85" t="inlineStr">
        <is>
          <t>PB001</t>
        </is>
      </c>
      <c r="H85" t="inlineStr">
        <is>
          <t>15 Februari 1993</t>
        </is>
      </c>
      <c r="I85" s="2" t="n">
        <v>46293</v>
      </c>
      <c r="J85" t="inlineStr">
        <is>
          <t>Disetujui</t>
        </is>
      </c>
      <c r="K85" t="n">
        <v>90</v>
      </c>
      <c r="L85" t="inlineStr">
        <is>
          <t>28 September 2026</t>
        </is>
      </c>
      <c r="M85" t="inlineStr">
        <is>
          <t>Pengerjaan Pemasangan Kaca dan Alumunium</t>
        </is>
      </c>
      <c r="N85" t="inlineStr">
        <is>
          <t>Spesialis</t>
        </is>
      </c>
      <c r="O85" t="inlineStr">
        <is>
          <t>20230907</t>
        </is>
      </c>
      <c r="P85" t="inlineStr">
        <is>
          <t>Banten</t>
        </is>
      </c>
      <c r="Q85" t="inlineStr"/>
    </row>
    <row r="86">
      <c r="A86" t="inlineStr">
        <is>
          <t>DINASTI JAYA PAPUA</t>
        </is>
      </c>
      <c r="B86" t="inlineStr">
        <is>
          <t>Kota Sorong</t>
        </is>
      </c>
      <c r="C86" t="inlineStr">
        <is>
          <t>082248081364</t>
        </is>
      </c>
      <c r="D86" t="inlineStr">
        <is>
          <t>dinastijayapapua@yahoo.com</t>
        </is>
      </c>
      <c r="E86" t="inlineStr">
        <is>
          <t>https://lpjk.pu.go.id/search-badan-usaha-detail/ckVSSEpVR0cvR0RZdGhycmE1cFl6QT09</t>
        </is>
      </c>
      <c r="F86" t="n">
        <v>3</v>
      </c>
      <c r="G86" t="inlineStr">
        <is>
          <t>BG002</t>
        </is>
      </c>
      <c r="H86" t="inlineStr">
        <is>
          <t>2 April 2020</t>
        </is>
      </c>
      <c r="I86" s="2" t="n">
        <v>46293</v>
      </c>
      <c r="J86" t="inlineStr">
        <is>
          <t>Disetujui</t>
        </is>
      </c>
      <c r="K86" t="n">
        <v>90</v>
      </c>
      <c r="L86" t="inlineStr">
        <is>
          <t>28 September 2026</t>
        </is>
      </c>
      <c r="M86" t="inlineStr">
        <is>
          <t>Konstruksi Gedung Perkantoran</t>
        </is>
      </c>
      <c r="N86" t="inlineStr">
        <is>
          <t>K</t>
        </is>
      </c>
      <c r="O86" t="inlineStr">
        <is>
          <t>20230924</t>
        </is>
      </c>
      <c r="P86" t="inlineStr">
        <is>
          <t>Papua Barat Daya</t>
        </is>
      </c>
      <c r="Q86" t="inlineStr"/>
    </row>
    <row r="87">
      <c r="A87" t="inlineStr">
        <is>
          <t>DITA KONSULTAN</t>
        </is>
      </c>
      <c r="B87" t="inlineStr">
        <is>
          <t>Kab. Sumbawa</t>
        </is>
      </c>
      <c r="C87" t="inlineStr">
        <is>
          <t>085239557575</t>
        </is>
      </c>
      <c r="D87" t="inlineStr">
        <is>
          <t>cvdita@gmail.com</t>
        </is>
      </c>
      <c r="E87" t="inlineStr">
        <is>
          <t>https://lpjk.pu.go.id/search-badan-usaha-detail/dmgvaE41OWEzZUM1cW5GQWUxMGdBZz09</t>
        </is>
      </c>
      <c r="F87" t="n">
        <v>1</v>
      </c>
      <c r="G87" t="inlineStr">
        <is>
          <t>RK001</t>
        </is>
      </c>
      <c r="H87" t="inlineStr">
        <is>
          <t>21 Agustus 2009</t>
        </is>
      </c>
      <c r="I87" s="2" t="n">
        <v>46293</v>
      </c>
      <c r="J87" t="inlineStr">
        <is>
          <t>Disetujui</t>
        </is>
      </c>
      <c r="K87" t="n">
        <v>90</v>
      </c>
      <c r="L87" t="inlineStr">
        <is>
          <t>28 September 2026</t>
        </is>
      </c>
      <c r="M87" t="inlineStr">
        <is>
          <t>Jasa Rekayasa Konstruksi Bangunan Gedung Hunian dan Non Hunian</t>
        </is>
      </c>
      <c r="N87" t="inlineStr">
        <is>
          <t>K</t>
        </is>
      </c>
      <c r="O87" t="inlineStr">
        <is>
          <t>20230904</t>
        </is>
      </c>
      <c r="P87" t="inlineStr">
        <is>
          <t>Nusa Tenggara Barat</t>
        </is>
      </c>
      <c r="Q87" t="inlineStr"/>
    </row>
    <row r="88">
      <c r="A88" t="inlineStr">
        <is>
          <t>DUTA BANGUN CIPTA</t>
        </is>
      </c>
      <c r="B88" t="inlineStr">
        <is>
          <t>Kota Surabaya</t>
        </is>
      </c>
      <c r="C88" t="inlineStr">
        <is>
          <t>081703458088</t>
        </is>
      </c>
      <c r="D88" t="inlineStr">
        <is>
          <t>dbc.projectsby@gmail.com</t>
        </is>
      </c>
      <c r="E88" t="inlineStr">
        <is>
          <t>https://lpjk.pu.go.id/search-badan-usaha-detail/M1pzZzBVd3R3b0hxaHoxN25MNUFjdz09</t>
        </is>
      </c>
      <c r="F88" t="n">
        <v>1</v>
      </c>
      <c r="G88" t="inlineStr">
        <is>
          <t>BG004</t>
        </is>
      </c>
      <c r="H88" t="inlineStr">
        <is>
          <t>11 Januari 2018</t>
        </is>
      </c>
      <c r="I88" s="2" t="n">
        <v>46293</v>
      </c>
      <c r="J88" t="inlineStr">
        <is>
          <t>Disetujui</t>
        </is>
      </c>
      <c r="K88" t="n">
        <v>90</v>
      </c>
      <c r="L88" t="inlineStr">
        <is>
          <t>28 September 2026</t>
        </is>
      </c>
      <c r="M88" t="inlineStr">
        <is>
          <t>Konstruksi Gedung Perbelanjaan</t>
        </is>
      </c>
      <c r="N88" t="inlineStr">
        <is>
          <t>K</t>
        </is>
      </c>
      <c r="O88" t="inlineStr">
        <is>
          <t>20230929</t>
        </is>
      </c>
      <c r="P88" t="inlineStr">
        <is>
          <t>Jawa Timur</t>
        </is>
      </c>
      <c r="Q88" t="inlineStr"/>
    </row>
    <row r="89">
      <c r="A89" t="inlineStr">
        <is>
          <t>DUTA PERKASA</t>
        </is>
      </c>
      <c r="B89" t="inlineStr">
        <is>
          <t>Kota Ambon</t>
        </is>
      </c>
      <c r="C89" t="inlineStr">
        <is>
          <t>081343264660</t>
        </is>
      </c>
      <c r="D89" t="inlineStr">
        <is>
          <t>cvdutaperkasa53@gmail.com</t>
        </is>
      </c>
      <c r="E89" t="inlineStr">
        <is>
          <t>https://lpjk.pu.go.id/search-badan-usaha-detail/RjdjN1QvTFkraU84SzZVZktjblgzQT09</t>
        </is>
      </c>
      <c r="F89" t="n">
        <v>1</v>
      </c>
      <c r="G89" t="inlineStr">
        <is>
          <t>BS010</t>
        </is>
      </c>
      <c r="H89" t="inlineStr">
        <is>
          <t>6 September 1996</t>
        </is>
      </c>
      <c r="I89" s="2" t="n">
        <v>46293</v>
      </c>
      <c r="J89" t="inlineStr">
        <is>
          <t>Disetujui</t>
        </is>
      </c>
      <c r="K89" t="n">
        <v>90</v>
      </c>
      <c r="L89" t="inlineStr">
        <is>
          <t>28 September 2026</t>
        </is>
      </c>
      <c r="M89" t="inlineStr">
        <is>
          <t>Konstruksi Bangunan Prasarana Sumber Daya Air</t>
        </is>
      </c>
      <c r="N89" t="inlineStr">
        <is>
          <t>K</t>
        </is>
      </c>
      <c r="O89" t="inlineStr">
        <is>
          <t>20230927</t>
        </is>
      </c>
      <c r="P89" t="inlineStr">
        <is>
          <t>Maluku</t>
        </is>
      </c>
      <c r="Q89" t="inlineStr"/>
    </row>
    <row r="90">
      <c r="A90" t="inlineStr">
        <is>
          <t>ELANG TIMUR RAYA</t>
        </is>
      </c>
      <c r="B90" t="inlineStr">
        <is>
          <t>Kab. Tulungagung</t>
        </is>
      </c>
      <c r="C90" t="inlineStr">
        <is>
          <t>08123247769</t>
        </is>
      </c>
      <c r="D90" t="inlineStr">
        <is>
          <t>etr_cv@yahoo.com</t>
        </is>
      </c>
      <c r="E90" t="inlineStr">
        <is>
          <t>https://lpjk.pu.go.id/search-badan-usaha-detail/TGh2cmllOW4rcFNSbVV6eHc1bVFKdz09</t>
        </is>
      </c>
      <c r="F90" t="n">
        <v>2</v>
      </c>
      <c r="G90" t="inlineStr">
        <is>
          <t>BS012</t>
        </is>
      </c>
      <c r="H90" t="inlineStr">
        <is>
          <t>29 April 2002</t>
        </is>
      </c>
      <c r="I90" s="2" t="n">
        <v>46293</v>
      </c>
      <c r="J90" t="inlineStr">
        <is>
          <t>Disetujui</t>
        </is>
      </c>
      <c r="K90" t="n">
        <v>90</v>
      </c>
      <c r="L90" t="inlineStr">
        <is>
          <t>28 September 2026</t>
        </is>
      </c>
      <c r="M90" t="inlineStr">
        <is>
          <t>Konstruksi Bangunan Pelabuhan Perikanan</t>
        </is>
      </c>
      <c r="N90" t="inlineStr">
        <is>
          <t>K</t>
        </is>
      </c>
      <c r="O90" t="inlineStr">
        <is>
          <t>20230927</t>
        </is>
      </c>
      <c r="P90" t="inlineStr">
        <is>
          <t>Jawa Timur</t>
        </is>
      </c>
      <c r="Q90" t="inlineStr"/>
    </row>
    <row r="91">
      <c r="A91" t="inlineStr">
        <is>
          <t>ELRAYA</t>
        </is>
      </c>
      <c r="B91" t="inlineStr">
        <is>
          <t>Kab. Kediri</t>
        </is>
      </c>
      <c r="C91" t="inlineStr">
        <is>
          <t>081231013636</t>
        </is>
      </c>
      <c r="D91" t="inlineStr">
        <is>
          <t>elrayacorp@gmail.com</t>
        </is>
      </c>
      <c r="E91" t="inlineStr">
        <is>
          <t>https://lpjk.pu.go.id/search-badan-usaha-detail/Q01oZjhFM0ltZGF4RmRNWkwrcU84Zz09</t>
        </is>
      </c>
      <c r="F91" t="n">
        <v>4</v>
      </c>
      <c r="G91" t="inlineStr">
        <is>
          <t>BG005, BG006, BG009, BS004</t>
        </is>
      </c>
      <c r="H91" t="inlineStr">
        <is>
          <t>7 April 2016</t>
        </is>
      </c>
      <c r="I91" s="2" t="n">
        <v>46293</v>
      </c>
      <c r="J91" t="inlineStr">
        <is>
          <t>Disetujui</t>
        </is>
      </c>
      <c r="K91" t="n">
        <v>90</v>
      </c>
      <c r="L91" t="inlineStr">
        <is>
          <t>28 September 2026</t>
        </is>
      </c>
      <c r="M91" t="inlineStr">
        <is>
          <t>Konstruksi Gedung Kesehatan, Konstruksi Gedung Lainnya, Konstruksi Gedung Pendidikan, Konstruksi Jaringan Irigasi dan Drainase</t>
        </is>
      </c>
      <c r="N91" t="inlineStr">
        <is>
          <t>K</t>
        </is>
      </c>
      <c r="O91" t="inlineStr">
        <is>
          <t>20230928</t>
        </is>
      </c>
      <c r="P91" t="inlineStr">
        <is>
          <t>Jawa Timur</t>
        </is>
      </c>
      <c r="Q91" t="inlineStr"/>
    </row>
    <row r="92">
      <c r="A92" t="inlineStr">
        <is>
          <t>EMPAT PILAR KONSULTAN</t>
        </is>
      </c>
      <c r="B92" t="inlineStr">
        <is>
          <t>Kab. Lombok Barat</t>
        </is>
      </c>
      <c r="C92" t="inlineStr">
        <is>
          <t>081260779359</t>
        </is>
      </c>
      <c r="D92" t="inlineStr">
        <is>
          <t>empatpilar20@gmail.com</t>
        </is>
      </c>
      <c r="E92" t="inlineStr">
        <is>
          <t>https://lpjk.pu.go.id/search-badan-usaha-detail/ajQ2WVh2NHVCU3RNVEdLenlmdWkvQT09</t>
        </is>
      </c>
      <c r="F92" t="n">
        <v>1</v>
      </c>
      <c r="G92" t="inlineStr">
        <is>
          <t>RK003</t>
        </is>
      </c>
      <c r="H92" t="inlineStr">
        <is>
          <t>10 Juni 2020</t>
        </is>
      </c>
      <c r="I92" s="2" t="n">
        <v>46293</v>
      </c>
      <c r="J92" t="inlineStr">
        <is>
          <t>Disetujui</t>
        </is>
      </c>
      <c r="K92" t="n">
        <v>90</v>
      </c>
      <c r="L92" t="inlineStr">
        <is>
          <t>28 September 2026</t>
        </is>
      </c>
      <c r="M92" t="inlineStr">
        <is>
          <t>Jasa Rekayasa Pekerjaan Teknik Sipil Transportasi</t>
        </is>
      </c>
      <c r="N92" t="inlineStr">
        <is>
          <t>K</t>
        </is>
      </c>
      <c r="O92" t="inlineStr">
        <is>
          <t>20230912</t>
        </is>
      </c>
      <c r="P92" t="inlineStr">
        <is>
          <t>Nusa Tenggara Barat</t>
        </is>
      </c>
      <c r="Q92" t="inlineStr"/>
    </row>
    <row r="93">
      <c r="A93" t="inlineStr">
        <is>
          <t>EMPAT PUTRI</t>
        </is>
      </c>
      <c r="B93" t="inlineStr">
        <is>
          <t>Kab. Sumbawa Barat</t>
        </is>
      </c>
      <c r="C93" t="inlineStr">
        <is>
          <t>081339777073</t>
        </is>
      </c>
      <c r="D93" t="inlineStr">
        <is>
          <t>yusufandi802@gmail.com</t>
        </is>
      </c>
      <c r="E93" t="inlineStr">
        <is>
          <t>https://lpjk.pu.go.id/search-badan-usaha-detail/TVVBVjJJWWlwQ3Zlam9iNmxXNVFvZz09</t>
        </is>
      </c>
      <c r="F93" t="n">
        <v>1</v>
      </c>
      <c r="G93" t="inlineStr">
        <is>
          <t>BG005</t>
        </is>
      </c>
      <c r="H93" t="inlineStr">
        <is>
          <t>16 April 2019</t>
        </is>
      </c>
      <c r="I93" s="2" t="n">
        <v>46293</v>
      </c>
      <c r="J93" t="inlineStr">
        <is>
          <t>Pencabutan</t>
        </is>
      </c>
      <c r="K93" t="n">
        <v>90</v>
      </c>
      <c r="L93" t="inlineStr">
        <is>
          <t>28 September 2026</t>
        </is>
      </c>
      <c r="M93" t="inlineStr">
        <is>
          <t>Konstruksi Gedung Kesehatan</t>
        </is>
      </c>
      <c r="N93" t="inlineStr">
        <is>
          <t>K</t>
        </is>
      </c>
      <c r="O93" t="inlineStr">
        <is>
          <t>20230929</t>
        </is>
      </c>
      <c r="P93" t="inlineStr">
        <is>
          <t>Nusa Tenggara Barat</t>
        </is>
      </c>
      <c r="Q93" t="inlineStr"/>
    </row>
    <row r="94">
      <c r="A94" t="inlineStr">
        <is>
          <t>ENAM PUTRA</t>
        </is>
      </c>
      <c r="B94" t="inlineStr">
        <is>
          <t>Kota Metro</t>
        </is>
      </c>
      <c r="C94" t="inlineStr">
        <is>
          <t>081272001505</t>
        </is>
      </c>
      <c r="D94" t="inlineStr">
        <is>
          <t>enamputracv22@gmail.com</t>
        </is>
      </c>
      <c r="E94" t="inlineStr">
        <is>
          <t>https://lpjk.pu.go.id/search-badan-usaha-detail/bS95TXQ3c3VIK0dQQ29vaWhQSk1pQT09</t>
        </is>
      </c>
      <c r="F94" t="n">
        <v>1</v>
      </c>
      <c r="G94" t="inlineStr">
        <is>
          <t>BG009</t>
        </is>
      </c>
      <c r="H94" t="inlineStr">
        <is>
          <t>24 Januari 1999</t>
        </is>
      </c>
      <c r="I94" s="2" t="n">
        <v>46293</v>
      </c>
      <c r="J94" t="inlineStr">
        <is>
          <t>Disetujui</t>
        </is>
      </c>
      <c r="K94" t="n">
        <v>90</v>
      </c>
      <c r="L94" t="inlineStr">
        <is>
          <t>28 September 2026</t>
        </is>
      </c>
      <c r="M94" t="inlineStr">
        <is>
          <t>Konstruksi Gedung Lainnya</t>
        </is>
      </c>
      <c r="N94" t="inlineStr">
        <is>
          <t>K</t>
        </is>
      </c>
      <c r="O94" t="inlineStr">
        <is>
          <t>20230906</t>
        </is>
      </c>
      <c r="P94" t="inlineStr">
        <is>
          <t>Lampung</t>
        </is>
      </c>
      <c r="Q94" t="inlineStr"/>
    </row>
    <row r="95">
      <c r="A95" t="inlineStr">
        <is>
          <t>ENVIROTEKNO KARYA MANDIRI</t>
        </is>
      </c>
      <c r="B95" t="inlineStr">
        <is>
          <t>Kota Tangerang Selatan</t>
        </is>
      </c>
      <c r="C95" t="inlineStr">
        <is>
          <t>081317116361</t>
        </is>
      </c>
      <c r="D95" t="inlineStr">
        <is>
          <t>envirotekno.ekm@gmail.com</t>
        </is>
      </c>
      <c r="E95" t="inlineStr">
        <is>
          <t>https://lpjk.pu.go.id/search-badan-usaha-detail/cXF3bEtzL0hPMzR5QW5DaHo4Z3VEZz09</t>
        </is>
      </c>
      <c r="F95" t="n">
        <v>1</v>
      </c>
      <c r="G95" t="inlineStr">
        <is>
          <t>BS006</t>
        </is>
      </c>
      <c r="H95" t="inlineStr">
        <is>
          <t>23 Maret 2001</t>
        </is>
      </c>
      <c r="I95" s="2" t="n">
        <v>46293</v>
      </c>
      <c r="J95" t="inlineStr">
        <is>
          <t>Disetujui</t>
        </is>
      </c>
      <c r="K95" t="n">
        <v>90</v>
      </c>
      <c r="L95" t="inlineStr">
        <is>
          <t>28 September 2026</t>
        </is>
      </c>
      <c r="M95" t="inlineStr">
        <is>
          <t>Konstruksi Bangunan Sipil Prasarana dan Sarana Sistem Pengolahan Limbah Padat, Cair, dan Gas</t>
        </is>
      </c>
      <c r="N95" t="inlineStr">
        <is>
          <t>K</t>
        </is>
      </c>
      <c r="O95" t="inlineStr">
        <is>
          <t>20230927</t>
        </is>
      </c>
      <c r="P95" t="inlineStr">
        <is>
          <t>Banten</t>
        </is>
      </c>
      <c r="Q95" t="inlineStr"/>
    </row>
    <row r="96">
      <c r="A96" t="inlineStr">
        <is>
          <t>FAJAR SODIQ BERSINAR</t>
        </is>
      </c>
      <c r="B96" t="inlineStr">
        <is>
          <t>Kota Cilegon</t>
        </is>
      </c>
      <c r="C96" t="inlineStr">
        <is>
          <t>081313191373</t>
        </is>
      </c>
      <c r="D96" t="inlineStr">
        <is>
          <t>fajarsodiqbersinar@gmail.com</t>
        </is>
      </c>
      <c r="E96" t="inlineStr">
        <is>
          <t>https://lpjk.pu.go.id/search-badan-usaha-detail/VHQ3MEtaSjUzZ1pqNVgzVDBacitEQT09</t>
        </is>
      </c>
      <c r="F96" t="n">
        <v>2</v>
      </c>
      <c r="G96" t="inlineStr">
        <is>
          <t>BS001, BS004</t>
        </is>
      </c>
      <c r="H96" t="inlineStr">
        <is>
          <t>23 Januari 2023</t>
        </is>
      </c>
      <c r="I96" s="2" t="n">
        <v>46293</v>
      </c>
      <c r="J96" t="inlineStr">
        <is>
          <t>Disetujui</t>
        </is>
      </c>
      <c r="K96" t="n">
        <v>90</v>
      </c>
      <c r="L96" t="inlineStr">
        <is>
          <t>28 September 2026</t>
        </is>
      </c>
      <c r="M96" t="inlineStr">
        <is>
          <t>Konstruksi Bangunan Sipil Jalan, Konstruksi Jaringan Irigasi dan Drainase</t>
        </is>
      </c>
      <c r="N96" t="inlineStr">
        <is>
          <t>K</t>
        </is>
      </c>
      <c r="O96" t="inlineStr">
        <is>
          <t>20230922</t>
        </is>
      </c>
      <c r="P96" t="inlineStr">
        <is>
          <t>Banten</t>
        </is>
      </c>
      <c r="Q96" t="inlineStr"/>
    </row>
    <row r="97">
      <c r="A97" t="inlineStr">
        <is>
          <t>FAJAR UTAMA</t>
        </is>
      </c>
      <c r="B97" t="inlineStr">
        <is>
          <t>Kab. Biak Numfor</t>
        </is>
      </c>
      <c r="C97" t="inlineStr">
        <is>
          <t>082199523500</t>
        </is>
      </c>
      <c r="D97" t="inlineStr">
        <is>
          <t>fajarutamabiak@gmail.com</t>
        </is>
      </c>
      <c r="E97" t="inlineStr">
        <is>
          <t>https://lpjk.pu.go.id/search-badan-usaha-detail/SXh0M0xKb05WaVZvdGtwNTN5N0ZnZz09</t>
        </is>
      </c>
      <c r="F97" t="n">
        <v>1</v>
      </c>
      <c r="G97" t="inlineStr">
        <is>
          <t>BG001</t>
        </is>
      </c>
      <c r="H97" t="inlineStr">
        <is>
          <t>1 Januari 1989</t>
        </is>
      </c>
      <c r="I97" s="2" t="n">
        <v>46293</v>
      </c>
      <c r="J97" t="inlineStr">
        <is>
          <t>Disetujui</t>
        </is>
      </c>
      <c r="K97" t="n">
        <v>90</v>
      </c>
      <c r="L97" t="inlineStr">
        <is>
          <t>28 September 2026</t>
        </is>
      </c>
      <c r="M97" t="inlineStr">
        <is>
          <t>Konstruksi Gedung Hunian</t>
        </is>
      </c>
      <c r="N97" t="inlineStr">
        <is>
          <t>K</t>
        </is>
      </c>
      <c r="O97" t="inlineStr">
        <is>
          <t>20230927</t>
        </is>
      </c>
      <c r="P97" t="inlineStr">
        <is>
          <t>Papua</t>
        </is>
      </c>
      <c r="Q97" t="inlineStr"/>
    </row>
    <row r="98">
      <c r="A98" t="inlineStr">
        <is>
          <t>GABE JAYA MANDIRI</t>
        </is>
      </c>
      <c r="B98" t="inlineStr">
        <is>
          <t>Kab. Tanah Bumbu</t>
        </is>
      </c>
      <c r="C98" t="inlineStr">
        <is>
          <t>08115130309</t>
        </is>
      </c>
      <c r="D98" t="inlineStr">
        <is>
          <t>gabetanbu@yahoo.co.id</t>
        </is>
      </c>
      <c r="E98" t="inlineStr">
        <is>
          <t>https://lpjk.pu.go.id/search-badan-usaha-detail/U1NZSUlkT2FCbDh4NTh6STFXWWhpdz09</t>
        </is>
      </c>
      <c r="F98" t="n">
        <v>1</v>
      </c>
      <c r="G98" t="inlineStr">
        <is>
          <t>BG001</t>
        </is>
      </c>
      <c r="H98" t="inlineStr">
        <is>
          <t>7 April 2008</t>
        </is>
      </c>
      <c r="I98" s="2" t="n">
        <v>46293</v>
      </c>
      <c r="J98" t="inlineStr">
        <is>
          <t>Disetujui</t>
        </is>
      </c>
      <c r="K98" t="n">
        <v>90</v>
      </c>
      <c r="L98" t="inlineStr">
        <is>
          <t>28 September 2026</t>
        </is>
      </c>
      <c r="M98" t="inlineStr">
        <is>
          <t>Konstruksi Gedung Hunian</t>
        </is>
      </c>
      <c r="N98" t="inlineStr">
        <is>
          <t>K</t>
        </is>
      </c>
      <c r="O98" t="inlineStr">
        <is>
          <t>20230720</t>
        </is>
      </c>
      <c r="P98" t="inlineStr">
        <is>
          <t>Kalimantan Selatan</t>
        </is>
      </c>
      <c r="Q98" t="inlineStr"/>
    </row>
    <row r="99">
      <c r="A99" t="inlineStr">
        <is>
          <t>GAGAS SEJAHTERA MANDIRI</t>
        </is>
      </c>
      <c r="B99" t="inlineStr">
        <is>
          <t>Kota Tangerang</t>
        </is>
      </c>
      <c r="C99" t="inlineStr">
        <is>
          <t>02122270660</t>
        </is>
      </c>
      <c r="D99" t="inlineStr">
        <is>
          <t>pt.gagassejahteramandiri14@gmail.com</t>
        </is>
      </c>
      <c r="E99" t="inlineStr">
        <is>
          <t>https://lpjk.pu.go.id/search-badan-usaha-detail/V0liNkhwK043RkRUODJIQ20wMXludz09</t>
        </is>
      </c>
      <c r="F99" t="n">
        <v>1</v>
      </c>
      <c r="G99" t="inlineStr">
        <is>
          <t>BG002</t>
        </is>
      </c>
      <c r="H99" t="inlineStr">
        <is>
          <t>18 Maret 2017</t>
        </is>
      </c>
      <c r="I99" s="2" t="n">
        <v>46293</v>
      </c>
      <c r="J99" t="inlineStr">
        <is>
          <t>Disetujui</t>
        </is>
      </c>
      <c r="K99" t="n">
        <v>90</v>
      </c>
      <c r="L99" t="inlineStr">
        <is>
          <t>28 September 2026</t>
        </is>
      </c>
      <c r="M99" t="inlineStr">
        <is>
          <t>Konstruksi Gedung Perkantoran</t>
        </is>
      </c>
      <c r="N99" t="inlineStr">
        <is>
          <t>K</t>
        </is>
      </c>
      <c r="O99" t="inlineStr">
        <is>
          <t>20230919</t>
        </is>
      </c>
      <c r="P99" t="inlineStr">
        <is>
          <t>Banten</t>
        </is>
      </c>
      <c r="Q99" t="inlineStr"/>
    </row>
    <row r="100">
      <c r="A100" t="inlineStr">
        <is>
          <t>GENTA WIJAYA</t>
        </is>
      </c>
      <c r="B100" t="inlineStr">
        <is>
          <t>Kab. Gresik</t>
        </is>
      </c>
      <c r="C100" t="inlineStr">
        <is>
          <t>082234431617</t>
        </is>
      </c>
      <c r="D100" t="inlineStr">
        <is>
          <t>genta_wijaya@ymail.com</t>
        </is>
      </c>
      <c r="E100" t="inlineStr">
        <is>
          <t>https://lpjk.pu.go.id/search-badan-usaha-detail/ZDhiWXRlUThORXJ5dkpCMW1CZW5ndz09</t>
        </is>
      </c>
      <c r="F100" t="n">
        <v>2</v>
      </c>
      <c r="G100" t="inlineStr">
        <is>
          <t>BG002, BG003</t>
        </is>
      </c>
      <c r="H100" t="inlineStr">
        <is>
          <t>20 Februari 2003</t>
        </is>
      </c>
      <c r="I100" s="2" t="n">
        <v>46293</v>
      </c>
      <c r="J100" t="inlineStr">
        <is>
          <t>Pencabutan</t>
        </is>
      </c>
      <c r="K100" t="n">
        <v>90</v>
      </c>
      <c r="L100" t="inlineStr">
        <is>
          <t>28 September 2026</t>
        </is>
      </c>
      <c r="M100" t="inlineStr">
        <is>
          <t>Konstruksi Gedung Industri, Konstruksi Gedung Perkantoran</t>
        </is>
      </c>
      <c r="N100" t="inlineStr">
        <is>
          <t>K</t>
        </is>
      </c>
      <c r="O100" t="inlineStr">
        <is>
          <t>20230922, 20230925</t>
        </is>
      </c>
      <c r="P100" t="inlineStr">
        <is>
          <t>Jawa Timur</t>
        </is>
      </c>
      <c r="Q100" t="inlineStr"/>
    </row>
    <row r="101">
      <c r="A101" t="inlineStr">
        <is>
          <t>GUNUNG MENAHAN</t>
        </is>
      </c>
      <c r="B101" t="inlineStr">
        <is>
          <t>Kota Jambi</t>
        </is>
      </c>
      <c r="C101" t="inlineStr">
        <is>
          <t>082329877228</t>
        </is>
      </c>
      <c r="D101" t="inlineStr">
        <is>
          <t>gunungmenahan@yandex.com</t>
        </is>
      </c>
      <c r="E101" t="inlineStr">
        <is>
          <t>https://lpjk.pu.go.id/search-badan-usaha-detail/cW1oem9XZGJGQThZanBremRzSWNPZz09</t>
        </is>
      </c>
      <c r="F101" t="n">
        <v>2</v>
      </c>
      <c r="G101" t="inlineStr">
        <is>
          <t>BG002, BS001</t>
        </is>
      </c>
      <c r="H101" t="inlineStr">
        <is>
          <t>25 November 1994</t>
        </is>
      </c>
      <c r="I101" s="2" t="n">
        <v>46293</v>
      </c>
      <c r="J101" t="inlineStr">
        <is>
          <t>Disetujui</t>
        </is>
      </c>
      <c r="K101" t="n">
        <v>90</v>
      </c>
      <c r="L101" t="inlineStr">
        <is>
          <t>28 September 2026</t>
        </is>
      </c>
      <c r="M101" t="inlineStr">
        <is>
          <t>Konstruksi Bangunan Sipil Jalan, Konstruksi Gedung Perkantoran</t>
        </is>
      </c>
      <c r="N101" t="inlineStr">
        <is>
          <t>K</t>
        </is>
      </c>
      <c r="O101" t="inlineStr">
        <is>
          <t>20230921</t>
        </is>
      </c>
      <c r="P101" t="inlineStr">
        <is>
          <t>Jambi</t>
        </is>
      </c>
      <c r="Q101" t="inlineStr"/>
    </row>
    <row r="102">
      <c r="A102" t="inlineStr">
        <is>
          <t>HABA BERDIKARI</t>
        </is>
      </c>
      <c r="B102" t="inlineStr">
        <is>
          <t>Kab. Cirebon</t>
        </is>
      </c>
      <c r="C102" t="inlineStr">
        <is>
          <t>08157778995</t>
        </is>
      </c>
      <c r="D102" t="inlineStr">
        <is>
          <t>hababerdikari.cv@gmail.com</t>
        </is>
      </c>
      <c r="E102" t="inlineStr">
        <is>
          <t>https://lpjk.pu.go.id/search-badan-usaha-detail/eUdBeElmYk9QSXdlcUxIcVlJYXNYUT09</t>
        </is>
      </c>
      <c r="F102" t="n">
        <v>2</v>
      </c>
      <c r="G102" t="inlineStr">
        <is>
          <t>BG009</t>
        </is>
      </c>
      <c r="H102" t="inlineStr">
        <is>
          <t>28 Agustus 2023</t>
        </is>
      </c>
      <c r="I102" s="2" t="n">
        <v>46293</v>
      </c>
      <c r="J102" t="inlineStr">
        <is>
          <t>Pencabutan</t>
        </is>
      </c>
      <c r="K102" t="n">
        <v>90</v>
      </c>
      <c r="L102" t="inlineStr">
        <is>
          <t>28 September 2026</t>
        </is>
      </c>
      <c r="M102" t="inlineStr">
        <is>
          <t>Konstruksi Gedung Lainnya</t>
        </is>
      </c>
      <c r="N102" t="inlineStr">
        <is>
          <t>K</t>
        </is>
      </c>
      <c r="O102" t="inlineStr">
        <is>
          <t>20230926</t>
        </is>
      </c>
      <c r="P102" t="inlineStr">
        <is>
          <t>Jawa Barat</t>
        </is>
      </c>
      <c r="Q102" t="inlineStr"/>
    </row>
    <row r="103">
      <c r="A103" t="inlineStr">
        <is>
          <t>HARSA WIJAYA</t>
        </is>
      </c>
      <c r="B103" t="inlineStr">
        <is>
          <t>Kab. Lumajang</t>
        </is>
      </c>
      <c r="C103" t="inlineStr">
        <is>
          <t>082132640659</t>
        </is>
      </c>
      <c r="D103" t="inlineStr">
        <is>
          <t>harsa43@yahoo.com</t>
        </is>
      </c>
      <c r="E103" t="inlineStr">
        <is>
          <t>https://lpjk.pu.go.id/search-badan-usaha-detail/RytKd0FSMzcrODdOZE9VZW5ibXo2UT09</t>
        </is>
      </c>
      <c r="F103" t="n">
        <v>1</v>
      </c>
      <c r="G103" t="inlineStr">
        <is>
          <t>BG006</t>
        </is>
      </c>
      <c r="H103" t="inlineStr">
        <is>
          <t>28 November 1984</t>
        </is>
      </c>
      <c r="I103" s="2" t="n">
        <v>46293</v>
      </c>
      <c r="J103" t="inlineStr">
        <is>
          <t>Disetujui</t>
        </is>
      </c>
      <c r="K103" t="n">
        <v>90</v>
      </c>
      <c r="L103" t="inlineStr">
        <is>
          <t>28 September 2026</t>
        </is>
      </c>
      <c r="M103" t="inlineStr">
        <is>
          <t>Konstruksi Gedung Pendidikan</t>
        </is>
      </c>
      <c r="N103" t="inlineStr">
        <is>
          <t>K</t>
        </is>
      </c>
      <c r="O103" t="inlineStr">
        <is>
          <t>20230922</t>
        </is>
      </c>
      <c r="P103" t="inlineStr">
        <is>
          <t>Jawa Timur</t>
        </is>
      </c>
      <c r="Q103" t="inlineStr"/>
    </row>
    <row r="104">
      <c r="A104" t="inlineStr">
        <is>
          <t>HUTAMA MANDALA KONSULTAN</t>
        </is>
      </c>
      <c r="B104" t="inlineStr">
        <is>
          <t>Kab. Sidoarjo</t>
        </is>
      </c>
      <c r="C104" t="inlineStr">
        <is>
          <t>081333158978</t>
        </is>
      </c>
      <c r="D104" t="inlineStr">
        <is>
          <t>hmk.konsultan@gmail.com</t>
        </is>
      </c>
      <c r="E104" t="inlineStr">
        <is>
          <t>https://lpjk.pu.go.id/search-badan-usaha-detail/Uzc4ejg5Q1FycXgxOG0ralJJRnVzZz09</t>
        </is>
      </c>
      <c r="F104" t="n">
        <v>2</v>
      </c>
      <c r="G104" t="inlineStr">
        <is>
          <t>AR002</t>
        </is>
      </c>
      <c r="H104" t="inlineStr">
        <is>
          <t>23 Maret 2018</t>
        </is>
      </c>
      <c r="I104" s="2" t="n">
        <v>46293</v>
      </c>
      <c r="J104" t="inlineStr">
        <is>
          <t>Disetujui</t>
        </is>
      </c>
      <c r="K104" t="n">
        <v>90</v>
      </c>
      <c r="L104" t="inlineStr">
        <is>
          <t>28 September 2026</t>
        </is>
      </c>
      <c r="M104" t="inlineStr">
        <is>
          <t>Jasa Arsitektural Lainnya</t>
        </is>
      </c>
      <c r="N104" t="inlineStr">
        <is>
          <t>K</t>
        </is>
      </c>
      <c r="O104" t="inlineStr">
        <is>
          <t>20230919</t>
        </is>
      </c>
      <c r="P104" t="inlineStr">
        <is>
          <t>Jawa Timur</t>
        </is>
      </c>
      <c r="Q104" t="inlineStr"/>
    </row>
    <row r="105">
      <c r="A105" t="inlineStr">
        <is>
          <t>IDEAL</t>
        </is>
      </c>
      <c r="B105" t="inlineStr">
        <is>
          <t>Kab. Bulungan</t>
        </is>
      </c>
      <c r="C105" t="inlineStr">
        <is>
          <t>082253757023</t>
        </is>
      </c>
      <c r="D105" t="inlineStr">
        <is>
          <t>cvideal2@gmail.com</t>
        </is>
      </c>
      <c r="E105" t="inlineStr">
        <is>
          <t>https://lpjk.pu.go.id/search-badan-usaha-detail/OGRKeHhXQ2VuMlFITHBpdE9VWFVqdz09</t>
        </is>
      </c>
      <c r="F105" t="n">
        <v>2</v>
      </c>
      <c r="G105" t="inlineStr">
        <is>
          <t>BG009</t>
        </is>
      </c>
      <c r="H105" t="inlineStr">
        <is>
          <t>9 Juni 2003</t>
        </is>
      </c>
      <c r="I105" s="2" t="n">
        <v>46293</v>
      </c>
      <c r="J105" t="inlineStr">
        <is>
          <t>Disetujui</t>
        </is>
      </c>
      <c r="K105" t="n">
        <v>90</v>
      </c>
      <c r="L105" t="inlineStr">
        <is>
          <t>28 September 2026</t>
        </is>
      </c>
      <c r="M105" t="inlineStr">
        <is>
          <t>Konstruksi Gedung Lainnya</t>
        </is>
      </c>
      <c r="N105" t="inlineStr">
        <is>
          <t>K</t>
        </is>
      </c>
      <c r="O105" t="inlineStr">
        <is>
          <t>20230921</t>
        </is>
      </c>
      <c r="P105" t="inlineStr">
        <is>
          <t>Kalimantan Utara</t>
        </is>
      </c>
      <c r="Q105" t="inlineStr"/>
    </row>
    <row r="106">
      <c r="A106" t="inlineStr">
        <is>
          <t>INTAN BANGUN PERSADA</t>
        </is>
      </c>
      <c r="B106" t="inlineStr">
        <is>
          <t>Kota Jambi</t>
        </is>
      </c>
      <c r="C106" t="inlineStr">
        <is>
          <t>082180404484</t>
        </is>
      </c>
      <c r="D106" t="inlineStr">
        <is>
          <t>sabarsiagian2@gmail.com</t>
        </is>
      </c>
      <c r="E106" t="inlineStr">
        <is>
          <t>https://lpjk.pu.go.id/search-badan-usaha-detail/c29KNkx3VXBJQjQ5OGdacXlKb0g2dz09</t>
        </is>
      </c>
      <c r="F106" t="n">
        <v>2</v>
      </c>
      <c r="G106" t="inlineStr">
        <is>
          <t>BG002, BG006</t>
        </is>
      </c>
      <c r="H106" t="inlineStr">
        <is>
          <t>28 September 2015</t>
        </is>
      </c>
      <c r="I106" s="2" t="n">
        <v>46293</v>
      </c>
      <c r="J106" t="inlineStr">
        <is>
          <t>Pencabutan</t>
        </is>
      </c>
      <c r="K106" t="n">
        <v>90</v>
      </c>
      <c r="L106" t="inlineStr">
        <is>
          <t>28 September 2026</t>
        </is>
      </c>
      <c r="M106" t="inlineStr">
        <is>
          <t>Konstruksi Gedung Pendidikan, Konstruksi Gedung Perkantoran</t>
        </is>
      </c>
      <c r="N106" t="inlineStr">
        <is>
          <t>K</t>
        </is>
      </c>
      <c r="O106" t="inlineStr">
        <is>
          <t>20230928</t>
        </is>
      </c>
      <c r="P106" t="inlineStr">
        <is>
          <t>Jambi</t>
        </is>
      </c>
      <c r="Q106" t="inlineStr"/>
    </row>
    <row r="107">
      <c r="A107" t="inlineStr">
        <is>
          <t>INTAN KONSTRUKSI NUSANTARA</t>
        </is>
      </c>
      <c r="B107" t="inlineStr">
        <is>
          <t>Kota Adm. Jakarta Barat</t>
        </is>
      </c>
      <c r="C107" t="inlineStr">
        <is>
          <t>02122301888</t>
        </is>
      </c>
      <c r="D107" t="inlineStr">
        <is>
          <t>ikn888jakarta@gmail.com</t>
        </is>
      </c>
      <c r="E107" t="inlineStr">
        <is>
          <t>https://lpjk.pu.go.id/search-badan-usaha-detail/MU5CVzR1c0E0YjJRdGVwMlN6WW1tdz09</t>
        </is>
      </c>
      <c r="F107" t="n">
        <v>1</v>
      </c>
      <c r="G107" t="inlineStr">
        <is>
          <t>IN003</t>
        </is>
      </c>
      <c r="H107" t="inlineStr">
        <is>
          <t>3 September 2021</t>
        </is>
      </c>
      <c r="I107" s="2" t="n">
        <v>46293</v>
      </c>
      <c r="J107" t="inlineStr">
        <is>
          <t>Disetujui</t>
        </is>
      </c>
      <c r="K107" t="n">
        <v>90</v>
      </c>
      <c r="L107" t="inlineStr">
        <is>
          <t>28 September 2026</t>
        </is>
      </c>
      <c r="M107" t="inlineStr">
        <is>
          <t>Instalasi Peralatan Infrastruktur Pertambangan dan Manufaktur</t>
        </is>
      </c>
      <c r="N107" t="inlineStr">
        <is>
          <t>Spesialis</t>
        </is>
      </c>
      <c r="O107" t="inlineStr">
        <is>
          <t>20230928</t>
        </is>
      </c>
      <c r="P107" t="inlineStr">
        <is>
          <t>DKI Jakarta</t>
        </is>
      </c>
      <c r="Q107" t="inlineStr"/>
    </row>
    <row r="108">
      <c r="A108" t="inlineStr">
        <is>
          <t>INTEGRASI DESAIN DAN ANALISIS</t>
        </is>
      </c>
      <c r="B108" t="inlineStr">
        <is>
          <t>Kab. Bantul</t>
        </is>
      </c>
      <c r="C108" t="inlineStr">
        <is>
          <t>081392365058</t>
        </is>
      </c>
      <c r="D108" t="inlineStr">
        <is>
          <t>cv.ideal130723@gmail.com</t>
        </is>
      </c>
      <c r="E108" t="inlineStr">
        <is>
          <t>https://lpjk.pu.go.id/search-badan-usaha-detail/TGN0NlRkZVE1SHZ3R2g4elhIb0lUZz09</t>
        </is>
      </c>
      <c r="F108" t="n">
        <v>2</v>
      </c>
      <c r="G108" t="inlineStr">
        <is>
          <t>AR001</t>
        </is>
      </c>
      <c r="H108" t="inlineStr">
        <is>
          <t>13 Juli 2023</t>
        </is>
      </c>
      <c r="I108" s="2" t="n">
        <v>46293</v>
      </c>
      <c r="J108" t="inlineStr">
        <is>
          <t>Disetujui</t>
        </is>
      </c>
      <c r="K108" t="n">
        <v>90</v>
      </c>
      <c r="L108" t="inlineStr">
        <is>
          <t>28 September 2026</t>
        </is>
      </c>
      <c r="M108" t="inlineStr">
        <is>
          <t>Jasa Arsitektural Bangunan Gedung Hunian dan Non Hunian</t>
        </is>
      </c>
      <c r="N108" t="inlineStr">
        <is>
          <t>K</t>
        </is>
      </c>
      <c r="O108" t="inlineStr">
        <is>
          <t>20230906</t>
        </is>
      </c>
      <c r="P108" t="inlineStr">
        <is>
          <t>DI Yogyakarta</t>
        </is>
      </c>
      <c r="Q108" t="inlineStr"/>
    </row>
    <row r="109">
      <c r="A109" t="inlineStr">
        <is>
          <t>JATIM PRASARANA UTAMA</t>
        </is>
      </c>
      <c r="B109" t="inlineStr">
        <is>
          <t>Kota Surabaya</t>
        </is>
      </c>
      <c r="C109" t="inlineStr">
        <is>
          <t>0317329781</t>
        </is>
      </c>
      <c r="D109" t="inlineStr">
        <is>
          <t>jatimprasaranautama@yahoo.com</t>
        </is>
      </c>
      <c r="E109" t="inlineStr">
        <is>
          <t>https://lpjk.pu.go.id/search-badan-usaha-detail/Z1JkMXBaMXNLb1dHZTRRSDFYRGZKZz09</t>
        </is>
      </c>
      <c r="F109" t="n">
        <v>1</v>
      </c>
      <c r="G109" t="inlineStr">
        <is>
          <t>BS004</t>
        </is>
      </c>
      <c r="H109" t="inlineStr">
        <is>
          <t>27 Desember 2002</t>
        </is>
      </c>
      <c r="I109" s="2" t="n">
        <v>46293</v>
      </c>
      <c r="J109" t="inlineStr">
        <is>
          <t>Disetujui</t>
        </is>
      </c>
      <c r="K109" t="n">
        <v>90</v>
      </c>
      <c r="L109" t="inlineStr">
        <is>
          <t>28 September 2026</t>
        </is>
      </c>
      <c r="M109" t="inlineStr">
        <is>
          <t>Konstruksi Jaringan Irigasi dan Drainase</t>
        </is>
      </c>
      <c r="N109" t="inlineStr">
        <is>
          <t>M</t>
        </is>
      </c>
      <c r="O109" t="inlineStr">
        <is>
          <t>20230925</t>
        </is>
      </c>
      <c r="P109" t="inlineStr">
        <is>
          <t>Jawa Timur</t>
        </is>
      </c>
      <c r="Q109" t="inlineStr"/>
    </row>
    <row r="110">
      <c r="A110" t="inlineStr">
        <is>
          <t>JAYA ETIKA BETON</t>
        </is>
      </c>
      <c r="B110" t="inlineStr">
        <is>
          <t>Kota Surabaya</t>
        </is>
      </c>
      <c r="C110" t="inlineStr">
        <is>
          <t>0318288763</t>
        </is>
      </c>
      <c r="D110" t="inlineStr">
        <is>
          <t>betonjayaetika@gmail.com</t>
        </is>
      </c>
      <c r="E110" t="inlineStr">
        <is>
          <t>https://lpjk.pu.go.id/search-badan-usaha-detail/dDVlVU1mWU5EQW5yczlkZEtOSWtRUT09</t>
        </is>
      </c>
      <c r="F110" t="n">
        <v>1</v>
      </c>
      <c r="G110" t="inlineStr">
        <is>
          <t>BS004</t>
        </is>
      </c>
      <c r="H110" t="inlineStr">
        <is>
          <t>22 Juni 2012</t>
        </is>
      </c>
      <c r="I110" s="2" t="n">
        <v>46293</v>
      </c>
      <c r="J110" t="inlineStr">
        <is>
          <t>Disetujui</t>
        </is>
      </c>
      <c r="K110" t="n">
        <v>90</v>
      </c>
      <c r="L110" t="inlineStr">
        <is>
          <t>28 September 2026</t>
        </is>
      </c>
      <c r="M110" t="inlineStr">
        <is>
          <t>Konstruksi Jaringan Irigasi dan Drainase</t>
        </is>
      </c>
      <c r="N110" t="inlineStr">
        <is>
          <t>M</t>
        </is>
      </c>
      <c r="O110" t="inlineStr">
        <is>
          <t>20230814</t>
        </is>
      </c>
      <c r="P110" t="inlineStr">
        <is>
          <t>Jawa Timur</t>
        </is>
      </c>
      <c r="Q110" t="inlineStr"/>
    </row>
    <row r="111">
      <c r="A111" t="inlineStr">
        <is>
          <t>JAYA GRAHA</t>
        </is>
      </c>
      <c r="B111" t="inlineStr">
        <is>
          <t>Kota Makassar</t>
        </is>
      </c>
      <c r="C111" t="inlineStr">
        <is>
          <t>04114672691</t>
        </is>
      </c>
      <c r="D111" t="inlineStr">
        <is>
          <t>jaya_graha_mks@yahoo.com</t>
        </is>
      </c>
      <c r="E111" t="inlineStr">
        <is>
          <t>https://lpjk.pu.go.id/search-badan-usaha-detail/SmZWazY5bm1hNnVPSUlwSzhOVmgzZz09</t>
        </is>
      </c>
      <c r="F111" t="n">
        <v>1</v>
      </c>
      <c r="G111" t="inlineStr">
        <is>
          <t>BG001</t>
        </is>
      </c>
      <c r="H111" t="inlineStr">
        <is>
          <t>11 September 2006</t>
        </is>
      </c>
      <c r="I111" s="2" t="n">
        <v>46293</v>
      </c>
      <c r="J111" t="inlineStr">
        <is>
          <t>Disetujui</t>
        </is>
      </c>
      <c r="K111" t="n">
        <v>90</v>
      </c>
      <c r="L111" t="inlineStr">
        <is>
          <t>28 September 2026</t>
        </is>
      </c>
      <c r="M111" t="inlineStr">
        <is>
          <t>Konstruksi Gedung Hunian</t>
        </is>
      </c>
      <c r="N111" t="inlineStr">
        <is>
          <t>M</t>
        </is>
      </c>
      <c r="O111" t="inlineStr">
        <is>
          <t>20230914</t>
        </is>
      </c>
      <c r="P111" t="inlineStr">
        <is>
          <t>Sulawesi Selatan</t>
        </is>
      </c>
      <c r="Q111" t="inlineStr"/>
    </row>
    <row r="112">
      <c r="A112" t="inlineStr">
        <is>
          <t>JAYA LAMPUNG ABADI</t>
        </is>
      </c>
      <c r="B112" t="inlineStr">
        <is>
          <t>Kab. Lampung Selatan</t>
        </is>
      </c>
      <c r="C112" t="inlineStr">
        <is>
          <t>081286370828</t>
        </is>
      </c>
      <c r="D112" t="inlineStr">
        <is>
          <t>cv.jayalampungabadi@gmail.com</t>
        </is>
      </c>
      <c r="E112" t="inlineStr">
        <is>
          <t>https://lpjk.pu.go.id/search-badan-usaha-detail/Q2pPVm1VYnhhZEdLczNTR3pMK3dzQT09</t>
        </is>
      </c>
      <c r="F112" t="n">
        <v>1</v>
      </c>
      <c r="G112" t="inlineStr">
        <is>
          <t>BG004</t>
        </is>
      </c>
      <c r="H112" t="inlineStr">
        <is>
          <t>21 Februari 2022</t>
        </is>
      </c>
      <c r="I112" s="2" t="n">
        <v>46293</v>
      </c>
      <c r="J112" t="inlineStr">
        <is>
          <t>Pencabutan</t>
        </is>
      </c>
      <c r="K112" t="n">
        <v>90</v>
      </c>
      <c r="L112" t="inlineStr">
        <is>
          <t>28 September 2026</t>
        </is>
      </c>
      <c r="M112" t="inlineStr">
        <is>
          <t>Konstruksi Gedung Perbelanjaan</t>
        </is>
      </c>
      <c r="N112" t="inlineStr">
        <is>
          <t>K</t>
        </is>
      </c>
      <c r="O112" t="inlineStr">
        <is>
          <t>20230927</t>
        </is>
      </c>
      <c r="P112" t="inlineStr">
        <is>
          <t>Lampung</t>
        </is>
      </c>
      <c r="Q112" t="inlineStr"/>
    </row>
    <row r="113">
      <c r="A113" t="inlineStr">
        <is>
          <t>JITU MEMBANGUN</t>
        </is>
      </c>
      <c r="B113" t="inlineStr">
        <is>
          <t>Kab. Sampang</t>
        </is>
      </c>
      <c r="C113" t="inlineStr">
        <is>
          <t>087750889292</t>
        </is>
      </c>
      <c r="D113" t="inlineStr">
        <is>
          <t>jitumembangun@gmail.com</t>
        </is>
      </c>
      <c r="E113" t="inlineStr">
        <is>
          <t>https://lpjk.pu.go.id/search-badan-usaha-detail/Nnc3RzBvN2wyc1RpN3dqMXdxdGwxUT09</t>
        </is>
      </c>
      <c r="F113" t="n">
        <v>1</v>
      </c>
      <c r="G113" t="inlineStr">
        <is>
          <t>BG006</t>
        </is>
      </c>
      <c r="H113" t="inlineStr">
        <is>
          <t>4 September 2023</t>
        </is>
      </c>
      <c r="I113" s="2" t="n">
        <v>46293</v>
      </c>
      <c r="J113" t="inlineStr">
        <is>
          <t>Disetujui</t>
        </is>
      </c>
      <c r="K113" t="n">
        <v>90</v>
      </c>
      <c r="L113" t="inlineStr">
        <is>
          <t>28 September 2026</t>
        </is>
      </c>
      <c r="M113" t="inlineStr">
        <is>
          <t>Konstruksi Gedung Pendidikan</t>
        </is>
      </c>
      <c r="N113" t="inlineStr">
        <is>
          <t>K</t>
        </is>
      </c>
      <c r="O113" t="inlineStr">
        <is>
          <t>20230927</t>
        </is>
      </c>
      <c r="P113" t="inlineStr">
        <is>
          <t>Jawa Timur</t>
        </is>
      </c>
      <c r="Q113" t="inlineStr"/>
    </row>
    <row r="114">
      <c r="A114" t="inlineStr">
        <is>
          <t>KARUNIA BANGUN PERSADA</t>
        </is>
      </c>
      <c r="B114" t="inlineStr">
        <is>
          <t>Kota Medan</t>
        </is>
      </c>
      <c r="C114" t="inlineStr">
        <is>
          <t>0614559965</t>
        </is>
      </c>
      <c r="D114" t="inlineStr">
        <is>
          <t>karbanda.cv@gmail.com</t>
        </is>
      </c>
      <c r="E114" t="inlineStr">
        <is>
          <t>https://lpjk.pu.go.id/search-badan-usaha-detail/MDV2TU1GOUtPRzZsN0xkLzR2MTlsQT09</t>
        </is>
      </c>
      <c r="F114" t="n">
        <v>1</v>
      </c>
      <c r="G114" t="inlineStr">
        <is>
          <t>BG009</t>
        </is>
      </c>
      <c r="H114" t="inlineStr">
        <is>
          <t>23 Juli 1996</t>
        </is>
      </c>
      <c r="I114" s="2" t="n">
        <v>46293</v>
      </c>
      <c r="J114" t="inlineStr">
        <is>
          <t>Disetujui</t>
        </is>
      </c>
      <c r="K114" t="n">
        <v>90</v>
      </c>
      <c r="L114" t="inlineStr">
        <is>
          <t>28 September 2026</t>
        </is>
      </c>
      <c r="M114" t="inlineStr">
        <is>
          <t>Konstruksi Gedung Lainnya</t>
        </is>
      </c>
      <c r="N114" t="inlineStr">
        <is>
          <t>K</t>
        </is>
      </c>
      <c r="O114" t="inlineStr">
        <is>
          <t>20230921</t>
        </is>
      </c>
      <c r="P114" t="inlineStr">
        <is>
          <t>Sumatera Utara</t>
        </is>
      </c>
      <c r="Q114" t="inlineStr"/>
    </row>
    <row r="115">
      <c r="A115" t="inlineStr">
        <is>
          <t>KARYA AGUNG PRATAMA</t>
        </is>
      </c>
      <c r="B115" t="inlineStr">
        <is>
          <t>Kota Jambi</t>
        </is>
      </c>
      <c r="C115" t="inlineStr">
        <is>
          <t>081366046715</t>
        </is>
      </c>
      <c r="D115" t="inlineStr">
        <is>
          <t>cv.kap_2011@yahoo.com</t>
        </is>
      </c>
      <c r="E115" t="inlineStr">
        <is>
          <t>https://lpjk.pu.go.id/search-badan-usaha-detail/VmVnTWxneUk3OUlDZEtNMXgzV2tGQT09</t>
        </is>
      </c>
      <c r="F115" t="n">
        <v>5</v>
      </c>
      <c r="G115" t="inlineStr">
        <is>
          <t>BG001, BG002, BG004, BG005, BG006</t>
        </is>
      </c>
      <c r="H115" t="inlineStr">
        <is>
          <t>21 Januari 2011</t>
        </is>
      </c>
      <c r="I115" s="2" t="n">
        <v>46293</v>
      </c>
      <c r="J115" t="inlineStr">
        <is>
          <t>Disetujui</t>
        </is>
      </c>
      <c r="K115" t="n">
        <v>90</v>
      </c>
      <c r="L115" t="inlineStr">
        <is>
          <t>28 September 2026</t>
        </is>
      </c>
      <c r="M115" t="inlineStr">
        <is>
          <t>Konstruksi Gedung Hunian, Konstruksi Gedung Kesehatan, Konstruksi Gedung Pendidikan, Konstruksi Gedung Perbelanjaan, Konstruksi Gedung Perkantoran</t>
        </is>
      </c>
      <c r="N115" t="inlineStr">
        <is>
          <t>K</t>
        </is>
      </c>
      <c r="O115" t="inlineStr">
        <is>
          <t>20230905</t>
        </is>
      </c>
      <c r="P115" t="inlineStr">
        <is>
          <t>Jambi</t>
        </is>
      </c>
      <c r="Q115" t="inlineStr"/>
    </row>
    <row r="116">
      <c r="A116" t="inlineStr">
        <is>
          <t>KARYA BHAKTI SARANA</t>
        </is>
      </c>
      <c r="B116" t="inlineStr">
        <is>
          <t>Kota Adm. Jakarta Selatan</t>
        </is>
      </c>
      <c r="C116" t="inlineStr">
        <is>
          <t>081519041143</t>
        </is>
      </c>
      <c r="D116" t="inlineStr">
        <is>
          <t>pt.kbsjakarta@yahoo.com</t>
        </is>
      </c>
      <c r="E116" t="inlineStr">
        <is>
          <t>https://lpjk.pu.go.id/search-badan-usaha-detail/RzJ3K3Z5VytwcHA2VXY3NVYrRU5sQT09</t>
        </is>
      </c>
      <c r="F116" t="n">
        <v>1</v>
      </c>
      <c r="G116" t="inlineStr">
        <is>
          <t>BG002</t>
        </is>
      </c>
      <c r="H116" t="inlineStr">
        <is>
          <t>27 Januari 1984</t>
        </is>
      </c>
      <c r="I116" s="2" t="n">
        <v>46293</v>
      </c>
      <c r="J116" t="inlineStr">
        <is>
          <t>Disetujui</t>
        </is>
      </c>
      <c r="K116" t="n">
        <v>90</v>
      </c>
      <c r="L116" t="inlineStr">
        <is>
          <t>28 September 2026</t>
        </is>
      </c>
      <c r="M116" t="inlineStr">
        <is>
          <t>Konstruksi Gedung Perkantoran</t>
        </is>
      </c>
      <c r="N116" t="inlineStr">
        <is>
          <t>K</t>
        </is>
      </c>
      <c r="O116" t="inlineStr">
        <is>
          <t>20230925</t>
        </is>
      </c>
      <c r="P116" t="inlineStr">
        <is>
          <t>DKI Jakarta</t>
        </is>
      </c>
      <c r="Q116" t="inlineStr"/>
    </row>
    <row r="117">
      <c r="A117" t="inlineStr">
        <is>
          <t>KARYA ESHA UTAMA</t>
        </is>
      </c>
      <c r="B117" t="inlineStr">
        <is>
          <t>Kab. Trenggalek</t>
        </is>
      </c>
      <c r="C117" t="inlineStr">
        <is>
          <t>085156036395</t>
        </is>
      </c>
      <c r="D117" t="inlineStr">
        <is>
          <t>cv.karyaeshautama@gmail.com</t>
        </is>
      </c>
      <c r="E117" t="inlineStr">
        <is>
          <t>https://lpjk.pu.go.id/search-badan-usaha-detail/UjV3TTFSNzJqakdQcC9vNjRYY0p3Zz09</t>
        </is>
      </c>
      <c r="F117" t="n">
        <v>1</v>
      </c>
      <c r="G117" t="inlineStr">
        <is>
          <t>BG009</t>
        </is>
      </c>
      <c r="H117" t="inlineStr">
        <is>
          <t>13 Juli 1994</t>
        </is>
      </c>
      <c r="I117" s="2" t="n">
        <v>46293</v>
      </c>
      <c r="J117" t="inlineStr">
        <is>
          <t>Disetujui</t>
        </is>
      </c>
      <c r="K117" t="n">
        <v>90</v>
      </c>
      <c r="L117" t="inlineStr">
        <is>
          <t>28 September 2026</t>
        </is>
      </c>
      <c r="M117" t="inlineStr">
        <is>
          <t>Konstruksi Gedung Lainnya</t>
        </is>
      </c>
      <c r="N117" t="inlineStr">
        <is>
          <t>K</t>
        </is>
      </c>
      <c r="O117" t="inlineStr">
        <is>
          <t>20230921</t>
        </is>
      </c>
      <c r="P117" t="inlineStr">
        <is>
          <t>Jawa Timur</t>
        </is>
      </c>
      <c r="Q117" t="inlineStr"/>
    </row>
    <row r="118">
      <c r="A118" t="inlineStr">
        <is>
          <t>KARYA INDAH INTERNUSA</t>
        </is>
      </c>
      <c r="B118" t="inlineStr">
        <is>
          <t>Kota Surabaya</t>
        </is>
      </c>
      <c r="C118" t="inlineStr">
        <is>
          <t>0315617269</t>
        </is>
      </c>
      <c r="D118" t="inlineStr">
        <is>
          <t>kii_sby@yahoo.co.id</t>
        </is>
      </c>
      <c r="E118" t="inlineStr">
        <is>
          <t>https://lpjk.pu.go.id/search-badan-usaha-detail/QUwyZ1ZXdDAvWHVDb29acVlBMGpFZz09</t>
        </is>
      </c>
      <c r="F118" t="n">
        <v>1</v>
      </c>
      <c r="G118" t="inlineStr">
        <is>
          <t>BS004</t>
        </is>
      </c>
      <c r="H118" t="inlineStr">
        <is>
          <t>1 Juli 2008</t>
        </is>
      </c>
      <c r="I118" s="2" t="n">
        <v>46293</v>
      </c>
      <c r="J118" t="inlineStr">
        <is>
          <t>Disetujui</t>
        </is>
      </c>
      <c r="K118" t="n">
        <v>90</v>
      </c>
      <c r="L118" t="inlineStr">
        <is>
          <t>28 September 2026</t>
        </is>
      </c>
      <c r="M118" t="inlineStr">
        <is>
          <t>Konstruksi Jaringan Irigasi dan Drainase</t>
        </is>
      </c>
      <c r="N118" t="inlineStr">
        <is>
          <t>K</t>
        </is>
      </c>
      <c r="O118" t="inlineStr">
        <is>
          <t>20230921</t>
        </is>
      </c>
      <c r="P118" t="inlineStr">
        <is>
          <t>Jawa Timur</t>
        </is>
      </c>
      <c r="Q118" t="inlineStr"/>
    </row>
    <row r="119">
      <c r="A119" t="inlineStr">
        <is>
          <t>KARYA KAWAN</t>
        </is>
      </c>
      <c r="B119" t="inlineStr">
        <is>
          <t>Kab. Kepulauan Sangihe</t>
        </is>
      </c>
      <c r="C119" t="inlineStr">
        <is>
          <t>085394375262</t>
        </is>
      </c>
      <c r="D119" t="inlineStr">
        <is>
          <t>cv.karyakawan@yahoo.com</t>
        </is>
      </c>
      <c r="E119" t="inlineStr">
        <is>
          <t>https://lpjk.pu.go.id/search-badan-usaha-detail/N0R5d25OdG9yNkc0aWhWeEF6cDB0QT09</t>
        </is>
      </c>
      <c r="F119" t="n">
        <v>1</v>
      </c>
      <c r="G119" t="inlineStr">
        <is>
          <t>BG005</t>
        </is>
      </c>
      <c r="H119" t="inlineStr">
        <is>
          <t>14 Februari 1983</t>
        </is>
      </c>
      <c r="I119" s="2" t="n">
        <v>46293</v>
      </c>
      <c r="J119" t="inlineStr">
        <is>
          <t>Disetujui</t>
        </is>
      </c>
      <c r="K119" t="n">
        <v>90</v>
      </c>
      <c r="L119" t="inlineStr">
        <is>
          <t>28 September 2026</t>
        </is>
      </c>
      <c r="M119" t="inlineStr">
        <is>
          <t>Konstruksi Gedung Kesehatan</t>
        </is>
      </c>
      <c r="N119" t="inlineStr">
        <is>
          <t>K</t>
        </is>
      </c>
      <c r="O119" t="inlineStr">
        <is>
          <t>20230916</t>
        </is>
      </c>
      <c r="P119" t="inlineStr">
        <is>
          <t>Sulawesi Utara</t>
        </is>
      </c>
      <c r="Q119" t="inlineStr"/>
    </row>
    <row r="120">
      <c r="A120" t="inlineStr">
        <is>
          <t>KARYA LANGGENG</t>
        </is>
      </c>
      <c r="B120" t="inlineStr">
        <is>
          <t>Kab. Mojokerto</t>
        </is>
      </c>
      <c r="C120" t="inlineStr">
        <is>
          <t>082151691480</t>
        </is>
      </c>
      <c r="D120" t="inlineStr">
        <is>
          <t>arissafirotulf.ks115@gmail.com</t>
        </is>
      </c>
      <c r="E120" t="inlineStr">
        <is>
          <t>https://lpjk.pu.go.id/search-badan-usaha-detail/SEI4dmpCQ0NUck5kV3pPaUdIZzc5UT09</t>
        </is>
      </c>
      <c r="F120" t="n">
        <v>1</v>
      </c>
      <c r="G120" t="inlineStr">
        <is>
          <t>BG005</t>
        </is>
      </c>
      <c r="H120" t="inlineStr">
        <is>
          <t>4 Agustus 2012</t>
        </is>
      </c>
      <c r="I120" s="2" t="n">
        <v>46293</v>
      </c>
      <c r="J120" t="inlineStr">
        <is>
          <t>Disetujui</t>
        </is>
      </c>
      <c r="K120" t="n">
        <v>90</v>
      </c>
      <c r="L120" t="inlineStr">
        <is>
          <t>28 September 2026</t>
        </is>
      </c>
      <c r="M120" t="inlineStr">
        <is>
          <t>Konstruksi Gedung Kesehatan</t>
        </is>
      </c>
      <c r="N120" t="inlineStr">
        <is>
          <t>K</t>
        </is>
      </c>
      <c r="O120" t="inlineStr">
        <is>
          <t>20230816</t>
        </is>
      </c>
      <c r="P120" t="inlineStr">
        <is>
          <t>Jawa Timur</t>
        </is>
      </c>
      <c r="Q120" t="inlineStr"/>
    </row>
    <row r="121">
      <c r="A121" t="inlineStr">
        <is>
          <t>KARYA LESTARI</t>
        </is>
      </c>
      <c r="B121" t="inlineStr">
        <is>
          <t>Kota Pontianak</t>
        </is>
      </c>
      <c r="C121" t="inlineStr">
        <is>
          <t>085752352395</t>
        </is>
      </c>
      <c r="D121" t="inlineStr">
        <is>
          <t>karyalestaric@yahoo.co.id</t>
        </is>
      </c>
      <c r="E121" t="inlineStr">
        <is>
          <t>https://lpjk.pu.go.id/search-badan-usaha-detail/TVFzeWVTeTI5ZWZ1YkF2eGswMVlWQT09</t>
        </is>
      </c>
      <c r="F121" t="n">
        <v>1</v>
      </c>
      <c r="G121" t="inlineStr">
        <is>
          <t>BS005</t>
        </is>
      </c>
      <c r="H121" t="inlineStr">
        <is>
          <t>6 Oktober 1988</t>
        </is>
      </c>
      <c r="I121" s="2" t="n">
        <v>46293</v>
      </c>
      <c r="J121" t="inlineStr">
        <is>
          <t>Disetujui</t>
        </is>
      </c>
      <c r="K121" t="n">
        <v>90</v>
      </c>
      <c r="L121" t="inlineStr">
        <is>
          <t>28 September 2026</t>
        </is>
      </c>
      <c r="M121" t="inlineStr">
        <is>
          <t>Konstruksi Bangunan Sipil Pengolahan Air Bersih</t>
        </is>
      </c>
      <c r="N121" t="inlineStr">
        <is>
          <t>K</t>
        </is>
      </c>
      <c r="O121" t="inlineStr">
        <is>
          <t>20230925</t>
        </is>
      </c>
      <c r="P121" t="inlineStr">
        <is>
          <t>Kalimantan Barat</t>
        </is>
      </c>
      <c r="Q121" t="inlineStr"/>
    </row>
    <row r="122">
      <c r="A122" t="inlineStr">
        <is>
          <t>KARYA SEJAHTERA</t>
        </is>
      </c>
      <c r="B122" t="inlineStr">
        <is>
          <t>Kab. Jember</t>
        </is>
      </c>
      <c r="C122" t="inlineStr">
        <is>
          <t>081231809130</t>
        </is>
      </c>
      <c r="D122" t="inlineStr">
        <is>
          <t>karya_sejahterajbr@yahoo.co.id</t>
        </is>
      </c>
      <c r="E122" t="inlineStr">
        <is>
          <t>https://lpjk.pu.go.id/search-badan-usaha-detail/U2t0S2pJaFlBaVBQRnk3N0s3MGtndz09</t>
        </is>
      </c>
      <c r="F122" t="n">
        <v>1</v>
      </c>
      <c r="G122" t="inlineStr">
        <is>
          <t>BS001</t>
        </is>
      </c>
      <c r="H122" t="inlineStr">
        <is>
          <t>4 Mei 1999</t>
        </is>
      </c>
      <c r="I122" s="2" t="n">
        <v>46293</v>
      </c>
      <c r="J122" t="inlineStr">
        <is>
          <t>Disetujui</t>
        </is>
      </c>
      <c r="K122" t="n">
        <v>90</v>
      </c>
      <c r="L122" t="inlineStr">
        <is>
          <t>28 September 2026</t>
        </is>
      </c>
      <c r="M122" t="inlineStr">
        <is>
          <t>Konstruksi Bangunan Sipil Jalan</t>
        </is>
      </c>
      <c r="N122" t="inlineStr">
        <is>
          <t>K</t>
        </is>
      </c>
      <c r="O122" t="inlineStr">
        <is>
          <t>20230921</t>
        </is>
      </c>
      <c r="P122" t="inlineStr">
        <is>
          <t>Jawa Timur</t>
        </is>
      </c>
      <c r="Q122" t="inlineStr"/>
    </row>
    <row r="123">
      <c r="A123" t="inlineStr">
        <is>
          <t>KAYU LAUT BERKARYA</t>
        </is>
      </c>
      <c r="B123" t="inlineStr">
        <is>
          <t>Kab. Tapanuli Selatan</t>
        </is>
      </c>
      <c r="C123" t="inlineStr">
        <is>
          <t>081360992594</t>
        </is>
      </c>
      <c r="D123" t="inlineStr">
        <is>
          <t>Kayulautberkarya@gmail.com</t>
        </is>
      </c>
      <c r="E123" t="inlineStr">
        <is>
          <t>https://lpjk.pu.go.id/search-badan-usaha-detail/aDI5Y1gwNnl1ZFRFeG1WS0h6d2Ivdz09</t>
        </is>
      </c>
      <c r="F123" t="n">
        <v>1</v>
      </c>
      <c r="G123" t="inlineStr">
        <is>
          <t>BS002</t>
        </is>
      </c>
      <c r="H123" t="inlineStr">
        <is>
          <t>8 September 2023</t>
        </is>
      </c>
      <c r="I123" s="2" t="n">
        <v>46293</v>
      </c>
      <c r="J123" t="inlineStr">
        <is>
          <t>Disetujui</t>
        </is>
      </c>
      <c r="K123" t="n">
        <v>90</v>
      </c>
      <c r="L123" t="inlineStr">
        <is>
          <t>28 September 2026</t>
        </is>
      </c>
      <c r="M123" t="inlineStr">
        <is>
          <t>Bangunan Sipil Jembatan, Jalan Layang, Fly Over, dan Underpass</t>
        </is>
      </c>
      <c r="N123" t="inlineStr">
        <is>
          <t>K</t>
        </is>
      </c>
      <c r="O123" t="inlineStr">
        <is>
          <t>20230927</t>
        </is>
      </c>
      <c r="P123" t="inlineStr">
        <is>
          <t>Sumatera Utara</t>
        </is>
      </c>
      <c r="Q123" t="inlineStr"/>
    </row>
    <row r="124">
      <c r="A124" t="inlineStr">
        <is>
          <t>KHANSA UTAMA</t>
        </is>
      </c>
      <c r="B124" t="inlineStr">
        <is>
          <t>Kab. Gayo Lues</t>
        </is>
      </c>
      <c r="C124" t="inlineStr">
        <is>
          <t>081240404860</t>
        </is>
      </c>
      <c r="D124" t="inlineStr">
        <is>
          <t>khansa.uta@gmail.com</t>
        </is>
      </c>
      <c r="E124" t="inlineStr">
        <is>
          <t>https://lpjk.pu.go.id/search-badan-usaha-detail/VzZBMTRUcE9Yd2Jwc3JIZTFBRmlvdz09</t>
        </is>
      </c>
      <c r="F124" t="n">
        <v>2</v>
      </c>
      <c r="G124" t="inlineStr">
        <is>
          <t>BS005</t>
        </is>
      </c>
      <c r="H124" t="inlineStr">
        <is>
          <t>7 November 2016</t>
        </is>
      </c>
      <c r="I124" s="2" t="n">
        <v>46293</v>
      </c>
      <c r="J124" t="inlineStr">
        <is>
          <t>Disetujui</t>
        </is>
      </c>
      <c r="K124" t="n">
        <v>90</v>
      </c>
      <c r="L124" t="inlineStr">
        <is>
          <t>28 September 2026</t>
        </is>
      </c>
      <c r="M124" t="inlineStr">
        <is>
          <t>Konstruksi Bangunan Sipil Pengolahan Air Bersih</t>
        </is>
      </c>
      <c r="N124" t="inlineStr">
        <is>
          <t>K</t>
        </is>
      </c>
      <c r="O124" t="inlineStr">
        <is>
          <t>20230928</t>
        </is>
      </c>
      <c r="P124" t="inlineStr">
        <is>
          <t>Aceh</t>
        </is>
      </c>
      <c r="Q124" t="inlineStr"/>
    </row>
    <row r="125">
      <c r="A125" t="inlineStr">
        <is>
          <t>KIAN JAYA NUSANTARA</t>
        </is>
      </c>
      <c r="B125" t="inlineStr">
        <is>
          <t>Kab. Nganjuk</t>
        </is>
      </c>
      <c r="C125" t="inlineStr">
        <is>
          <t>085333399994</t>
        </is>
      </c>
      <c r="D125" t="inlineStr">
        <is>
          <t>kianjayanusantara@gmail.com</t>
        </is>
      </c>
      <c r="E125" t="inlineStr">
        <is>
          <t>https://lpjk.pu.go.id/search-badan-usaha-detail/SlAxVUJPUEVxOUJObUlFYzYrQk04dz09</t>
        </is>
      </c>
      <c r="F125" t="n">
        <v>1</v>
      </c>
      <c r="G125" t="inlineStr">
        <is>
          <t>BS001</t>
        </is>
      </c>
      <c r="H125" t="inlineStr">
        <is>
          <t>24 Maret 2023</t>
        </is>
      </c>
      <c r="I125" s="2" t="n">
        <v>46293</v>
      </c>
      <c r="J125" t="inlineStr">
        <is>
          <t>Disetujui</t>
        </is>
      </c>
      <c r="K125" t="n">
        <v>90</v>
      </c>
      <c r="L125" t="inlineStr">
        <is>
          <t>28 September 2026</t>
        </is>
      </c>
      <c r="M125" t="inlineStr">
        <is>
          <t>Konstruksi Bangunan Sipil Jalan</t>
        </is>
      </c>
      <c r="N125" t="inlineStr">
        <is>
          <t>K</t>
        </is>
      </c>
      <c r="O125" t="inlineStr">
        <is>
          <t>20230926</t>
        </is>
      </c>
      <c r="P125" t="inlineStr">
        <is>
          <t>Jawa Timur</t>
        </is>
      </c>
      <c r="Q125" t="inlineStr"/>
    </row>
    <row r="126">
      <c r="A126" t="inlineStr">
        <is>
          <t>KONSTRUKSI PUSAT INDONESIA</t>
        </is>
      </c>
      <c r="B126" t="inlineStr">
        <is>
          <t>Kota Adm. Jakarta Barat</t>
        </is>
      </c>
      <c r="C126" t="inlineStr">
        <is>
          <t>02122301888</t>
        </is>
      </c>
      <c r="D126" t="inlineStr">
        <is>
          <t>kpi888jakarta@gmail.com</t>
        </is>
      </c>
      <c r="E126" t="inlineStr">
        <is>
          <t>https://lpjk.pu.go.id/search-badan-usaha-detail/OGlyU2hvWS9hMU9ZWUpOSnE5ZEtsZz09</t>
        </is>
      </c>
      <c r="F126" t="n">
        <v>1</v>
      </c>
      <c r="G126" t="inlineStr">
        <is>
          <t>BG003</t>
        </is>
      </c>
      <c r="H126" t="inlineStr">
        <is>
          <t>5 April 2021</t>
        </is>
      </c>
      <c r="I126" s="2" t="n">
        <v>46293</v>
      </c>
      <c r="J126" t="inlineStr">
        <is>
          <t>Disetujui</t>
        </is>
      </c>
      <c r="K126" t="n">
        <v>90</v>
      </c>
      <c r="L126" t="inlineStr">
        <is>
          <t>28 September 2026</t>
        </is>
      </c>
      <c r="M126" t="inlineStr">
        <is>
          <t>Konstruksi Gedung Industri</t>
        </is>
      </c>
      <c r="N126" t="inlineStr">
        <is>
          <t>B</t>
        </is>
      </c>
      <c r="O126" t="inlineStr">
        <is>
          <t>20230927</t>
        </is>
      </c>
      <c r="P126" t="inlineStr">
        <is>
          <t>DKI Jakarta</t>
        </is>
      </c>
      <c r="Q126" t="inlineStr"/>
    </row>
    <row r="127">
      <c r="A127" t="inlineStr">
        <is>
          <t>KREASI GIRI KUSALO</t>
        </is>
      </c>
      <c r="B127" t="inlineStr">
        <is>
          <t>Kota Padang</t>
        </is>
      </c>
      <c r="C127" t="inlineStr">
        <is>
          <t>082296961188</t>
        </is>
      </c>
      <c r="D127" t="inlineStr">
        <is>
          <t>ptkreasigirikusalo1@gmail.com</t>
        </is>
      </c>
      <c r="E127" t="inlineStr">
        <is>
          <t>https://lpjk.pu.go.id/search-badan-usaha-detail/WmxSTmFGTU5Pcy9hRHkwNzlyQS85UT09</t>
        </is>
      </c>
      <c r="F127" t="n">
        <v>2</v>
      </c>
      <c r="G127" t="inlineStr">
        <is>
          <t>BG009</t>
        </is>
      </c>
      <c r="H127" t="inlineStr">
        <is>
          <t>29 Januari 2018</t>
        </is>
      </c>
      <c r="I127" s="2" t="n">
        <v>46293</v>
      </c>
      <c r="J127" t="inlineStr">
        <is>
          <t>Pencabutan</t>
        </is>
      </c>
      <c r="K127" t="n">
        <v>90</v>
      </c>
      <c r="L127" t="inlineStr">
        <is>
          <t>28 September 2026</t>
        </is>
      </c>
      <c r="M127" t="inlineStr">
        <is>
          <t>Konstruksi Gedung Lainnya</t>
        </is>
      </c>
      <c r="N127" t="inlineStr">
        <is>
          <t>K</t>
        </is>
      </c>
      <c r="O127" t="inlineStr">
        <is>
          <t>20230927</t>
        </is>
      </c>
      <c r="P127" t="inlineStr">
        <is>
          <t>Sumatera Barat</t>
        </is>
      </c>
      <c r="Q127" t="inlineStr"/>
    </row>
    <row r="128">
      <c r="A128" t="inlineStr">
        <is>
          <t>LANCAR JAYA ABADI KONSULTAN</t>
        </is>
      </c>
      <c r="B128" t="inlineStr">
        <is>
          <t>Kota Bandar Lampung</t>
        </is>
      </c>
      <c r="C128" t="inlineStr">
        <is>
          <t>62853845955522</t>
        </is>
      </c>
      <c r="D128" t="inlineStr">
        <is>
          <t>lancarjayaabadikonsultan@gmail.com</t>
        </is>
      </c>
      <c r="E128" t="inlineStr">
        <is>
          <t>https://lpjk.pu.go.id/search-badan-usaha-detail/Nko0eWgwL01tNTV2TG9rYWhTbFVldz09</t>
        </is>
      </c>
      <c r="F128" t="n">
        <v>1</v>
      </c>
      <c r="G128" t="inlineStr">
        <is>
          <t>RK002</t>
        </is>
      </c>
      <c r="H128" t="inlineStr">
        <is>
          <t>13 Januari 2023</t>
        </is>
      </c>
      <c r="I128" s="2" t="n">
        <v>46293</v>
      </c>
      <c r="J128" t="inlineStr">
        <is>
          <t>Disetujui</t>
        </is>
      </c>
      <c r="K128" t="n">
        <v>90</v>
      </c>
      <c r="L128" t="inlineStr">
        <is>
          <t>28 September 2026</t>
        </is>
      </c>
      <c r="M128" t="inlineStr">
        <is>
          <t>Jasa Rekayasa Pekerjaan Teknik Sipil Sumber Daya Air</t>
        </is>
      </c>
      <c r="N128" t="inlineStr">
        <is>
          <t>K</t>
        </is>
      </c>
      <c r="O128" t="inlineStr">
        <is>
          <t>20230915</t>
        </is>
      </c>
      <c r="P128" t="inlineStr">
        <is>
          <t>Lampung</t>
        </is>
      </c>
      <c r="Q128" t="inlineStr"/>
    </row>
    <row r="129">
      <c r="A129" t="inlineStr">
        <is>
          <t>LANGGENG JAYA</t>
        </is>
      </c>
      <c r="B129" t="inlineStr">
        <is>
          <t>Kota Magelang</t>
        </is>
      </c>
      <c r="C129" t="inlineStr">
        <is>
          <t>N/A</t>
        </is>
      </c>
      <c r="D129" t="inlineStr">
        <is>
          <t>N/A</t>
        </is>
      </c>
      <c r="E129" t="inlineStr">
        <is>
          <t>https://lpjk.pu.go.id/search-badan-usaha-detail/eWtIODgvYmltOHpodUQyalN4SGhpZz09</t>
        </is>
      </c>
      <c r="F129" t="n">
        <v>1</v>
      </c>
      <c r="G129" t="inlineStr">
        <is>
          <t>BG009</t>
        </is>
      </c>
      <c r="H129" t="inlineStr"/>
      <c r="I129" s="2" t="n">
        <v>46293</v>
      </c>
      <c r="J129" t="inlineStr">
        <is>
          <t>Disetujui</t>
        </is>
      </c>
      <c r="K129" t="n">
        <v>90</v>
      </c>
      <c r="L129" t="inlineStr">
        <is>
          <t>28 September 2026</t>
        </is>
      </c>
      <c r="M129" t="inlineStr">
        <is>
          <t>Konstruksi Gedung Lainnya</t>
        </is>
      </c>
      <c r="N129" t="inlineStr">
        <is>
          <t>K</t>
        </is>
      </c>
      <c r="O129" t="inlineStr">
        <is>
          <t>20230927</t>
        </is>
      </c>
      <c r="P129" t="inlineStr">
        <is>
          <t>Jawa Tengah</t>
        </is>
      </c>
      <c r="Q129" t="inlineStr"/>
    </row>
    <row r="130">
      <c r="A130" t="inlineStr">
        <is>
          <t>LAUTAN GRAHAMAS</t>
        </is>
      </c>
      <c r="B130" t="inlineStr">
        <is>
          <t>Kab. Bandung</t>
        </is>
      </c>
      <c r="C130" t="inlineStr">
        <is>
          <t>085946965518</t>
        </is>
      </c>
      <c r="D130" t="inlineStr">
        <is>
          <t>ptlautangrahamasgbi@yahoo.com</t>
        </is>
      </c>
      <c r="E130" t="inlineStr">
        <is>
          <t>https://lpjk.pu.go.id/search-badan-usaha-detail/Vll0c3Bia1Z0NlY0cnhNc0RFTXlkUT09</t>
        </is>
      </c>
      <c r="F130" t="n">
        <v>4</v>
      </c>
      <c r="G130" t="inlineStr">
        <is>
          <t>BG001, BG009</t>
        </is>
      </c>
      <c r="H130" t="inlineStr">
        <is>
          <t>7 Mei 2013</t>
        </is>
      </c>
      <c r="I130" s="2" t="n">
        <v>46293</v>
      </c>
      <c r="J130" t="inlineStr">
        <is>
          <t>Disetujui</t>
        </is>
      </c>
      <c r="K130" t="n">
        <v>90</v>
      </c>
      <c r="L130" t="inlineStr">
        <is>
          <t>28 September 2026</t>
        </is>
      </c>
      <c r="M130" t="inlineStr">
        <is>
          <t>Konstruksi Gedung Hunian, Konstruksi Gedung Lainnya</t>
        </is>
      </c>
      <c r="N130" t="inlineStr">
        <is>
          <t>K</t>
        </is>
      </c>
      <c r="O130" t="inlineStr">
        <is>
          <t>20230922</t>
        </is>
      </c>
      <c r="P130" t="inlineStr">
        <is>
          <t>Jawa Barat</t>
        </is>
      </c>
      <c r="Q130" t="inlineStr"/>
    </row>
    <row r="131">
      <c r="A131" t="inlineStr">
        <is>
          <t>LINGGAJATI</t>
        </is>
      </c>
      <c r="B131" t="inlineStr">
        <is>
          <t>Kota Malang</t>
        </is>
      </c>
      <c r="C131" t="inlineStr">
        <is>
          <t>085790950955</t>
        </is>
      </c>
      <c r="D131" t="inlineStr">
        <is>
          <t>linggajaticonstruction@gmail.com</t>
        </is>
      </c>
      <c r="E131" t="inlineStr">
        <is>
          <t>https://lpjk.pu.go.id/search-badan-usaha-detail/bCtJRDJmcXBaT1Z0TzV5cmRmUVQrdz09</t>
        </is>
      </c>
      <c r="F131" t="n">
        <v>7</v>
      </c>
      <c r="G131" t="inlineStr">
        <is>
          <t>BG002, BG004, BG005, BG006, BG009, BS001, BS004</t>
        </is>
      </c>
      <c r="H131" t="inlineStr">
        <is>
          <t>30 Agustus 2023</t>
        </is>
      </c>
      <c r="I131" s="2" t="n">
        <v>46293</v>
      </c>
      <c r="J131" t="inlineStr">
        <is>
          <t>Disetujui</t>
        </is>
      </c>
      <c r="K131" t="n">
        <v>90</v>
      </c>
      <c r="L131" t="inlineStr">
        <is>
          <t>28 September 2026</t>
        </is>
      </c>
      <c r="M131" t="inlineStr">
        <is>
          <t>Konstruksi Bangunan Sipil Jalan, Konstruksi Gedung Kesehatan, Konstruksi Gedung Lainnya, Konstruksi Gedung Pendidikan, Konstruksi Gedung Perbelanjaan, Konstruksi Gedung Perkantoran, Konstruksi Jaringan Irigasi dan Drainase</t>
        </is>
      </c>
      <c r="N131" t="inlineStr">
        <is>
          <t>K</t>
        </is>
      </c>
      <c r="O131" t="inlineStr">
        <is>
          <t>20230926</t>
        </is>
      </c>
      <c r="P131" t="inlineStr">
        <is>
          <t>Jawa Timur</t>
        </is>
      </c>
      <c r="Q131" t="inlineStr"/>
    </row>
    <row r="132">
      <c r="A132" t="inlineStr">
        <is>
          <t>MAHA AKBAR SEJAHTERA</t>
        </is>
      </c>
      <c r="B132" t="inlineStr">
        <is>
          <t>Kota Medan</t>
        </is>
      </c>
      <c r="C132" t="inlineStr">
        <is>
          <t>06142784599</t>
        </is>
      </c>
      <c r="D132" t="inlineStr">
        <is>
          <t>admin@mahasejahtera.com</t>
        </is>
      </c>
      <c r="E132" t="inlineStr">
        <is>
          <t>https://lpjk.pu.go.id/search-badan-usaha-detail/enBJQkRBK0hoWXdEblNOeUxUMThGZz09</t>
        </is>
      </c>
      <c r="F132" t="n">
        <v>1</v>
      </c>
      <c r="G132" t="inlineStr">
        <is>
          <t>BG009</t>
        </is>
      </c>
      <c r="H132" t="inlineStr">
        <is>
          <t>16 Januari 2019</t>
        </is>
      </c>
      <c r="I132" s="2" t="n">
        <v>46293</v>
      </c>
      <c r="J132" t="inlineStr">
        <is>
          <t>Disetujui</t>
        </is>
      </c>
      <c r="K132" t="n">
        <v>90</v>
      </c>
      <c r="L132" t="inlineStr">
        <is>
          <t>28 September 2026</t>
        </is>
      </c>
      <c r="M132" t="inlineStr">
        <is>
          <t>Konstruksi Gedung Lainnya</t>
        </is>
      </c>
      <c r="N132" t="inlineStr">
        <is>
          <t>M</t>
        </is>
      </c>
      <c r="O132" t="inlineStr">
        <is>
          <t>20230919</t>
        </is>
      </c>
      <c r="P132" t="inlineStr">
        <is>
          <t>Sumatera Utara</t>
        </is>
      </c>
      <c r="Q132" t="inlineStr"/>
    </row>
    <row r="133">
      <c r="A133" t="inlineStr">
        <is>
          <t>MAHAMERU CITRATAMA</t>
        </is>
      </c>
      <c r="B133" t="inlineStr">
        <is>
          <t>Kota Pontianak</t>
        </is>
      </c>
      <c r="C133" t="inlineStr">
        <is>
          <t>081256585658</t>
        </is>
      </c>
      <c r="D133" t="inlineStr">
        <is>
          <t>mahamerucitratama@gmail.com</t>
        </is>
      </c>
      <c r="E133" t="inlineStr">
        <is>
          <t>https://lpjk.pu.go.id/search-badan-usaha-detail/WkI1ZGt0RUx3RHR6Q1BkRzUzR3FjZz09</t>
        </is>
      </c>
      <c r="F133" t="n">
        <v>2</v>
      </c>
      <c r="G133" t="inlineStr">
        <is>
          <t>BG002</t>
        </is>
      </c>
      <c r="H133" t="inlineStr">
        <is>
          <t>4 Februari 2003</t>
        </is>
      </c>
      <c r="I133" s="2" t="n">
        <v>46293</v>
      </c>
      <c r="J133" t="inlineStr">
        <is>
          <t>Disetujui</t>
        </is>
      </c>
      <c r="K133" t="n">
        <v>90</v>
      </c>
      <c r="L133" t="inlineStr">
        <is>
          <t>28 September 2026</t>
        </is>
      </c>
      <c r="M133" t="inlineStr">
        <is>
          <t>Konstruksi Gedung Perkantoran</t>
        </is>
      </c>
      <c r="N133" t="inlineStr">
        <is>
          <t>K</t>
        </is>
      </c>
      <c r="O133" t="inlineStr">
        <is>
          <t>20230926</t>
        </is>
      </c>
      <c r="P133" t="inlineStr">
        <is>
          <t>Kalimantan Barat</t>
        </is>
      </c>
      <c r="Q133" t="inlineStr"/>
    </row>
    <row r="134">
      <c r="A134" t="inlineStr">
        <is>
          <t>MAHESA LESTARI</t>
        </is>
      </c>
      <c r="B134" t="inlineStr">
        <is>
          <t>Kab. Muna</t>
        </is>
      </c>
      <c r="C134" t="inlineStr">
        <is>
          <t>081343943199</t>
        </is>
      </c>
      <c r="D134" t="inlineStr">
        <is>
          <t>kamaluddinkamal648@gmail.com</t>
        </is>
      </c>
      <c r="E134" t="inlineStr">
        <is>
          <t>https://lpjk.pu.go.id/search-badan-usaha-detail/RHEzeEVyUGoyZVdXQzIyOTdoVi8zQT09</t>
        </is>
      </c>
      <c r="F134" t="n">
        <v>1</v>
      </c>
      <c r="G134" t="inlineStr">
        <is>
          <t>BS004</t>
        </is>
      </c>
      <c r="H134" t="inlineStr">
        <is>
          <t>9 September 2016</t>
        </is>
      </c>
      <c r="I134" s="2" t="n">
        <v>46293</v>
      </c>
      <c r="J134" t="inlineStr">
        <is>
          <t>Disetujui</t>
        </is>
      </c>
      <c r="K134" t="n">
        <v>90</v>
      </c>
      <c r="L134" t="inlineStr">
        <is>
          <t>28 September 2026</t>
        </is>
      </c>
      <c r="M134" t="inlineStr">
        <is>
          <t>Konstruksi Jaringan Irigasi dan Drainase</t>
        </is>
      </c>
      <c r="N134" t="inlineStr">
        <is>
          <t>K</t>
        </is>
      </c>
      <c r="O134" t="inlineStr">
        <is>
          <t>20230922</t>
        </is>
      </c>
      <c r="P134" t="inlineStr">
        <is>
          <t>Sulawesi Tenggara</t>
        </is>
      </c>
      <c r="Q134" t="inlineStr"/>
    </row>
    <row r="135">
      <c r="A135" t="inlineStr">
        <is>
          <t>MAHKOTA</t>
        </is>
      </c>
      <c r="B135" t="inlineStr">
        <is>
          <t>Kab. Bulungan</t>
        </is>
      </c>
      <c r="C135" t="inlineStr">
        <is>
          <t>085252692438</t>
        </is>
      </c>
      <c r="D135" t="inlineStr">
        <is>
          <t>putramangkupadi88@gmail.com</t>
        </is>
      </c>
      <c r="E135" t="inlineStr">
        <is>
          <t>https://lpjk.pu.go.id/search-badan-usaha-detail/RXpBUzBWZzZpTkNlMnhoMVJXVm5DZz09</t>
        </is>
      </c>
      <c r="F135" t="n">
        <v>1</v>
      </c>
      <c r="G135" t="inlineStr">
        <is>
          <t>BS004</t>
        </is>
      </c>
      <c r="H135" t="inlineStr">
        <is>
          <t>6 Januari 2011</t>
        </is>
      </c>
      <c r="I135" s="2" t="n">
        <v>46293</v>
      </c>
      <c r="J135" t="inlineStr">
        <is>
          <t>Pencabutan</t>
        </is>
      </c>
      <c r="K135" t="n">
        <v>90</v>
      </c>
      <c r="L135" t="inlineStr">
        <is>
          <t>28 September 2026</t>
        </is>
      </c>
      <c r="M135" t="inlineStr">
        <is>
          <t>Konstruksi Jaringan Irigasi dan Drainase</t>
        </is>
      </c>
      <c r="N135" t="inlineStr">
        <is>
          <t>K</t>
        </is>
      </c>
      <c r="O135" t="inlineStr">
        <is>
          <t>20230906</t>
        </is>
      </c>
      <c r="P135" t="inlineStr">
        <is>
          <t>Kalimantan Utara</t>
        </is>
      </c>
      <c r="Q135" t="inlineStr"/>
    </row>
    <row r="136">
      <c r="A136" t="inlineStr">
        <is>
          <t>MAJU MAPAN</t>
        </is>
      </c>
      <c r="B136" t="inlineStr">
        <is>
          <t>Kota Tarakan</t>
        </is>
      </c>
      <c r="C136" t="inlineStr">
        <is>
          <t>081388992922</t>
        </is>
      </c>
      <c r="D136" t="inlineStr">
        <is>
          <t>cv_majumapan.8899@yahoo.com</t>
        </is>
      </c>
      <c r="E136" t="inlineStr">
        <is>
          <t>https://lpjk.pu.go.id/search-badan-usaha-detail/VFVQTjJacnhkMnFQeWdsdDAxcWdYdz09</t>
        </is>
      </c>
      <c r="F136" t="n">
        <v>1</v>
      </c>
      <c r="G136" t="inlineStr">
        <is>
          <t>BS001</t>
        </is>
      </c>
      <c r="H136" t="inlineStr">
        <is>
          <t>22 Juni 2012</t>
        </is>
      </c>
      <c r="I136" s="2" t="n">
        <v>46293</v>
      </c>
      <c r="J136" t="inlineStr">
        <is>
          <t>Disetujui</t>
        </is>
      </c>
      <c r="K136" t="n">
        <v>90</v>
      </c>
      <c r="L136" t="inlineStr">
        <is>
          <t>28 September 2026</t>
        </is>
      </c>
      <c r="M136" t="inlineStr">
        <is>
          <t>Konstruksi Bangunan Sipil Jalan</t>
        </is>
      </c>
      <c r="N136" t="inlineStr">
        <is>
          <t>K</t>
        </is>
      </c>
      <c r="O136" t="inlineStr">
        <is>
          <t>20230713</t>
        </is>
      </c>
      <c r="P136" t="inlineStr">
        <is>
          <t>Kalimantan Utara</t>
        </is>
      </c>
      <c r="Q136" t="inlineStr"/>
    </row>
    <row r="137">
      <c r="A137" t="inlineStr">
        <is>
          <t>MAKMUR TOTAL SEJAHTERA</t>
        </is>
      </c>
      <c r="B137" t="inlineStr">
        <is>
          <t>Kab. Tangerang</t>
        </is>
      </c>
      <c r="C137" t="inlineStr">
        <is>
          <t>02129506729</t>
        </is>
      </c>
      <c r="D137" t="inlineStr">
        <is>
          <t>Makmurtotalsejahtera@gmail.com</t>
        </is>
      </c>
      <c r="E137" t="inlineStr">
        <is>
          <t>https://lpjk.pu.go.id/search-badan-usaha-detail/TktIT1BqdWlCd2xkb2Y4aWZndzVmdz09</t>
        </is>
      </c>
      <c r="F137" t="n">
        <v>1</v>
      </c>
      <c r="G137" t="inlineStr">
        <is>
          <t>PL003</t>
        </is>
      </c>
      <c r="H137" t="inlineStr">
        <is>
          <t>6 Januari 2023</t>
        </is>
      </c>
      <c r="I137" s="2" t="n">
        <v>46293</v>
      </c>
      <c r="J137" t="inlineStr">
        <is>
          <t>Pencabutan</t>
        </is>
      </c>
      <c r="K137" t="n">
        <v>90</v>
      </c>
      <c r="L137" t="inlineStr">
        <is>
          <t>28 September 2026</t>
        </is>
      </c>
      <c r="M137" t="inlineStr">
        <is>
          <t>Penyiapan Lahan Konstruksi</t>
        </is>
      </c>
      <c r="N137" t="inlineStr">
        <is>
          <t>Spesialis</t>
        </is>
      </c>
      <c r="O137" t="inlineStr">
        <is>
          <t>20230802</t>
        </is>
      </c>
      <c r="P137" t="inlineStr">
        <is>
          <t>Banten</t>
        </is>
      </c>
      <c r="Q137" t="inlineStr"/>
    </row>
    <row r="138">
      <c r="A138" t="inlineStr">
        <is>
          <t>MANDIRI UTAMA</t>
        </is>
      </c>
      <c r="B138" t="inlineStr">
        <is>
          <t>Kota Bima</t>
        </is>
      </c>
      <c r="C138" t="inlineStr">
        <is>
          <t>0823 3903 9180</t>
        </is>
      </c>
      <c r="D138" t="inlineStr">
        <is>
          <t>cvmandiriutama2019@gmail.com</t>
        </is>
      </c>
      <c r="E138" t="inlineStr">
        <is>
          <t>https://lpjk.pu.go.id/search-badan-usaha-detail/NDFQaUJSVnNGOXZ0RVpqTnJvL2FhUT09</t>
        </is>
      </c>
      <c r="F138" t="n">
        <v>1</v>
      </c>
      <c r="G138" t="inlineStr">
        <is>
          <t>BG008</t>
        </is>
      </c>
      <c r="H138" t="inlineStr">
        <is>
          <t>3 Februari 2017</t>
        </is>
      </c>
      <c r="I138" s="2" t="n">
        <v>46293</v>
      </c>
      <c r="J138" t="inlineStr">
        <is>
          <t>Disetujui</t>
        </is>
      </c>
      <c r="K138" t="n">
        <v>90</v>
      </c>
      <c r="L138" t="inlineStr">
        <is>
          <t>28 September 2026</t>
        </is>
      </c>
      <c r="M138" t="inlineStr">
        <is>
          <t>Konstruksi Gedung Tempat Hiburan dan Olahraga</t>
        </is>
      </c>
      <c r="N138" t="inlineStr">
        <is>
          <t>K</t>
        </is>
      </c>
      <c r="O138" t="inlineStr">
        <is>
          <t>20230922</t>
        </is>
      </c>
      <c r="P138" t="inlineStr">
        <is>
          <t>Nusa Tenggara Barat</t>
        </is>
      </c>
      <c r="Q138" t="inlineStr"/>
    </row>
    <row r="139">
      <c r="A139" t="inlineStr">
        <is>
          <t>MATRA ENGINEERING &amp; CONSTRUCTION</t>
        </is>
      </c>
      <c r="B139" t="inlineStr">
        <is>
          <t>Kota Cilegon</t>
        </is>
      </c>
      <c r="C139" t="inlineStr">
        <is>
          <t>085210889392</t>
        </is>
      </c>
      <c r="D139" t="inlineStr">
        <is>
          <t>mec@mec2009.com</t>
        </is>
      </c>
      <c r="E139" t="inlineStr">
        <is>
          <t>https://lpjk.pu.go.id/search-badan-usaha-detail/WGVPZHcvUWNzc2RHdVE4cVlNZmNodz09</t>
        </is>
      </c>
      <c r="F139" t="n">
        <v>2</v>
      </c>
      <c r="G139" t="inlineStr">
        <is>
          <t>BG003, BG009</t>
        </is>
      </c>
      <c r="H139" t="inlineStr">
        <is>
          <t>8 September 2014</t>
        </is>
      </c>
      <c r="I139" s="2" t="n">
        <v>46293</v>
      </c>
      <c r="J139" t="inlineStr">
        <is>
          <t>Pencabutan</t>
        </is>
      </c>
      <c r="K139" t="n">
        <v>90</v>
      </c>
      <c r="L139" t="inlineStr">
        <is>
          <t>28 September 2026</t>
        </is>
      </c>
      <c r="M139" t="inlineStr">
        <is>
          <t>Konstruksi Gedung Industri, Konstruksi Gedung Lainnya</t>
        </is>
      </c>
      <c r="N139" t="inlineStr">
        <is>
          <t>K</t>
        </is>
      </c>
      <c r="O139" t="inlineStr">
        <is>
          <t>20230821, 20230926</t>
        </is>
      </c>
      <c r="P139" t="inlineStr">
        <is>
          <t>Banten</t>
        </is>
      </c>
      <c r="Q139" t="inlineStr"/>
    </row>
    <row r="140">
      <c r="A140" t="inlineStr">
        <is>
          <t>MEDIANA INDO GROUP</t>
        </is>
      </c>
      <c r="B140" t="inlineStr">
        <is>
          <t>Kota Makassar</t>
        </is>
      </c>
      <c r="C140" t="inlineStr">
        <is>
          <t>085399137984</t>
        </is>
      </c>
      <c r="D140" t="inlineStr">
        <is>
          <t>ptmedianaindogrouop@gmail.com</t>
        </is>
      </c>
      <c r="E140" t="inlineStr">
        <is>
          <t>https://lpjk.pu.go.id/search-badan-usaha-detail/Z2xJNkI4bG5DcUU2TDRmcERqcmJGZz09</t>
        </is>
      </c>
      <c r="F140" t="n">
        <v>2</v>
      </c>
      <c r="G140" t="inlineStr">
        <is>
          <t>BG002</t>
        </is>
      </c>
      <c r="H140" t="inlineStr">
        <is>
          <t>4 Februari 2023</t>
        </is>
      </c>
      <c r="I140" s="2" t="n">
        <v>46293</v>
      </c>
      <c r="J140" t="inlineStr">
        <is>
          <t>Pencabutan</t>
        </is>
      </c>
      <c r="K140" t="n">
        <v>90</v>
      </c>
      <c r="L140" t="inlineStr">
        <is>
          <t>28 September 2026</t>
        </is>
      </c>
      <c r="M140" t="inlineStr">
        <is>
          <t>Konstruksi Gedung Perkantoran</t>
        </is>
      </c>
      <c r="N140" t="inlineStr">
        <is>
          <t>K</t>
        </is>
      </c>
      <c r="O140" t="inlineStr">
        <is>
          <t>20230905</t>
        </is>
      </c>
      <c r="P140" t="inlineStr">
        <is>
          <t>Sulawesi Selatan</t>
        </is>
      </c>
      <c r="Q140" t="inlineStr"/>
    </row>
    <row r="141">
      <c r="A141" t="inlineStr">
        <is>
          <t>MEGA PUTRA ENGINEERING</t>
        </is>
      </c>
      <c r="B141" t="inlineStr">
        <is>
          <t>Kab. Gowa</t>
        </is>
      </c>
      <c r="C141" t="inlineStr">
        <is>
          <t>082346664005</t>
        </is>
      </c>
      <c r="D141" t="inlineStr">
        <is>
          <t>megaputraengineering58@gmail.com</t>
        </is>
      </c>
      <c r="E141" t="inlineStr">
        <is>
          <t>https://lpjk.pu.go.id/search-badan-usaha-detail/OWxJTzZ6dXNzc1M4RGRrQVJXejZ6UT09</t>
        </is>
      </c>
      <c r="F141" t="n">
        <v>5</v>
      </c>
      <c r="G141" t="inlineStr">
        <is>
          <t>AR001, AR003, RK001, RK002, RK005</t>
        </is>
      </c>
      <c r="H141" t="inlineStr">
        <is>
          <t>19 Januari 2022</t>
        </is>
      </c>
      <c r="I141" s="2" t="n">
        <v>46293</v>
      </c>
      <c r="J141" t="inlineStr">
        <is>
          <t>Disetujui</t>
        </is>
      </c>
      <c r="K141" t="n">
        <v>90</v>
      </c>
      <c r="L141" t="inlineStr">
        <is>
          <t>28 September 2026</t>
        </is>
      </c>
      <c r="M141" t="inlineStr">
        <is>
          <t>Jasa Arsitektural Bangunan Gedung Hunian dan Non Hunian, Jasa Desain Interior pada Bangunan Gedung dan Bangunan Sipil, Jasa Rekayasa Konstruksi Bangunan Gedung Hunian dan Non Hunian, Jasa Rekayasa Lainnya, Jasa Rekayasa Pekerjaan Teknik Sipil Sumber Daya Air</t>
        </is>
      </c>
      <c r="N141" t="inlineStr">
        <is>
          <t>K</t>
        </is>
      </c>
      <c r="O141" t="inlineStr">
        <is>
          <t>20220420, 20230826, 20230827</t>
        </is>
      </c>
      <c r="P141" t="inlineStr">
        <is>
          <t>Sulawesi Selatan</t>
        </is>
      </c>
      <c r="Q141" t="inlineStr"/>
    </row>
    <row r="142">
      <c r="A142" t="inlineStr">
        <is>
          <t>MEGA TAMA</t>
        </is>
      </c>
      <c r="B142" t="inlineStr">
        <is>
          <t>Kab. Banjarnegara</t>
        </is>
      </c>
      <c r="C142" t="inlineStr">
        <is>
          <t>081318730683</t>
        </is>
      </c>
      <c r="D142" t="inlineStr">
        <is>
          <t>megatamat9@gmail.com</t>
        </is>
      </c>
      <c r="E142" t="inlineStr">
        <is>
          <t>https://lpjk.pu.go.id/search-badan-usaha-detail/QzZicWtSRmZvMmhxUWRsK2FMT2RTdz09</t>
        </is>
      </c>
      <c r="F142" t="n">
        <v>4</v>
      </c>
      <c r="G142" t="inlineStr">
        <is>
          <t>BG002, BG006, BG009, BS004</t>
        </is>
      </c>
      <c r="H142" t="inlineStr">
        <is>
          <t>23 Maret 2017</t>
        </is>
      </c>
      <c r="I142" s="2" t="n">
        <v>46293</v>
      </c>
      <c r="J142" t="inlineStr">
        <is>
          <t>Disetujui</t>
        </is>
      </c>
      <c r="K142" t="n">
        <v>90</v>
      </c>
      <c r="L142" t="inlineStr">
        <is>
          <t>28 September 2026</t>
        </is>
      </c>
      <c r="M142" t="inlineStr">
        <is>
          <t>Konstruksi Gedung Lainnya, Konstruksi Gedung Pendidikan, Konstruksi Gedung Perkantoran, Konstruksi Jaringan Irigasi dan Drainase</t>
        </is>
      </c>
      <c r="N142" t="inlineStr">
        <is>
          <t>K</t>
        </is>
      </c>
      <c r="O142" t="inlineStr">
        <is>
          <t>20230925</t>
        </is>
      </c>
      <c r="P142" t="inlineStr">
        <is>
          <t>Jawa Tengah</t>
        </is>
      </c>
      <c r="Q142" t="inlineStr"/>
    </row>
    <row r="143">
      <c r="A143" t="inlineStr">
        <is>
          <t>MEGATRON MULTI KARYA</t>
        </is>
      </c>
      <c r="B143" t="inlineStr">
        <is>
          <t>Kab. Melawi</t>
        </is>
      </c>
      <c r="C143" t="inlineStr">
        <is>
          <t>082158467717</t>
        </is>
      </c>
      <c r="D143" t="inlineStr">
        <is>
          <t>megatronmultikarya.cv@gmail.com</t>
        </is>
      </c>
      <c r="E143" t="inlineStr">
        <is>
          <t>https://lpjk.pu.go.id/search-badan-usaha-detail/amxMT1lhbFlySFZseHlhcVA4cDJHdz09</t>
        </is>
      </c>
      <c r="F143" t="n">
        <v>4</v>
      </c>
      <c r="G143" t="inlineStr">
        <is>
          <t>BG001, BG002, BG008, BG009</t>
        </is>
      </c>
      <c r="H143" t="inlineStr">
        <is>
          <t>1 April 2020</t>
        </is>
      </c>
      <c r="I143" s="2" t="n">
        <v>46293</v>
      </c>
      <c r="J143" t="inlineStr">
        <is>
          <t>Disetujui</t>
        </is>
      </c>
      <c r="K143" t="n">
        <v>90</v>
      </c>
      <c r="L143" t="inlineStr">
        <is>
          <t>28 September 2026</t>
        </is>
      </c>
      <c r="M143" t="inlineStr">
        <is>
          <t>Konstruksi Gedung Hunian, Konstruksi Gedung Lainnya, Konstruksi Gedung Perkantoran, Konstruksi Gedung Tempat Hiburan dan Olahraga</t>
        </is>
      </c>
      <c r="N143" t="inlineStr">
        <is>
          <t>K</t>
        </is>
      </c>
      <c r="O143" t="inlineStr">
        <is>
          <t>20230927, 20230928</t>
        </is>
      </c>
      <c r="P143" t="inlineStr">
        <is>
          <t>Kalimantan Barat</t>
        </is>
      </c>
      <c r="Q143" t="inlineStr"/>
    </row>
    <row r="144">
      <c r="A144" t="inlineStr">
        <is>
          <t>MENARA KONSTRUKSI ABADI</t>
        </is>
      </c>
      <c r="B144" t="inlineStr">
        <is>
          <t>Kota Adm. Jakarta Barat</t>
        </is>
      </c>
      <c r="C144" t="inlineStr">
        <is>
          <t>02154361079</t>
        </is>
      </c>
      <c r="D144" t="inlineStr">
        <is>
          <t>menarakonstruksiabadi@gmail.com</t>
        </is>
      </c>
      <c r="E144" t="inlineStr">
        <is>
          <t>https://lpjk.pu.go.id/search-badan-usaha-detail/enQzSG56ekJidmIxY0dWU0xPYXVPZz09</t>
        </is>
      </c>
      <c r="F144" t="n">
        <v>5</v>
      </c>
      <c r="G144" t="inlineStr">
        <is>
          <t>BG005, BG006, BG009, BS001</t>
        </is>
      </c>
      <c r="H144" t="inlineStr">
        <is>
          <t>11 Agustus 2023</t>
        </is>
      </c>
      <c r="I144" s="2" t="n">
        <v>46293</v>
      </c>
      <c r="J144" t="inlineStr">
        <is>
          <t>Pencabutan</t>
        </is>
      </c>
      <c r="K144" t="n">
        <v>90</v>
      </c>
      <c r="L144" t="inlineStr">
        <is>
          <t>28 September 2026</t>
        </is>
      </c>
      <c r="M144" t="inlineStr">
        <is>
          <t>Konstruksi Bangunan Sipil Jalan, Konstruksi Gedung Kesehatan, Konstruksi Gedung Lainnya, Konstruksi Gedung Pendidikan</t>
        </is>
      </c>
      <c r="N144" t="inlineStr">
        <is>
          <t>K</t>
        </is>
      </c>
      <c r="O144" t="inlineStr">
        <is>
          <t>20230927</t>
        </is>
      </c>
      <c r="P144" t="inlineStr">
        <is>
          <t>DKI Jakarta</t>
        </is>
      </c>
      <c r="Q144" t="inlineStr"/>
    </row>
    <row r="145">
      <c r="A145" t="inlineStr">
        <is>
          <t>MITRA BERSAMA</t>
        </is>
      </c>
      <c r="B145" t="inlineStr">
        <is>
          <t>Kab. Tanah Bumbu</t>
        </is>
      </c>
      <c r="C145" t="inlineStr">
        <is>
          <t>081251033323</t>
        </is>
      </c>
      <c r="D145" t="inlineStr">
        <is>
          <t>nano.nato@yahoo.co.id</t>
        </is>
      </c>
      <c r="E145" t="inlineStr">
        <is>
          <t>https://lpjk.pu.go.id/search-badan-usaha-detail/Q2ZaWDd0ME96OUFzU2I5KzFzRnYyQT09</t>
        </is>
      </c>
      <c r="F145" t="n">
        <v>1</v>
      </c>
      <c r="G145" t="inlineStr">
        <is>
          <t>BG004</t>
        </is>
      </c>
      <c r="H145" t="inlineStr">
        <is>
          <t>5 Juni 2006</t>
        </is>
      </c>
      <c r="I145" s="2" t="n">
        <v>46293</v>
      </c>
      <c r="J145" t="inlineStr">
        <is>
          <t>Disetujui</t>
        </is>
      </c>
      <c r="K145" t="n">
        <v>90</v>
      </c>
      <c r="L145" t="inlineStr">
        <is>
          <t>28 September 2026</t>
        </is>
      </c>
      <c r="M145" t="inlineStr">
        <is>
          <t>Konstruksi Gedung Perbelanjaan</t>
        </is>
      </c>
      <c r="N145" t="inlineStr">
        <is>
          <t>K</t>
        </is>
      </c>
      <c r="O145" t="inlineStr">
        <is>
          <t>20230922</t>
        </is>
      </c>
      <c r="P145" t="inlineStr">
        <is>
          <t>Kalimantan Selatan</t>
        </is>
      </c>
      <c r="Q145" t="inlineStr"/>
    </row>
    <row r="146">
      <c r="A146" t="inlineStr">
        <is>
          <t>MITRA KARYA</t>
        </is>
      </c>
      <c r="B146" t="inlineStr">
        <is>
          <t>Kab. Cirebon</t>
        </is>
      </c>
      <c r="C146" t="inlineStr">
        <is>
          <t>081770563493</t>
        </is>
      </c>
      <c r="D146" t="inlineStr">
        <is>
          <t>cv.mitrakaryacrb@gmail.com</t>
        </is>
      </c>
      <c r="E146" t="inlineStr">
        <is>
          <t>https://lpjk.pu.go.id/search-badan-usaha-detail/ZVBNcEdEL0FGejdJdVVNVEFabTV3Zz09</t>
        </is>
      </c>
      <c r="F146" t="n">
        <v>1</v>
      </c>
      <c r="G146" t="inlineStr">
        <is>
          <t>BS001</t>
        </is>
      </c>
      <c r="H146" t="inlineStr">
        <is>
          <t>13 Oktober 1992</t>
        </is>
      </c>
      <c r="I146" s="2" t="n">
        <v>46293</v>
      </c>
      <c r="J146" t="inlineStr">
        <is>
          <t>Disetujui</t>
        </is>
      </c>
      <c r="K146" t="n">
        <v>90</v>
      </c>
      <c r="L146" t="inlineStr">
        <is>
          <t>28 September 2026</t>
        </is>
      </c>
      <c r="M146" t="inlineStr">
        <is>
          <t>Konstruksi Bangunan Sipil Jalan</t>
        </is>
      </c>
      <c r="N146" t="inlineStr">
        <is>
          <t>K</t>
        </is>
      </c>
      <c r="O146" t="inlineStr">
        <is>
          <t>20230926</t>
        </is>
      </c>
      <c r="P146" t="inlineStr">
        <is>
          <t>Jawa Barat</t>
        </is>
      </c>
      <c r="Q146" t="inlineStr"/>
    </row>
    <row r="147">
      <c r="A147" t="inlineStr">
        <is>
          <t>MITRA KARYA PEMBANGUNAN</t>
        </is>
      </c>
      <c r="B147" t="inlineStr">
        <is>
          <t>Kota Tarakan</t>
        </is>
      </c>
      <c r="C147" t="inlineStr">
        <is>
          <t>081220449729</t>
        </is>
      </c>
      <c r="D147" t="inlineStr">
        <is>
          <t>cv_karyapembangunan@yahoo.com</t>
        </is>
      </c>
      <c r="E147" t="inlineStr">
        <is>
          <t>https://lpjk.pu.go.id/search-badan-usaha-detail/ZDBlMWg0VGt3b1NYVFlhWWc2ejBJdz09</t>
        </is>
      </c>
      <c r="F147" t="n">
        <v>3</v>
      </c>
      <c r="G147" t="inlineStr">
        <is>
          <t>BG005, BG006, BG009</t>
        </is>
      </c>
      <c r="H147" t="inlineStr">
        <is>
          <t>31 Januari 2020</t>
        </is>
      </c>
      <c r="I147" s="2" t="n">
        <v>46293</v>
      </c>
      <c r="J147" t="inlineStr">
        <is>
          <t>Disetujui</t>
        </is>
      </c>
      <c r="K147" t="n">
        <v>90</v>
      </c>
      <c r="L147" t="inlineStr">
        <is>
          <t>28 September 2026</t>
        </is>
      </c>
      <c r="M147" t="inlineStr">
        <is>
          <t>Konstruksi Gedung Kesehatan, Konstruksi Gedung Lainnya, Konstruksi Gedung Pendidikan</t>
        </is>
      </c>
      <c r="N147" t="inlineStr">
        <is>
          <t>K</t>
        </is>
      </c>
      <c r="O147" t="inlineStr">
        <is>
          <t>20230921</t>
        </is>
      </c>
      <c r="P147" t="inlineStr">
        <is>
          <t>Kalimantan Utara</t>
        </is>
      </c>
      <c r="Q147" t="inlineStr"/>
    </row>
    <row r="148">
      <c r="A148" t="inlineStr">
        <is>
          <t>MUARA KAPUAS</t>
        </is>
      </c>
      <c r="B148" t="inlineStr">
        <is>
          <t>Kab. Kapuas Hulu</t>
        </is>
      </c>
      <c r="C148" t="inlineStr">
        <is>
          <t>081335154961</t>
        </is>
      </c>
      <c r="D148" t="inlineStr">
        <is>
          <t>iam.muarakapuas@gmail.com</t>
        </is>
      </c>
      <c r="E148" t="inlineStr">
        <is>
          <t>https://lpjk.pu.go.id/search-badan-usaha-detail/blJFYVZCM1NJSXpUY2QzdHdRTHIydz09</t>
        </is>
      </c>
      <c r="F148" t="n">
        <v>1</v>
      </c>
      <c r="G148" t="inlineStr">
        <is>
          <t>BS001</t>
        </is>
      </c>
      <c r="H148" t="inlineStr">
        <is>
          <t>10 Desember 2003</t>
        </is>
      </c>
      <c r="I148" s="2" t="n">
        <v>46293</v>
      </c>
      <c r="J148" t="inlineStr">
        <is>
          <t>Disetujui</t>
        </is>
      </c>
      <c r="K148" t="n">
        <v>90</v>
      </c>
      <c r="L148" t="inlineStr">
        <is>
          <t>28 September 2026</t>
        </is>
      </c>
      <c r="M148" t="inlineStr">
        <is>
          <t>Konstruksi Bangunan Sipil Jalan</t>
        </is>
      </c>
      <c r="N148" t="inlineStr">
        <is>
          <t>K</t>
        </is>
      </c>
      <c r="O148" t="inlineStr">
        <is>
          <t>20230928</t>
        </is>
      </c>
      <c r="P148" t="inlineStr">
        <is>
          <t>Kalimantan Barat</t>
        </is>
      </c>
      <c r="Q148" t="inlineStr"/>
    </row>
    <row r="149">
      <c r="A149" t="inlineStr">
        <is>
          <t>MUKTI ADHI SEJAHTERA</t>
        </is>
      </c>
      <c r="B149" t="inlineStr">
        <is>
          <t>Kota Surabaya</t>
        </is>
      </c>
      <c r="C149" t="inlineStr">
        <is>
          <t>0318477805</t>
        </is>
      </c>
      <c r="D149" t="inlineStr">
        <is>
          <t>muktiadhi.sejahtera@gmail.com</t>
        </is>
      </c>
      <c r="E149" t="inlineStr">
        <is>
          <t>https://lpjk.pu.go.id/search-badan-usaha-detail/VG5YNjYwZm1Ra3VScUhmZ0htb3Y5QT09</t>
        </is>
      </c>
      <c r="F149" t="n">
        <v>1</v>
      </c>
      <c r="G149" t="inlineStr">
        <is>
          <t>BG006</t>
        </is>
      </c>
      <c r="H149" t="inlineStr">
        <is>
          <t>9 September 2008</t>
        </is>
      </c>
      <c r="I149" s="2" t="n">
        <v>46293</v>
      </c>
      <c r="J149" t="inlineStr">
        <is>
          <t>Pencabutan</t>
        </is>
      </c>
      <c r="K149" t="n">
        <v>90</v>
      </c>
      <c r="L149" t="inlineStr">
        <is>
          <t>28 September 2026</t>
        </is>
      </c>
      <c r="M149" t="inlineStr">
        <is>
          <t>Konstruksi Gedung Pendidikan</t>
        </is>
      </c>
      <c r="N149" t="inlineStr">
        <is>
          <t>M</t>
        </is>
      </c>
      <c r="O149" t="inlineStr">
        <is>
          <t>20230922</t>
        </is>
      </c>
      <c r="P149" t="inlineStr">
        <is>
          <t>Jawa Timur</t>
        </is>
      </c>
      <c r="Q149" t="inlineStr"/>
    </row>
    <row r="150">
      <c r="A150" t="inlineStr">
        <is>
          <t>MULTI BERKAH SOLUSINDO</t>
        </is>
      </c>
      <c r="B150" t="inlineStr">
        <is>
          <t>Kota Balikpapan</t>
        </is>
      </c>
      <c r="C150" t="inlineStr">
        <is>
          <t>081350005567</t>
        </is>
      </c>
      <c r="D150" t="inlineStr">
        <is>
          <t>multiberkahsolusindo@gmail.com</t>
        </is>
      </c>
      <c r="E150" t="inlineStr">
        <is>
          <t>https://lpjk.pu.go.id/search-badan-usaha-detail/L2xJcHRXbnkwbmpDVDFXV3Z6eW95dz09</t>
        </is>
      </c>
      <c r="F150" t="n">
        <v>1</v>
      </c>
      <c r="G150" t="inlineStr">
        <is>
          <t>BS001</t>
        </is>
      </c>
      <c r="H150" t="inlineStr">
        <is>
          <t>12 Juni 2023</t>
        </is>
      </c>
      <c r="I150" s="2" t="n">
        <v>46293</v>
      </c>
      <c r="J150" t="inlineStr">
        <is>
          <t>Disetujui</t>
        </is>
      </c>
      <c r="K150" t="n">
        <v>90</v>
      </c>
      <c r="L150" t="inlineStr">
        <is>
          <t>28 September 2026</t>
        </is>
      </c>
      <c r="M150" t="inlineStr">
        <is>
          <t>Konstruksi Bangunan Sipil Jalan</t>
        </is>
      </c>
      <c r="N150" t="inlineStr">
        <is>
          <t>K</t>
        </is>
      </c>
      <c r="O150" t="inlineStr">
        <is>
          <t>20230926</t>
        </is>
      </c>
      <c r="P150" t="inlineStr">
        <is>
          <t>Kalimantan Timur</t>
        </is>
      </c>
      <c r="Q150" t="inlineStr"/>
    </row>
    <row r="151">
      <c r="A151" t="inlineStr">
        <is>
          <t>MULTI MITRA SERASI CONSULTANT</t>
        </is>
      </c>
      <c r="B151" t="inlineStr">
        <is>
          <t>Kota Padang</t>
        </is>
      </c>
      <c r="C151" t="inlineStr">
        <is>
          <t>07514488288</t>
        </is>
      </c>
      <c r="D151" t="inlineStr">
        <is>
          <t>multimitraserasi.97@gmail.com</t>
        </is>
      </c>
      <c r="E151" t="inlineStr">
        <is>
          <t>https://lpjk.pu.go.id/search-badan-usaha-detail/V3JSWWVjU2Y0MVRRcFNPRlBqQkZDUT09</t>
        </is>
      </c>
      <c r="F151" t="n">
        <v>1</v>
      </c>
      <c r="G151" t="inlineStr">
        <is>
          <t>RK005</t>
        </is>
      </c>
      <c r="H151" t="inlineStr">
        <is>
          <t>12 Agustus 1997</t>
        </is>
      </c>
      <c r="I151" s="2" t="n">
        <v>46293</v>
      </c>
      <c r="J151" t="inlineStr">
        <is>
          <t>Disetujui</t>
        </is>
      </c>
      <c r="K151" t="n">
        <v>90</v>
      </c>
      <c r="L151" t="inlineStr">
        <is>
          <t>28 September 2026</t>
        </is>
      </c>
      <c r="M151" t="inlineStr">
        <is>
          <t>Jasa Rekayasa Lainnya</t>
        </is>
      </c>
      <c r="N151" t="inlineStr">
        <is>
          <t>K</t>
        </is>
      </c>
      <c r="O151" t="inlineStr">
        <is>
          <t>20230917</t>
        </is>
      </c>
      <c r="P151" t="inlineStr">
        <is>
          <t>Sumatera Barat</t>
        </is>
      </c>
      <c r="Q151" t="inlineStr"/>
    </row>
    <row r="152">
      <c r="A152" t="inlineStr">
        <is>
          <t>MULTITECH INFOMEDIA</t>
        </is>
      </c>
      <c r="B152" t="inlineStr">
        <is>
          <t>Kota Adm. Jakarta Barat</t>
        </is>
      </c>
      <c r="C152" t="inlineStr">
        <is>
          <t>0215643233</t>
        </is>
      </c>
      <c r="D152" t="inlineStr">
        <is>
          <t>fao@multitech-infomedia.co.id</t>
        </is>
      </c>
      <c r="E152" t="inlineStr">
        <is>
          <t>https://lpjk.pu.go.id/search-badan-usaha-detail/VU5NLzRZTC9ra2NaTFhzbTJScUFQQT09</t>
        </is>
      </c>
      <c r="F152" t="n">
        <v>2</v>
      </c>
      <c r="G152" t="inlineStr">
        <is>
          <t>BS009</t>
        </is>
      </c>
      <c r="H152" t="inlineStr">
        <is>
          <t>21 Januari 2009</t>
        </is>
      </c>
      <c r="I152" s="2" t="n">
        <v>46293</v>
      </c>
      <c r="J152" t="inlineStr">
        <is>
          <t>Disetujui</t>
        </is>
      </c>
      <c r="K152" t="n">
        <v>90</v>
      </c>
      <c r="L152" t="inlineStr">
        <is>
          <t>28 September 2026</t>
        </is>
      </c>
      <c r="M152" t="inlineStr">
        <is>
          <t>Konstruksi Sentral Telekomunikasi</t>
        </is>
      </c>
      <c r="N152" t="inlineStr">
        <is>
          <t>K</t>
        </is>
      </c>
      <c r="O152" t="inlineStr">
        <is>
          <t>20230922</t>
        </is>
      </c>
      <c r="P152" t="inlineStr">
        <is>
          <t>DKI Jakarta</t>
        </is>
      </c>
      <c r="Q152" t="inlineStr"/>
    </row>
    <row r="153">
      <c r="A153" t="inlineStr">
        <is>
          <t>MUTIARA</t>
        </is>
      </c>
      <c r="B153" t="inlineStr">
        <is>
          <t>Kab. Wonosobo</t>
        </is>
      </c>
      <c r="C153" t="inlineStr">
        <is>
          <t>085227717311</t>
        </is>
      </c>
      <c r="D153" t="inlineStr">
        <is>
          <t>mutiarawsb0@gmail.com</t>
        </is>
      </c>
      <c r="E153" t="inlineStr">
        <is>
          <t>https://lpjk.pu.go.id/search-badan-usaha-detail/NTZDVk9yNDZ1eDVCRmpMSUNSQ2VJQT09</t>
        </is>
      </c>
      <c r="F153" t="n">
        <v>5</v>
      </c>
      <c r="G153" t="inlineStr">
        <is>
          <t>BG006, BG009, BS001, BS002, BS004</t>
        </is>
      </c>
      <c r="H153" t="inlineStr">
        <is>
          <t>30 Agustus 2003</t>
        </is>
      </c>
      <c r="I153" s="2" t="n">
        <v>46293</v>
      </c>
      <c r="J153" t="inlineStr">
        <is>
          <t>Disetujui</t>
        </is>
      </c>
      <c r="K153" t="n">
        <v>90</v>
      </c>
      <c r="L153" t="inlineStr">
        <is>
          <t>28 September 2026</t>
        </is>
      </c>
      <c r="M153" t="inlineStr">
        <is>
          <t>Bangunan Sipil Jembatan, Jalan Layang, Fly Over, dan Underpass, Konstruksi Bangunan Sipil Jalan, Konstruksi Gedung Lainnya, Konstruksi Gedung Pendidikan, Konstruksi Jaringan Irigasi dan Drainase</t>
        </is>
      </c>
      <c r="N153" t="inlineStr">
        <is>
          <t>K</t>
        </is>
      </c>
      <c r="O153" t="inlineStr">
        <is>
          <t>20230926</t>
        </is>
      </c>
      <c r="P153" t="inlineStr">
        <is>
          <t>Jawa Tengah</t>
        </is>
      </c>
      <c r="Q153" t="inlineStr"/>
    </row>
    <row r="154">
      <c r="A154" t="inlineStr">
        <is>
          <t>MUTIARA KONSTRUKSI</t>
        </is>
      </c>
      <c r="B154" t="inlineStr">
        <is>
          <t>Kota Lubuk Linggau</t>
        </is>
      </c>
      <c r="C154" t="inlineStr">
        <is>
          <t>081377646632</t>
        </is>
      </c>
      <c r="D154" t="inlineStr">
        <is>
          <t>cv.mutiarakonstruksi2023@gmail.com</t>
        </is>
      </c>
      <c r="E154" t="inlineStr">
        <is>
          <t>https://lpjk.pu.go.id/search-badan-usaha-detail/ZXp2RlI0Q05xV1NoSXFjWGJyQmFDUT09</t>
        </is>
      </c>
      <c r="F154" t="n">
        <v>8</v>
      </c>
      <c r="G154" t="inlineStr">
        <is>
          <t>BG006, BG009, BS001, BS004</t>
        </is>
      </c>
      <c r="H154" t="inlineStr">
        <is>
          <t>2 Maret 2012</t>
        </is>
      </c>
      <c r="I154" s="2" t="n">
        <v>46293</v>
      </c>
      <c r="J154" t="inlineStr">
        <is>
          <t>Disetujui</t>
        </is>
      </c>
      <c r="K154" t="n">
        <v>90</v>
      </c>
      <c r="L154" t="inlineStr">
        <is>
          <t>28 September 2026</t>
        </is>
      </c>
      <c r="M154" t="inlineStr">
        <is>
          <t>Konstruksi Bangunan Sipil Jalan, Konstruksi Gedung Lainnya, Konstruksi Gedung Pendidikan, Konstruksi Jaringan Irigasi dan Drainase</t>
        </is>
      </c>
      <c r="N154" t="inlineStr">
        <is>
          <t>K</t>
        </is>
      </c>
      <c r="O154" t="inlineStr">
        <is>
          <t>20230926</t>
        </is>
      </c>
      <c r="P154" t="inlineStr">
        <is>
          <t>Sumatera Selatan</t>
        </is>
      </c>
      <c r="Q154" t="inlineStr"/>
    </row>
    <row r="155">
      <c r="A155" t="inlineStr">
        <is>
          <t>NABILA SALMA</t>
        </is>
      </c>
      <c r="B155" t="inlineStr">
        <is>
          <t>Kab. Subang</t>
        </is>
      </c>
      <c r="C155" t="inlineStr">
        <is>
          <t>085158811627</t>
        </is>
      </c>
      <c r="D155" t="inlineStr">
        <is>
          <t>cv.nabilasalma@gmail.com</t>
        </is>
      </c>
      <c r="E155" t="inlineStr">
        <is>
          <t>https://lpjk.pu.go.id/search-badan-usaha-detail/S2NhZFFRMjlOcGJ6MUdrLytpZy9Pdz09</t>
        </is>
      </c>
      <c r="F155" t="n">
        <v>2</v>
      </c>
      <c r="G155" t="inlineStr">
        <is>
          <t>BG006</t>
        </is>
      </c>
      <c r="H155" t="inlineStr">
        <is>
          <t>31 Juli 2023</t>
        </is>
      </c>
      <c r="I155" s="2" t="n">
        <v>46293</v>
      </c>
      <c r="J155" t="inlineStr">
        <is>
          <t>Pencabutan</t>
        </is>
      </c>
      <c r="K155" t="n">
        <v>90</v>
      </c>
      <c r="L155" t="inlineStr">
        <is>
          <t>28 September 2026</t>
        </is>
      </c>
      <c r="M155" t="inlineStr">
        <is>
          <t>Konstruksi Gedung Pendidikan</t>
        </is>
      </c>
      <c r="N155" t="inlineStr">
        <is>
          <t>K</t>
        </is>
      </c>
      <c r="O155" t="inlineStr">
        <is>
          <t>20230929</t>
        </is>
      </c>
      <c r="P155" t="inlineStr">
        <is>
          <t>Jawa Barat</t>
        </is>
      </c>
      <c r="Q155" t="inlineStr"/>
    </row>
    <row r="156">
      <c r="A156" t="inlineStr">
        <is>
          <t>NALAR CIPTA SUKSES</t>
        </is>
      </c>
      <c r="B156" t="inlineStr">
        <is>
          <t>Kab. Banjar</t>
        </is>
      </c>
      <c r="C156" t="inlineStr">
        <is>
          <t>08125025848</t>
        </is>
      </c>
      <c r="D156" t="inlineStr">
        <is>
          <t>budihidayat225@gmail.com</t>
        </is>
      </c>
      <c r="E156" t="inlineStr">
        <is>
          <t>https://lpjk.pu.go.id/search-badan-usaha-detail/VElTOWYwb3RGNDNsWkwzUkp0UUxFQT09</t>
        </is>
      </c>
      <c r="F156" t="n">
        <v>2</v>
      </c>
      <c r="G156" t="inlineStr">
        <is>
          <t>BS001, BS004</t>
        </is>
      </c>
      <c r="H156" t="inlineStr">
        <is>
          <t>16 November 2002</t>
        </is>
      </c>
      <c r="I156" s="2" t="n">
        <v>46293</v>
      </c>
      <c r="J156" t="inlineStr">
        <is>
          <t>Disetujui</t>
        </is>
      </c>
      <c r="K156" t="n">
        <v>90</v>
      </c>
      <c r="L156" t="inlineStr">
        <is>
          <t>28 September 2026</t>
        </is>
      </c>
      <c r="M156" t="inlineStr">
        <is>
          <t>Konstruksi Bangunan Sipil Jalan, Konstruksi Jaringan Irigasi dan Drainase</t>
        </is>
      </c>
      <c r="N156" t="inlineStr">
        <is>
          <t>K</t>
        </is>
      </c>
      <c r="O156" t="inlineStr">
        <is>
          <t>20230919</t>
        </is>
      </c>
      <c r="P156" t="inlineStr">
        <is>
          <t>Kalimantan Selatan</t>
        </is>
      </c>
      <c r="Q156" t="inlineStr"/>
    </row>
    <row r="157">
      <c r="A157" t="inlineStr">
        <is>
          <t>NANDAKA</t>
        </is>
      </c>
      <c r="B157" t="inlineStr">
        <is>
          <t>Kab. Karanganyar</t>
        </is>
      </c>
      <c r="C157" t="inlineStr">
        <is>
          <t>082177428991</t>
        </is>
      </c>
      <c r="D157" t="inlineStr">
        <is>
          <t>cv.nandaka@gmail.com</t>
        </is>
      </c>
      <c r="E157" t="inlineStr">
        <is>
          <t>https://lpjk.pu.go.id/search-badan-usaha-detail/NHhvSXVrK1p0TGtyU2Fib0RQeGE5dz09</t>
        </is>
      </c>
      <c r="F157" t="n">
        <v>1</v>
      </c>
      <c r="G157" t="inlineStr">
        <is>
          <t>RK001</t>
        </is>
      </c>
      <c r="H157" t="inlineStr">
        <is>
          <t>28 Desember 2006</t>
        </is>
      </c>
      <c r="I157" s="2" t="n">
        <v>46293</v>
      </c>
      <c r="J157" t="inlineStr">
        <is>
          <t>Disetujui</t>
        </is>
      </c>
      <c r="K157" t="n">
        <v>90</v>
      </c>
      <c r="L157" t="inlineStr">
        <is>
          <t>28 September 2026</t>
        </is>
      </c>
      <c r="M157" t="inlineStr">
        <is>
          <t>Jasa Rekayasa Konstruksi Bangunan Gedung Hunian dan Non Hunian</t>
        </is>
      </c>
      <c r="N157" t="inlineStr">
        <is>
          <t>K</t>
        </is>
      </c>
      <c r="O157" t="inlineStr">
        <is>
          <t>20230919</t>
        </is>
      </c>
      <c r="P157" t="inlineStr">
        <is>
          <t>Jawa Tengah</t>
        </is>
      </c>
      <c r="Q157" t="inlineStr"/>
    </row>
    <row r="158">
      <c r="A158" t="inlineStr">
        <is>
          <t>NATAMA PUTRA MANDIRI</t>
        </is>
      </c>
      <c r="B158" t="inlineStr">
        <is>
          <t>Kota Bandung</t>
        </is>
      </c>
      <c r="C158" t="inlineStr">
        <is>
          <t>082130267400</t>
        </is>
      </c>
      <c r="D158" t="inlineStr">
        <is>
          <t>natamaputramandiri@gmail.com</t>
        </is>
      </c>
      <c r="E158" t="inlineStr">
        <is>
          <t>https://lpjk.pu.go.id/search-badan-usaha-detail/S2ljT2NxdzJ6Smg0NVQ3ek1zcG9lUT09</t>
        </is>
      </c>
      <c r="F158" t="n">
        <v>4</v>
      </c>
      <c r="G158" t="inlineStr">
        <is>
          <t>BG006, BG009</t>
        </is>
      </c>
      <c r="H158" t="inlineStr">
        <is>
          <t>8 September 2021</t>
        </is>
      </c>
      <c r="I158" s="2" t="n">
        <v>46293</v>
      </c>
      <c r="J158" t="inlineStr">
        <is>
          <t>Pencabutan</t>
        </is>
      </c>
      <c r="K158" t="n">
        <v>90</v>
      </c>
      <c r="L158" t="inlineStr">
        <is>
          <t>28 September 2026</t>
        </is>
      </c>
      <c r="M158" t="inlineStr">
        <is>
          <t>Konstruksi Gedung Lainnya, Konstruksi Gedung Pendidikan</t>
        </is>
      </c>
      <c r="N158" t="inlineStr">
        <is>
          <t>K</t>
        </is>
      </c>
      <c r="O158" t="inlineStr">
        <is>
          <t>20230926</t>
        </is>
      </c>
      <c r="P158" t="inlineStr">
        <is>
          <t>Jawa Barat</t>
        </is>
      </c>
      <c r="Q158" t="inlineStr"/>
    </row>
    <row r="159">
      <c r="A159" t="inlineStr">
        <is>
          <t>NAUFAL ANUGRAH</t>
        </is>
      </c>
      <c r="B159" t="inlineStr">
        <is>
          <t>Kab. Kutai Timur</t>
        </is>
      </c>
      <c r="C159" t="inlineStr">
        <is>
          <t>08125380543</t>
        </is>
      </c>
      <c r="D159" t="inlineStr">
        <is>
          <t>cvnaufalanugrah12345@gmail.com</t>
        </is>
      </c>
      <c r="E159" t="inlineStr">
        <is>
          <t>https://lpjk.pu.go.id/search-badan-usaha-detail/SnFkdkptTVczZFJueURXNTkralZudz09</t>
        </is>
      </c>
      <c r="F159" t="n">
        <v>2</v>
      </c>
      <c r="G159" t="inlineStr">
        <is>
          <t>BG002, BS001</t>
        </is>
      </c>
      <c r="H159" t="inlineStr">
        <is>
          <t>6 Januari 2010</t>
        </is>
      </c>
      <c r="I159" s="2" t="n">
        <v>46293</v>
      </c>
      <c r="J159" t="inlineStr">
        <is>
          <t>Pencabutan</t>
        </is>
      </c>
      <c r="K159" t="n">
        <v>90</v>
      </c>
      <c r="L159" t="inlineStr">
        <is>
          <t>28 September 2026</t>
        </is>
      </c>
      <c r="M159" t="inlineStr">
        <is>
          <t>Konstruksi Bangunan Sipil Jalan, Konstruksi Gedung Perkantoran</t>
        </is>
      </c>
      <c r="N159" t="inlineStr">
        <is>
          <t>K</t>
        </is>
      </c>
      <c r="O159" t="inlineStr">
        <is>
          <t>20230923, 20230926</t>
        </is>
      </c>
      <c r="P159" t="inlineStr">
        <is>
          <t>Kalimantan Timur</t>
        </is>
      </c>
      <c r="Q159" t="inlineStr"/>
    </row>
    <row r="160">
      <c r="A160" t="inlineStr">
        <is>
          <t>NAURAH DINAMIKA NUSANTARA</t>
        </is>
      </c>
      <c r="B160" t="inlineStr">
        <is>
          <t>Kota Adm. Jakarta Barat</t>
        </is>
      </c>
      <c r="C160" t="inlineStr">
        <is>
          <t>02129725736</t>
        </is>
      </c>
      <c r="D160" t="inlineStr">
        <is>
          <t>nusantaranaurahdinamika@gmail.com</t>
        </is>
      </c>
      <c r="E160" t="inlineStr">
        <is>
          <t>https://lpjk.pu.go.id/search-badan-usaha-detail/OUtka3BxZW1JVTEwMzBiYmV5TTcrQT09</t>
        </is>
      </c>
      <c r="F160" t="n">
        <v>1</v>
      </c>
      <c r="G160" t="inlineStr">
        <is>
          <t>BG002</t>
        </is>
      </c>
      <c r="H160" t="inlineStr">
        <is>
          <t>11 November 2011</t>
        </is>
      </c>
      <c r="I160" s="2" t="n">
        <v>46293</v>
      </c>
      <c r="J160" t="inlineStr">
        <is>
          <t>Pencabutan</t>
        </is>
      </c>
      <c r="K160" t="n">
        <v>90</v>
      </c>
      <c r="L160" t="inlineStr">
        <is>
          <t>28 September 2026</t>
        </is>
      </c>
      <c r="M160" t="inlineStr">
        <is>
          <t>Konstruksi Gedung Perkantoran</t>
        </is>
      </c>
      <c r="N160" t="inlineStr">
        <is>
          <t>M</t>
        </is>
      </c>
      <c r="O160" t="inlineStr">
        <is>
          <t>20230926</t>
        </is>
      </c>
      <c r="P160" t="inlineStr">
        <is>
          <t>DKI Jakarta</t>
        </is>
      </c>
      <c r="Q160" t="inlineStr"/>
    </row>
    <row r="161">
      <c r="A161" t="inlineStr">
        <is>
          <t>NILA WARDHANI KARYA</t>
        </is>
      </c>
      <c r="B161" t="inlineStr">
        <is>
          <t>Kota Batu</t>
        </is>
      </c>
      <c r="C161" t="inlineStr">
        <is>
          <t>0813 3342 2451</t>
        </is>
      </c>
      <c r="D161" t="inlineStr">
        <is>
          <t>cvnila_wardhani@yahoo.com</t>
        </is>
      </c>
      <c r="E161" t="inlineStr">
        <is>
          <t>https://lpjk.pu.go.id/search-badan-usaha-detail/MjNCVytvaXZ5YjlkenQyemVqRXFGQT09</t>
        </is>
      </c>
      <c r="F161" t="n">
        <v>1</v>
      </c>
      <c r="G161" t="inlineStr">
        <is>
          <t>BG006</t>
        </is>
      </c>
      <c r="H161" t="inlineStr">
        <is>
          <t>25 Februari 2002</t>
        </is>
      </c>
      <c r="I161" s="2" t="n">
        <v>46293</v>
      </c>
      <c r="J161" t="inlineStr">
        <is>
          <t>Disetujui</t>
        </is>
      </c>
      <c r="K161" t="n">
        <v>90</v>
      </c>
      <c r="L161" t="inlineStr">
        <is>
          <t>28 September 2026</t>
        </is>
      </c>
      <c r="M161" t="inlineStr">
        <is>
          <t>Konstruksi Gedung Pendidikan</t>
        </is>
      </c>
      <c r="N161" t="inlineStr">
        <is>
          <t>K</t>
        </is>
      </c>
      <c r="O161" t="inlineStr">
        <is>
          <t>20230925</t>
        </is>
      </c>
      <c r="P161" t="inlineStr">
        <is>
          <t>Jawa Timur</t>
        </is>
      </c>
      <c r="Q161" t="inlineStr"/>
    </row>
    <row r="162">
      <c r="A162" t="inlineStr">
        <is>
          <t>NINDY PRATAMA</t>
        </is>
      </c>
      <c r="B162" t="inlineStr">
        <is>
          <t>Kab. Mamuju</t>
        </is>
      </c>
      <c r="C162" t="inlineStr">
        <is>
          <t>085275444062</t>
        </is>
      </c>
      <c r="D162" t="inlineStr">
        <is>
          <t>cv.nindypratama@gmail.com</t>
        </is>
      </c>
      <c r="E162" t="inlineStr">
        <is>
          <t>https://lpjk.pu.go.id/search-badan-usaha-detail/dE54d0pHUHRNUXZmNXpJSGRzNEEyQT09</t>
        </is>
      </c>
      <c r="F162" t="n">
        <v>1</v>
      </c>
      <c r="G162" t="inlineStr">
        <is>
          <t>BS001</t>
        </is>
      </c>
      <c r="H162" t="inlineStr">
        <is>
          <t>9 Januari 2007</t>
        </is>
      </c>
      <c r="I162" s="2" t="n">
        <v>46293</v>
      </c>
      <c r="J162" t="inlineStr">
        <is>
          <t>Disetujui</t>
        </is>
      </c>
      <c r="K162" t="n">
        <v>90</v>
      </c>
      <c r="L162" t="inlineStr">
        <is>
          <t>28 September 2026</t>
        </is>
      </c>
      <c r="M162" t="inlineStr">
        <is>
          <t>Konstruksi Bangunan Sipil Jalan</t>
        </is>
      </c>
      <c r="N162" t="inlineStr">
        <is>
          <t>K</t>
        </is>
      </c>
      <c r="O162" t="inlineStr">
        <is>
          <t>20230824</t>
        </is>
      </c>
      <c r="P162" t="inlineStr">
        <is>
          <t>Sulawesi Barat</t>
        </is>
      </c>
      <c r="Q162" t="inlineStr"/>
    </row>
    <row r="163">
      <c r="A163" t="inlineStr">
        <is>
          <t>NUSA YASA ABADI</t>
        </is>
      </c>
      <c r="B163" t="inlineStr">
        <is>
          <t>Kota Balikpapan</t>
        </is>
      </c>
      <c r="C163" t="inlineStr">
        <is>
          <t>0542734364</t>
        </is>
      </c>
      <c r="D163" t="inlineStr">
        <is>
          <t>nusa_yasaabadi@yahoo.com</t>
        </is>
      </c>
      <c r="E163" t="inlineStr">
        <is>
          <t>https://lpjk.pu.go.id/search-badan-usaha-detail/VStQL2F5WC96a2VzakxYRFJ4SUNVZz09</t>
        </is>
      </c>
      <c r="F163" t="n">
        <v>2</v>
      </c>
      <c r="G163" t="inlineStr">
        <is>
          <t>BS013, IN004</t>
        </is>
      </c>
      <c r="H163" t="inlineStr">
        <is>
          <t>17 April 2004</t>
        </is>
      </c>
      <c r="I163" s="2" t="n">
        <v>46293</v>
      </c>
      <c r="J163" t="inlineStr">
        <is>
          <t>Pembekuan, Pencabutan</t>
        </is>
      </c>
      <c r="K163" t="n">
        <v>90</v>
      </c>
      <c r="L163" t="inlineStr">
        <is>
          <t>28 September 2026</t>
        </is>
      </c>
      <c r="M163" t="inlineStr">
        <is>
          <t>Instalasi Minyak dan Gas, Konstruksi Bangunan Sipil Minyak dan Gas Bumi</t>
        </is>
      </c>
      <c r="N163" t="inlineStr">
        <is>
          <t>M, Spesialis</t>
        </is>
      </c>
      <c r="O163" t="inlineStr">
        <is>
          <t>20230920, 20230921</t>
        </is>
      </c>
      <c r="P163" t="inlineStr">
        <is>
          <t>Kalimantan Timur</t>
        </is>
      </c>
      <c r="Q163" t="inlineStr"/>
    </row>
    <row r="164">
      <c r="A164" t="inlineStr">
        <is>
          <t>PARADIGM DINAMIKA PERSADA</t>
        </is>
      </c>
      <c r="B164" t="inlineStr">
        <is>
          <t>Kota Adm. Jakarta Selatan</t>
        </is>
      </c>
      <c r="C164" t="inlineStr">
        <is>
          <t>02130436888</t>
        </is>
      </c>
      <c r="D164" t="inlineStr">
        <is>
          <t>paradigm.pdp@gmail.com</t>
        </is>
      </c>
      <c r="E164" t="inlineStr">
        <is>
          <t>https://lpjk.pu.go.id/search-badan-usaha-detail/TzEwUk9NUDZSckhZV0tLMzFFbUFuZz09</t>
        </is>
      </c>
      <c r="F164" t="n">
        <v>1</v>
      </c>
      <c r="G164" t="inlineStr">
        <is>
          <t>AR001</t>
        </is>
      </c>
      <c r="H164" t="inlineStr">
        <is>
          <t>5 November 2019</t>
        </is>
      </c>
      <c r="I164" s="2" t="n">
        <v>46293</v>
      </c>
      <c r="J164" t="inlineStr">
        <is>
          <t>Disetujui</t>
        </is>
      </c>
      <c r="K164" t="n">
        <v>90</v>
      </c>
      <c r="L164" t="inlineStr">
        <is>
          <t>28 September 2026</t>
        </is>
      </c>
      <c r="M164" t="inlineStr">
        <is>
          <t>Jasa Arsitektural Bangunan Gedung Hunian dan Non Hunian</t>
        </is>
      </c>
      <c r="N164" t="inlineStr">
        <is>
          <t>K</t>
        </is>
      </c>
      <c r="O164" t="inlineStr">
        <is>
          <t>20230912</t>
        </is>
      </c>
      <c r="P164" t="inlineStr">
        <is>
          <t>DKI Jakarta</t>
        </is>
      </c>
      <c r="Q164" t="inlineStr"/>
    </row>
    <row r="165">
      <c r="A165" t="inlineStr">
        <is>
          <t>PERDANA</t>
        </is>
      </c>
      <c r="B165" t="inlineStr">
        <is>
          <t>Kota Surabaya</t>
        </is>
      </c>
      <c r="C165" t="inlineStr">
        <is>
          <t>0818331309</t>
        </is>
      </c>
      <c r="D165" t="inlineStr">
        <is>
          <t>Cvperdana38@gmail.com</t>
        </is>
      </c>
      <c r="E165" t="inlineStr">
        <is>
          <t>https://lpjk.pu.go.id/search-badan-usaha-detail/TlVpak81OG82WDRleDlIV3ZVb3NLZz09</t>
        </is>
      </c>
      <c r="F165" t="n">
        <v>1</v>
      </c>
      <c r="G165" t="inlineStr">
        <is>
          <t>BG003</t>
        </is>
      </c>
      <c r="H165" t="inlineStr">
        <is>
          <t>19 November 1983</t>
        </is>
      </c>
      <c r="I165" s="2" t="n">
        <v>46293</v>
      </c>
      <c r="J165" t="inlineStr">
        <is>
          <t>Disetujui</t>
        </is>
      </c>
      <c r="K165" t="n">
        <v>90</v>
      </c>
      <c r="L165" t="inlineStr">
        <is>
          <t>28 September 2026</t>
        </is>
      </c>
      <c r="M165" t="inlineStr">
        <is>
          <t>Konstruksi Gedung Industri</t>
        </is>
      </c>
      <c r="N165" t="inlineStr">
        <is>
          <t>K</t>
        </is>
      </c>
      <c r="O165" t="inlineStr">
        <is>
          <t>20230922</t>
        </is>
      </c>
      <c r="P165" t="inlineStr">
        <is>
          <t>Jawa Timur</t>
        </is>
      </c>
      <c r="Q165" t="inlineStr"/>
    </row>
    <row r="166">
      <c r="A166" t="inlineStr">
        <is>
          <t>PRABU JAYA RIKSA</t>
        </is>
      </c>
      <c r="B166" t="inlineStr">
        <is>
          <t>Kab. Bandung</t>
        </is>
      </c>
      <c r="C166" t="inlineStr">
        <is>
          <t>082229991990</t>
        </is>
      </c>
      <c r="D166" t="inlineStr">
        <is>
          <t>prabujayariksa@gmail.com</t>
        </is>
      </c>
      <c r="E166" t="inlineStr">
        <is>
          <t>https://lpjk.pu.go.id/search-badan-usaha-detail/blBOTWx6QkpqSmltOFdBcFV4TmxnUT09</t>
        </is>
      </c>
      <c r="F166" t="n">
        <v>2</v>
      </c>
      <c r="G166" t="inlineStr">
        <is>
          <t>BS001, BS004</t>
        </is>
      </c>
      <c r="H166" t="inlineStr">
        <is>
          <t>18 Januari 2018</t>
        </is>
      </c>
      <c r="I166" s="2" t="n">
        <v>46293</v>
      </c>
      <c r="J166" t="inlineStr">
        <is>
          <t>Disetujui</t>
        </is>
      </c>
      <c r="K166" t="n">
        <v>90</v>
      </c>
      <c r="L166" t="inlineStr">
        <is>
          <t>28 September 2026</t>
        </is>
      </c>
      <c r="M166" t="inlineStr">
        <is>
          <t>Konstruksi Bangunan Sipil Jalan, Konstruksi Jaringan Irigasi dan Drainase</t>
        </is>
      </c>
      <c r="N166" t="inlineStr">
        <is>
          <t>K</t>
        </is>
      </c>
      <c r="O166" t="inlineStr">
        <is>
          <t>20230921</t>
        </is>
      </c>
      <c r="P166" t="inlineStr">
        <is>
          <t>Jawa Barat</t>
        </is>
      </c>
      <c r="Q166" t="inlineStr"/>
    </row>
    <row r="167">
      <c r="A167" t="inlineStr">
        <is>
          <t>PRIMA MEGAH IRSA</t>
        </is>
      </c>
      <c r="B167" t="inlineStr">
        <is>
          <t>Kab. Gresik</t>
        </is>
      </c>
      <c r="C167" t="inlineStr">
        <is>
          <t>0811125585</t>
        </is>
      </c>
      <c r="D167" t="inlineStr">
        <is>
          <t>makhrudy@yahoo.com</t>
        </is>
      </c>
      <c r="E167" t="inlineStr">
        <is>
          <t>https://lpjk.pu.go.id/search-badan-usaha-detail/VkFUdXhMSVY4R2VyVk43SUhzbkFoUT09</t>
        </is>
      </c>
      <c r="F167" t="n">
        <v>1</v>
      </c>
      <c r="G167" t="inlineStr">
        <is>
          <t>BG003</t>
        </is>
      </c>
      <c r="H167" t="inlineStr">
        <is>
          <t>13 Maret 2010</t>
        </is>
      </c>
      <c r="I167" s="2" t="n">
        <v>46293</v>
      </c>
      <c r="J167" t="inlineStr">
        <is>
          <t>Disetujui</t>
        </is>
      </c>
      <c r="K167" t="n">
        <v>90</v>
      </c>
      <c r="L167" t="inlineStr">
        <is>
          <t>28 September 2026</t>
        </is>
      </c>
      <c r="M167" t="inlineStr">
        <is>
          <t>Konstruksi Gedung Industri</t>
        </is>
      </c>
      <c r="N167" t="inlineStr">
        <is>
          <t>K</t>
        </is>
      </c>
      <c r="O167" t="inlineStr">
        <is>
          <t>20230919</t>
        </is>
      </c>
      <c r="P167" t="inlineStr">
        <is>
          <t>Jawa Timur</t>
        </is>
      </c>
      <c r="Q167" t="inlineStr"/>
    </row>
    <row r="168">
      <c r="A168" t="inlineStr">
        <is>
          <t>PRIMA RETELIER ABADI</t>
        </is>
      </c>
      <c r="B168" t="inlineStr">
        <is>
          <t>Kota Bandung</t>
        </is>
      </c>
      <c r="C168" t="inlineStr">
        <is>
          <t>0222503894</t>
        </is>
      </c>
      <c r="D168" t="inlineStr">
        <is>
          <t>retelier.abadi@gmail.com</t>
        </is>
      </c>
      <c r="E168" t="inlineStr">
        <is>
          <t>https://lpjk.pu.go.id/search-badan-usaha-detail/NUQzMjdmeklzblUybkRicWdtdUxxWDFvMUhIazNQZ3Y3a1ZyMHNIbUFFVT0</t>
        </is>
      </c>
      <c r="F168" t="n">
        <v>2</v>
      </c>
      <c r="G168" t="inlineStr">
        <is>
          <t>BG002, BG006</t>
        </is>
      </c>
      <c r="H168" t="inlineStr">
        <is>
          <t>15 Agustus 2023</t>
        </is>
      </c>
      <c r="I168" s="2" t="n">
        <v>46293</v>
      </c>
      <c r="J168" t="inlineStr">
        <is>
          <t>Disetujui</t>
        </is>
      </c>
      <c r="K168" t="n">
        <v>90</v>
      </c>
      <c r="L168" t="inlineStr">
        <is>
          <t>28 September 2026</t>
        </is>
      </c>
      <c r="M168" t="inlineStr">
        <is>
          <t>Konstruksi Gedung Pendidikan, Konstruksi Gedung Perkantoran</t>
        </is>
      </c>
      <c r="N168" t="inlineStr">
        <is>
          <t>K</t>
        </is>
      </c>
      <c r="O168" t="inlineStr">
        <is>
          <t>20230926</t>
        </is>
      </c>
      <c r="P168" t="inlineStr">
        <is>
          <t>Jawa Barat</t>
        </is>
      </c>
      <c r="Q168" t="inlineStr"/>
    </row>
    <row r="169">
      <c r="A169" t="inlineStr">
        <is>
          <t>PUTRA MANDIRI</t>
        </is>
      </c>
      <c r="B169" t="inlineStr">
        <is>
          <t>Kota Semarang</t>
        </is>
      </c>
      <c r="C169" t="inlineStr">
        <is>
          <t>081391460375</t>
        </is>
      </c>
      <c r="D169" t="inlineStr">
        <is>
          <t>xomarwoto@gmail.com</t>
        </is>
      </c>
      <c r="E169" t="inlineStr">
        <is>
          <t>https://lpjk.pu.go.id/search-badan-usaha-detail/UTM3WDMxV2Rta1oydmtsc1JrYUZuQT09</t>
        </is>
      </c>
      <c r="F169" t="n">
        <v>5</v>
      </c>
      <c r="G169" t="inlineStr">
        <is>
          <t>BG001, BG002, BG003, BG006, BG009</t>
        </is>
      </c>
      <c r="H169" t="inlineStr">
        <is>
          <t>19 April 2010</t>
        </is>
      </c>
      <c r="I169" s="2" t="n">
        <v>46293</v>
      </c>
      <c r="J169" t="inlineStr">
        <is>
          <t>Disetujui</t>
        </is>
      </c>
      <c r="K169" t="n">
        <v>90</v>
      </c>
      <c r="L169" t="inlineStr">
        <is>
          <t>28 September 2026</t>
        </is>
      </c>
      <c r="M169" t="inlineStr">
        <is>
          <t>Konstruksi Gedung Hunian, Konstruksi Gedung Industri, Konstruksi Gedung Lainnya, Konstruksi Gedung Pendidikan, Konstruksi Gedung Perkantoran</t>
        </is>
      </c>
      <c r="N169" t="inlineStr">
        <is>
          <t>K</t>
        </is>
      </c>
      <c r="O169" t="inlineStr">
        <is>
          <t>20230912, 20230925</t>
        </is>
      </c>
      <c r="P169" t="inlineStr">
        <is>
          <t>Jawa Tengah</t>
        </is>
      </c>
      <c r="Q169" t="inlineStr"/>
    </row>
    <row r="170">
      <c r="A170" t="inlineStr">
        <is>
          <t>PUTRA PANIMBANG JAYA</t>
        </is>
      </c>
      <c r="B170" t="inlineStr">
        <is>
          <t>Kab. Pandeglang</t>
        </is>
      </c>
      <c r="C170" t="inlineStr">
        <is>
          <t>0</t>
        </is>
      </c>
      <c r="D170" t="inlineStr">
        <is>
          <t>putrapanimbangjaya@yahoo.com</t>
        </is>
      </c>
      <c r="E170" t="inlineStr">
        <is>
          <t>https://lpjk.pu.go.id/search-badan-usaha-detail/cC9OYVNtUFZqZVplREVVbHdSemZCdz09</t>
        </is>
      </c>
      <c r="F170" t="n">
        <v>2</v>
      </c>
      <c r="G170" t="inlineStr">
        <is>
          <t>BS001, BS004</t>
        </is>
      </c>
      <c r="H170" t="inlineStr">
        <is>
          <t>8 Februari 2021</t>
        </is>
      </c>
      <c r="I170" s="2" t="n">
        <v>46293</v>
      </c>
      <c r="J170" t="inlineStr">
        <is>
          <t>Pencabutan</t>
        </is>
      </c>
      <c r="K170" t="n">
        <v>90</v>
      </c>
      <c r="L170" t="inlineStr">
        <is>
          <t>28 September 2026</t>
        </is>
      </c>
      <c r="M170" t="inlineStr">
        <is>
          <t>Konstruksi Bangunan Sipil Jalan, Konstruksi Jaringan Irigasi dan Drainase</t>
        </is>
      </c>
      <c r="N170" t="inlineStr">
        <is>
          <t>K</t>
        </is>
      </c>
      <c r="O170" t="inlineStr">
        <is>
          <t>20230921, 20230925</t>
        </is>
      </c>
      <c r="P170" t="inlineStr">
        <is>
          <t>Banten</t>
        </is>
      </c>
      <c r="Q170" t="inlineStr"/>
    </row>
    <row r="171">
      <c r="A171" t="inlineStr">
        <is>
          <t>PUTRA PERAWANG MANDIRI</t>
        </is>
      </c>
      <c r="B171" t="inlineStr">
        <is>
          <t>Kab. Siak</t>
        </is>
      </c>
      <c r="C171" t="inlineStr">
        <is>
          <t>085271033636</t>
        </is>
      </c>
      <c r="D171" t="inlineStr">
        <is>
          <t>putraperawangmandiricv@yahoo.com</t>
        </is>
      </c>
      <c r="E171" t="inlineStr">
        <is>
          <t>https://lpjk.pu.go.id/search-badan-usaha-detail/REJKY0dQbVdPQTBOYlJIR2JveGVBUT09</t>
        </is>
      </c>
      <c r="F171" t="n">
        <v>1</v>
      </c>
      <c r="G171" t="inlineStr">
        <is>
          <t>KK012</t>
        </is>
      </c>
      <c r="H171" t="inlineStr">
        <is>
          <t>21 September 2023</t>
        </is>
      </c>
      <c r="I171" s="2" t="n">
        <v>46293</v>
      </c>
      <c r="J171" t="inlineStr">
        <is>
          <t>Pembekuan</t>
        </is>
      </c>
      <c r="K171" t="n">
        <v>90</v>
      </c>
      <c r="L171" t="inlineStr">
        <is>
          <t>28 September 2026</t>
        </is>
      </c>
      <c r="M171" t="inlineStr">
        <is>
          <t>Pekerjaan Struktur Beton</t>
        </is>
      </c>
      <c r="N171" t="inlineStr">
        <is>
          <t>Spesialis</t>
        </is>
      </c>
      <c r="O171" t="inlineStr">
        <is>
          <t>20230928</t>
        </is>
      </c>
      <c r="P171" t="inlineStr">
        <is>
          <t>Riau</t>
        </is>
      </c>
      <c r="Q171" t="inlineStr"/>
    </row>
    <row r="172">
      <c r="A172" t="inlineStr">
        <is>
          <t>PUTRA POWER ENERGI</t>
        </is>
      </c>
      <c r="B172" t="inlineStr">
        <is>
          <t>Kota Medan</t>
        </is>
      </c>
      <c r="C172" t="inlineStr">
        <is>
          <t>081370100036</t>
        </is>
      </c>
      <c r="D172" t="inlineStr">
        <is>
          <t>putrapowerenergi1@gmail.com</t>
        </is>
      </c>
      <c r="E172" t="inlineStr">
        <is>
          <t>https://lpjk.pu.go.id/search-badan-usaha-detail/NGpOUktaWkk0SUdoeDFZNlJVZ09Odz09</t>
        </is>
      </c>
      <c r="F172" t="n">
        <v>1</v>
      </c>
      <c r="G172" t="inlineStr">
        <is>
          <t>BG004</t>
        </is>
      </c>
      <c r="H172" t="inlineStr">
        <is>
          <t>5 April 2016</t>
        </is>
      </c>
      <c r="I172" s="2" t="n">
        <v>46293</v>
      </c>
      <c r="J172" t="inlineStr">
        <is>
          <t>Disetujui</t>
        </is>
      </c>
      <c r="K172" t="n">
        <v>90</v>
      </c>
      <c r="L172" t="inlineStr">
        <is>
          <t>28 September 2026</t>
        </is>
      </c>
      <c r="M172" t="inlineStr">
        <is>
          <t>Konstruksi Gedung Perbelanjaan</t>
        </is>
      </c>
      <c r="N172" t="inlineStr">
        <is>
          <t>K</t>
        </is>
      </c>
      <c r="O172" t="inlineStr">
        <is>
          <t>20230921</t>
        </is>
      </c>
      <c r="P172" t="inlineStr">
        <is>
          <t>Sumatera Utara</t>
        </is>
      </c>
      <c r="Q172" t="inlineStr"/>
    </row>
    <row r="173">
      <c r="A173" t="inlineStr">
        <is>
          <t>PUTRI SAMBAS</t>
        </is>
      </c>
      <c r="B173" t="inlineStr">
        <is>
          <t>Kab. Sintang</t>
        </is>
      </c>
      <c r="C173" t="inlineStr">
        <is>
          <t>082358411533</t>
        </is>
      </c>
      <c r="D173" t="inlineStr">
        <is>
          <t>cv.putrisambas@gmail.com</t>
        </is>
      </c>
      <c r="E173" t="inlineStr">
        <is>
          <t>https://lpjk.pu.go.id/search-badan-usaha-detail/ZSszbDVmWGN1cndRckJZY3BNMkdZZz09</t>
        </is>
      </c>
      <c r="F173" t="n">
        <v>1</v>
      </c>
      <c r="G173" t="inlineStr">
        <is>
          <t>BG006</t>
        </is>
      </c>
      <c r="H173" t="inlineStr">
        <is>
          <t>22 Mei 2018</t>
        </is>
      </c>
      <c r="I173" s="2" t="n">
        <v>46293</v>
      </c>
      <c r="J173" t="inlineStr">
        <is>
          <t>Disetujui</t>
        </is>
      </c>
      <c r="K173" t="n">
        <v>90</v>
      </c>
      <c r="L173" t="inlineStr">
        <is>
          <t>28 September 2026</t>
        </is>
      </c>
      <c r="M173" t="inlineStr">
        <is>
          <t>Konstruksi Gedung Pendidikan</t>
        </is>
      </c>
      <c r="N173" t="inlineStr">
        <is>
          <t>K</t>
        </is>
      </c>
      <c r="O173" t="inlineStr">
        <is>
          <t>20230929</t>
        </is>
      </c>
      <c r="P173" t="inlineStr">
        <is>
          <t>Kalimantan Barat</t>
        </is>
      </c>
      <c r="Q173" t="inlineStr"/>
    </row>
    <row r="174">
      <c r="A174" t="inlineStr">
        <is>
          <t>Permata Jaya</t>
        </is>
      </c>
      <c r="B174" t="inlineStr">
        <is>
          <t>Kab. Padang Pariaman</t>
        </is>
      </c>
      <c r="C174" t="inlineStr">
        <is>
          <t>082286862209</t>
        </is>
      </c>
      <c r="D174" t="inlineStr">
        <is>
          <t>permatajy.cv@gmail.com</t>
        </is>
      </c>
      <c r="E174" t="inlineStr">
        <is>
          <t>https://lpjk.pu.go.id/search-badan-usaha-detail/aFhSak5QRjBNQzRxVlVoM1ExTGZZZz09</t>
        </is>
      </c>
      <c r="F174" t="n">
        <v>4</v>
      </c>
      <c r="G174" t="inlineStr">
        <is>
          <t>BG004, BG006, BG009, BS001</t>
        </is>
      </c>
      <c r="H174" t="inlineStr">
        <is>
          <t>30 April 2013</t>
        </is>
      </c>
      <c r="I174" s="2" t="n">
        <v>46293</v>
      </c>
      <c r="J174" t="inlineStr">
        <is>
          <t>Disetujui</t>
        </is>
      </c>
      <c r="K174" t="n">
        <v>90</v>
      </c>
      <c r="L174" t="inlineStr">
        <is>
          <t>28 September 2026</t>
        </is>
      </c>
      <c r="M174" t="inlineStr">
        <is>
          <t>Konstruksi Bangunan Sipil Jalan, Konstruksi Gedung Lainnya, Konstruksi Gedung Pendidikan, Konstruksi Gedung Perbelanjaan</t>
        </is>
      </c>
      <c r="N174" t="inlineStr">
        <is>
          <t>K</t>
        </is>
      </c>
      <c r="O174" t="inlineStr">
        <is>
          <t>20230922</t>
        </is>
      </c>
      <c r="P174" t="inlineStr">
        <is>
          <t>Sumatera Barat</t>
        </is>
      </c>
      <c r="Q174" t="inlineStr"/>
    </row>
    <row r="175">
      <c r="A175" t="inlineStr">
        <is>
          <t>RAHAYU SEJAHTERA</t>
        </is>
      </c>
      <c r="B175" t="inlineStr">
        <is>
          <t>Kab. Tangerang</t>
        </is>
      </c>
      <c r="C175" t="inlineStr">
        <is>
          <t>081314021786</t>
        </is>
      </c>
      <c r="D175" t="inlineStr">
        <is>
          <t>rahayusejahtera1@gmail.com</t>
        </is>
      </c>
      <c r="E175" t="inlineStr">
        <is>
          <t>https://lpjk.pu.go.id/search-badan-usaha-detail/Zy9FcElVeVpXMHZBN1dlV1JZOThpZz09</t>
        </is>
      </c>
      <c r="F175" t="n">
        <v>3</v>
      </c>
      <c r="G175" t="inlineStr">
        <is>
          <t>BG009, BS001, BS004</t>
        </is>
      </c>
      <c r="H175" t="inlineStr">
        <is>
          <t>1 April 1995</t>
        </is>
      </c>
      <c r="I175" s="2" t="n">
        <v>46293</v>
      </c>
      <c r="J175" t="inlineStr">
        <is>
          <t>Disetujui, Pencabutan</t>
        </is>
      </c>
      <c r="K175" t="n">
        <v>90</v>
      </c>
      <c r="L175" t="inlineStr">
        <is>
          <t>28 September 2026</t>
        </is>
      </c>
      <c r="M175" t="inlineStr">
        <is>
          <t>Konstruksi Bangunan Sipil Jalan, Konstruksi Gedung Lainnya, Konstruksi Jaringan Irigasi dan Drainase</t>
        </is>
      </c>
      <c r="N175" t="inlineStr">
        <is>
          <t>K</t>
        </is>
      </c>
      <c r="O175" t="inlineStr">
        <is>
          <t>20230919</t>
        </is>
      </c>
      <c r="P175" t="inlineStr">
        <is>
          <t>Banten</t>
        </is>
      </c>
      <c r="Q175" t="inlineStr"/>
    </row>
    <row r="176">
      <c r="A176" t="inlineStr">
        <is>
          <t>RANDY BUTENG PERDANA</t>
        </is>
      </c>
      <c r="B176" t="inlineStr">
        <is>
          <t>Kab. Buton Tengah</t>
        </is>
      </c>
      <c r="C176" t="inlineStr">
        <is>
          <t>081247568843</t>
        </is>
      </c>
      <c r="D176" t="inlineStr">
        <is>
          <t>myunubuteng1@gmail.com</t>
        </is>
      </c>
      <c r="E176" t="inlineStr">
        <is>
          <t>https://lpjk.pu.go.id/search-badan-usaha-detail/VjIyOHF6dFBCdys1K0t4T090TWRVdz09</t>
        </is>
      </c>
      <c r="F176" t="n">
        <v>3</v>
      </c>
      <c r="G176" t="inlineStr">
        <is>
          <t>BG005, BG006, BG009</t>
        </is>
      </c>
      <c r="H176" t="inlineStr">
        <is>
          <t>1 Maret 2017</t>
        </is>
      </c>
      <c r="I176" s="2" t="n">
        <v>46293</v>
      </c>
      <c r="J176" t="inlineStr">
        <is>
          <t>Disetujui</t>
        </is>
      </c>
      <c r="K176" t="n">
        <v>90</v>
      </c>
      <c r="L176" t="inlineStr">
        <is>
          <t>28 September 2026</t>
        </is>
      </c>
      <c r="M176" t="inlineStr">
        <is>
          <t>Konstruksi Gedung Kesehatan, Konstruksi Gedung Lainnya, Konstruksi Gedung Pendidikan</t>
        </is>
      </c>
      <c r="N176" t="inlineStr">
        <is>
          <t>K</t>
        </is>
      </c>
      <c r="O176" t="inlineStr">
        <is>
          <t>20230926</t>
        </is>
      </c>
      <c r="P176" t="inlineStr">
        <is>
          <t>Sulawesi Tenggara</t>
        </is>
      </c>
      <c r="Q176" t="inlineStr"/>
    </row>
    <row r="177">
      <c r="A177" t="inlineStr">
        <is>
          <t>RANGGA PUTRA</t>
        </is>
      </c>
      <c r="B177" t="inlineStr">
        <is>
          <t>Kab. Temanggung</t>
        </is>
      </c>
      <c r="C177" t="inlineStr">
        <is>
          <t>081392989298</t>
        </is>
      </c>
      <c r="D177" t="inlineStr">
        <is>
          <t>cvranggaputra.tmg@gmail.com</t>
        </is>
      </c>
      <c r="E177" t="inlineStr">
        <is>
          <t>https://lpjk.pu.go.id/search-badan-usaha-detail/QW42RVlCTTlXZ1lEWndwTHhOd2hsZz09</t>
        </is>
      </c>
      <c r="F177" t="n">
        <v>7</v>
      </c>
      <c r="G177" t="inlineStr">
        <is>
          <t>BG002, BG005, BG006, BG009, BS001, BS004, BS005</t>
        </is>
      </c>
      <c r="H177" t="inlineStr">
        <is>
          <t>27 Januari 2003</t>
        </is>
      </c>
      <c r="I177" s="2" t="n">
        <v>46293</v>
      </c>
      <c r="J177" t="inlineStr">
        <is>
          <t>Disetujui</t>
        </is>
      </c>
      <c r="K177" t="n">
        <v>90</v>
      </c>
      <c r="L177" t="inlineStr">
        <is>
          <t>28 September 2026</t>
        </is>
      </c>
      <c r="M177" t="inlineStr">
        <is>
          <t>Konstruksi Bangunan Sipil Jalan, Konstruksi Bangunan Sipil Pengolahan Air Bersih, Konstruksi Gedung Kesehatan, Konstruksi Gedung Lainnya, Konstruksi Gedung Pendidikan, Konstruksi Gedung Perkantoran, Konstruksi Jaringan Irigasi dan Drainase</t>
        </is>
      </c>
      <c r="N177" t="inlineStr">
        <is>
          <t>K</t>
        </is>
      </c>
      <c r="O177" t="inlineStr">
        <is>
          <t>20230925</t>
        </is>
      </c>
      <c r="P177" t="inlineStr">
        <is>
          <t>Jawa Tengah</t>
        </is>
      </c>
      <c r="Q177" t="inlineStr"/>
    </row>
    <row r="178">
      <c r="A178" t="inlineStr">
        <is>
          <t>RATU BAGJA</t>
        </is>
      </c>
      <c r="B178" t="inlineStr">
        <is>
          <t>Kab. Subang</t>
        </is>
      </c>
      <c r="C178" t="inlineStr">
        <is>
          <t>085624817781</t>
        </is>
      </c>
      <c r="D178" t="inlineStr">
        <is>
          <t>ratubajga2023@gmail.com</t>
        </is>
      </c>
      <c r="E178" t="inlineStr">
        <is>
          <t>https://lpjk.pu.go.id/search-badan-usaha-detail/WkRFVzkvb1BvYjdxaUEwLzI4WmF1Zz09</t>
        </is>
      </c>
      <c r="F178" t="n">
        <v>1</v>
      </c>
      <c r="G178" t="inlineStr">
        <is>
          <t>BS004</t>
        </is>
      </c>
      <c r="H178" t="inlineStr">
        <is>
          <t>17 Januari 2020</t>
        </is>
      </c>
      <c r="I178" s="2" t="n">
        <v>46293</v>
      </c>
      <c r="J178" t="inlineStr">
        <is>
          <t>Disetujui</t>
        </is>
      </c>
      <c r="K178" t="n">
        <v>90</v>
      </c>
      <c r="L178" t="inlineStr">
        <is>
          <t>28 September 2026</t>
        </is>
      </c>
      <c r="M178" t="inlineStr">
        <is>
          <t>Konstruksi Jaringan Irigasi dan Drainase</t>
        </is>
      </c>
      <c r="N178" t="inlineStr">
        <is>
          <t>K</t>
        </is>
      </c>
      <c r="O178" t="inlineStr">
        <is>
          <t>20230922</t>
        </is>
      </c>
      <c r="P178" t="inlineStr">
        <is>
          <t>Jawa Barat</t>
        </is>
      </c>
      <c r="Q178" t="inlineStr"/>
    </row>
    <row r="179">
      <c r="A179" t="inlineStr">
        <is>
          <t>RAYHAN</t>
        </is>
      </c>
      <c r="B179" t="inlineStr">
        <is>
          <t>Kota Padang Sidempuan</t>
        </is>
      </c>
      <c r="C179" t="inlineStr">
        <is>
          <t>081376381245</t>
        </is>
      </c>
      <c r="D179" t="inlineStr">
        <is>
          <t>khaidir_batubara@yahoo.com</t>
        </is>
      </c>
      <c r="E179" t="inlineStr">
        <is>
          <t>https://lpjk.pu.go.id/search-badan-usaha-detail/NmFEWTVsUk95blo1Qml0bUg5bTNmZz09</t>
        </is>
      </c>
      <c r="F179" t="n">
        <v>2</v>
      </c>
      <c r="G179" t="inlineStr">
        <is>
          <t>BG005, BG009</t>
        </is>
      </c>
      <c r="H179" t="inlineStr">
        <is>
          <t>15 November 2014</t>
        </is>
      </c>
      <c r="I179" s="2" t="n">
        <v>46293</v>
      </c>
      <c r="J179" t="inlineStr">
        <is>
          <t>Disetujui</t>
        </is>
      </c>
      <c r="K179" t="n">
        <v>90</v>
      </c>
      <c r="L179" t="inlineStr">
        <is>
          <t>28 September 2026</t>
        </is>
      </c>
      <c r="M179" t="inlineStr">
        <is>
          <t>Konstruksi Gedung Kesehatan, Konstruksi Gedung Lainnya</t>
        </is>
      </c>
      <c r="N179" t="inlineStr">
        <is>
          <t>K</t>
        </is>
      </c>
      <c r="O179" t="inlineStr">
        <is>
          <t>20230928, 20230929</t>
        </is>
      </c>
      <c r="P179" t="inlineStr">
        <is>
          <t>Sumatera Utara</t>
        </is>
      </c>
      <c r="Q179" t="inlineStr"/>
    </row>
    <row r="180">
      <c r="A180" t="inlineStr">
        <is>
          <t>REJEKI PUTRA SASMITA</t>
        </is>
      </c>
      <c r="B180" t="inlineStr">
        <is>
          <t>Kab. Jember</t>
        </is>
      </c>
      <c r="C180" t="inlineStr">
        <is>
          <t>081234528888</t>
        </is>
      </c>
      <c r="D180" t="inlineStr">
        <is>
          <t>rputrasasmita9@gmail.com</t>
        </is>
      </c>
      <c r="E180" t="inlineStr">
        <is>
          <t>https://lpjk.pu.go.id/search-badan-usaha-detail/RG81bForQVJFeDI4bkk1VXVwTGVwZz09</t>
        </is>
      </c>
      <c r="F180" t="n">
        <v>3</v>
      </c>
      <c r="G180" t="inlineStr">
        <is>
          <t>BG001, BG002, BG006</t>
        </is>
      </c>
      <c r="H180" t="inlineStr">
        <is>
          <t>2 Februari 2022</t>
        </is>
      </c>
      <c r="I180" s="2" t="n">
        <v>46293</v>
      </c>
      <c r="J180" t="inlineStr">
        <is>
          <t>Pencabutan</t>
        </is>
      </c>
      <c r="K180" t="n">
        <v>90</v>
      </c>
      <c r="L180" t="inlineStr">
        <is>
          <t>28 September 2026</t>
        </is>
      </c>
      <c r="M180" t="inlineStr">
        <is>
          <t>Konstruksi Gedung Hunian, Konstruksi Gedung Pendidikan, Konstruksi Gedung Perkantoran</t>
        </is>
      </c>
      <c r="N180" t="inlineStr">
        <is>
          <t>K</t>
        </is>
      </c>
      <c r="O180" t="inlineStr">
        <is>
          <t>20230925</t>
        </is>
      </c>
      <c r="P180" t="inlineStr">
        <is>
          <t>Jawa Timur</t>
        </is>
      </c>
      <c r="Q180" t="inlineStr"/>
    </row>
    <row r="181">
      <c r="A181" t="inlineStr">
        <is>
          <t>REKAYASA UTAMA</t>
        </is>
      </c>
      <c r="B181" t="inlineStr">
        <is>
          <t>Kab. Tabanan</t>
        </is>
      </c>
      <c r="C181" t="inlineStr">
        <is>
          <t>0361814164</t>
        </is>
      </c>
      <c r="D181" t="inlineStr">
        <is>
          <t>rekayasautamautama@yahoo.co.id</t>
        </is>
      </c>
      <c r="E181" t="inlineStr">
        <is>
          <t>https://lpjk.pu.go.id/search-badan-usaha-detail/ci9sQWlnTjBHUGo1aGI0bFN5Z0VOZz09</t>
        </is>
      </c>
      <c r="F181" t="n">
        <v>2</v>
      </c>
      <c r="G181" t="inlineStr">
        <is>
          <t>BG002</t>
        </is>
      </c>
      <c r="H181" t="inlineStr">
        <is>
          <t>23 Juni 1994</t>
        </is>
      </c>
      <c r="I181" s="2" t="n">
        <v>46293</v>
      </c>
      <c r="J181" t="inlineStr">
        <is>
          <t>Disetujui</t>
        </is>
      </c>
      <c r="K181" t="n">
        <v>90</v>
      </c>
      <c r="L181" t="inlineStr">
        <is>
          <t>28 September 2026</t>
        </is>
      </c>
      <c r="M181" t="inlineStr">
        <is>
          <t>Konstruksi Gedung Perkantoran</t>
        </is>
      </c>
      <c r="N181" t="inlineStr">
        <is>
          <t>K</t>
        </is>
      </c>
      <c r="O181" t="inlineStr">
        <is>
          <t>20230925</t>
        </is>
      </c>
      <c r="P181" t="inlineStr">
        <is>
          <t>Bali</t>
        </is>
      </c>
      <c r="Q181" t="inlineStr"/>
    </row>
    <row r="182">
      <c r="A182" t="inlineStr">
        <is>
          <t>REKSA TIGA MITRA</t>
        </is>
      </c>
      <c r="B182" t="inlineStr">
        <is>
          <t>Kota Denpasar</t>
        </is>
      </c>
      <c r="C182" t="inlineStr">
        <is>
          <t>0361288691</t>
        </is>
      </c>
      <c r="D182" t="inlineStr">
        <is>
          <t>reksatigamitra@gmail.com</t>
        </is>
      </c>
      <c r="E182" t="inlineStr">
        <is>
          <t>https://lpjk.pu.go.id/search-badan-usaha-detail/dEs5TXdScWp0MEJGWC91QTJBUUZFQT09</t>
        </is>
      </c>
      <c r="F182" t="n">
        <v>1</v>
      </c>
      <c r="G182" t="inlineStr">
        <is>
          <t>BG004</t>
        </is>
      </c>
      <c r="H182" t="inlineStr">
        <is>
          <t>20 Juli 2023</t>
        </is>
      </c>
      <c r="I182" s="2" t="n">
        <v>46293</v>
      </c>
      <c r="J182" t="inlineStr">
        <is>
          <t>Disetujui</t>
        </is>
      </c>
      <c r="K182" t="n">
        <v>90</v>
      </c>
      <c r="L182" t="inlineStr">
        <is>
          <t>28 September 2026</t>
        </is>
      </c>
      <c r="M182" t="inlineStr">
        <is>
          <t>Konstruksi Gedung Perbelanjaan</t>
        </is>
      </c>
      <c r="N182" t="inlineStr">
        <is>
          <t>K</t>
        </is>
      </c>
      <c r="O182" t="inlineStr">
        <is>
          <t>20230925</t>
        </is>
      </c>
      <c r="P182" t="inlineStr">
        <is>
          <t>Bali</t>
        </is>
      </c>
      <c r="Q182" t="inlineStr"/>
    </row>
    <row r="183">
      <c r="A183" t="inlineStr">
        <is>
          <t>RHACINDO ADI PERSADA</t>
        </is>
      </c>
      <c r="B183" t="inlineStr">
        <is>
          <t>Kab. Bandung</t>
        </is>
      </c>
      <c r="C183" t="inlineStr">
        <is>
          <t>0225947463</t>
        </is>
      </c>
      <c r="D183" t="inlineStr">
        <is>
          <t>rhacindoadi@gmail.com</t>
        </is>
      </c>
      <c r="E183" t="inlineStr">
        <is>
          <t>https://lpjk.pu.go.id/search-badan-usaha-detail/TWFUeVkxQmYyQVlITWJUcWVkRmxQUT09</t>
        </is>
      </c>
      <c r="F183" t="n">
        <v>2</v>
      </c>
      <c r="G183" t="inlineStr">
        <is>
          <t>BG002, BS007</t>
        </is>
      </c>
      <c r="H183" t="inlineStr">
        <is>
          <t>3 Maret 2001</t>
        </is>
      </c>
      <c r="I183" s="2" t="n">
        <v>46293</v>
      </c>
      <c r="J183" t="inlineStr">
        <is>
          <t>Disetujui</t>
        </is>
      </c>
      <c r="K183" t="n">
        <v>90</v>
      </c>
      <c r="L183" t="inlineStr">
        <is>
          <t>28 September 2026</t>
        </is>
      </c>
      <c r="M183" t="inlineStr">
        <is>
          <t>Konstruksi Bangunan Sipil Elektrikal, Konstruksi Gedung Perkantoran</t>
        </is>
      </c>
      <c r="N183" t="inlineStr">
        <is>
          <t>K</t>
        </is>
      </c>
      <c r="O183" t="inlineStr">
        <is>
          <t>20230927, 20230929</t>
        </is>
      </c>
      <c r="P183" t="inlineStr">
        <is>
          <t>Jawa Barat</t>
        </is>
      </c>
      <c r="Q183" t="inlineStr"/>
    </row>
    <row r="184">
      <c r="A184" t="inlineStr">
        <is>
          <t>RIZKI PUTRA ABADI</t>
        </is>
      </c>
      <c r="B184" t="inlineStr">
        <is>
          <t>Kab. Tuban</t>
        </is>
      </c>
      <c r="C184" t="inlineStr">
        <is>
          <t>081359726912</t>
        </is>
      </c>
      <c r="D184" t="inlineStr">
        <is>
          <t>rizkiputra_abadi@yahoo.com</t>
        </is>
      </c>
      <c r="E184" t="inlineStr">
        <is>
          <t>https://lpjk.pu.go.id/search-badan-usaha-detail/MDlRcllMSVpIRkl2L2NvSEZwaXNWUT09</t>
        </is>
      </c>
      <c r="F184" t="n">
        <v>1</v>
      </c>
      <c r="G184" t="inlineStr">
        <is>
          <t>BS005</t>
        </is>
      </c>
      <c r="H184" t="inlineStr">
        <is>
          <t>31 Januari 2011</t>
        </is>
      </c>
      <c r="I184" s="2" t="n">
        <v>46293</v>
      </c>
      <c r="J184" t="inlineStr">
        <is>
          <t>Disetujui</t>
        </is>
      </c>
      <c r="K184" t="n">
        <v>90</v>
      </c>
      <c r="L184" t="inlineStr">
        <is>
          <t>28 September 2026</t>
        </is>
      </c>
      <c r="M184" t="inlineStr">
        <is>
          <t>Konstruksi Bangunan Sipil Pengolahan Air Bersih</t>
        </is>
      </c>
      <c r="N184" t="inlineStr">
        <is>
          <t>K</t>
        </is>
      </c>
      <c r="O184" t="inlineStr">
        <is>
          <t>20230922</t>
        </is>
      </c>
      <c r="P184" t="inlineStr">
        <is>
          <t>Jawa Timur</t>
        </is>
      </c>
      <c r="Q184" t="inlineStr"/>
    </row>
    <row r="185">
      <c r="A185" t="inlineStr">
        <is>
          <t>RONA AGUNG PERDANA</t>
        </is>
      </c>
      <c r="B185" t="inlineStr">
        <is>
          <t>Kab. Indramayu</t>
        </is>
      </c>
      <c r="C185" t="inlineStr">
        <is>
          <t>083871249285</t>
        </is>
      </c>
      <c r="D185" t="inlineStr">
        <is>
          <t>ronaagungperdana@hotmail.com</t>
        </is>
      </c>
      <c r="E185" t="inlineStr">
        <is>
          <t>https://lpjk.pu.go.id/search-badan-usaha-detail/em5meXNtTGxnNGhxVVNucXkyN0lndz09</t>
        </is>
      </c>
      <c r="F185" t="n">
        <v>1</v>
      </c>
      <c r="G185" t="inlineStr">
        <is>
          <t>BG006</t>
        </is>
      </c>
      <c r="H185" t="inlineStr">
        <is>
          <t>18 November 2016</t>
        </is>
      </c>
      <c r="I185" s="2" t="n">
        <v>46293</v>
      </c>
      <c r="J185" t="inlineStr">
        <is>
          <t>Disetujui</t>
        </is>
      </c>
      <c r="K185" t="n">
        <v>90</v>
      </c>
      <c r="L185" t="inlineStr">
        <is>
          <t>28 September 2026</t>
        </is>
      </c>
      <c r="M185" t="inlineStr">
        <is>
          <t>Konstruksi Gedung Pendidikan</t>
        </is>
      </c>
      <c r="N185" t="inlineStr">
        <is>
          <t>K</t>
        </is>
      </c>
      <c r="O185" t="inlineStr">
        <is>
          <t>20230926</t>
        </is>
      </c>
      <c r="P185" t="inlineStr">
        <is>
          <t>Jawa Barat</t>
        </is>
      </c>
      <c r="Q185" t="inlineStr"/>
    </row>
    <row r="186">
      <c r="A186" t="inlineStr">
        <is>
          <t>SABDA ALAM</t>
        </is>
      </c>
      <c r="B186" t="inlineStr">
        <is>
          <t>Kab. Sumedang</t>
        </is>
      </c>
      <c r="C186" t="inlineStr">
        <is>
          <t>081223105088</t>
        </is>
      </c>
      <c r="D186" t="inlineStr">
        <is>
          <t>sabdaalam.company@gmail.com</t>
        </is>
      </c>
      <c r="E186" t="inlineStr">
        <is>
          <t>https://lpjk.pu.go.id/search-badan-usaha-detail/S1IvdzFNMm5tek9DRFdWL1FrZnBrdz09</t>
        </is>
      </c>
      <c r="F186" t="n">
        <v>2</v>
      </c>
      <c r="G186" t="inlineStr">
        <is>
          <t>BG005, BS001</t>
        </is>
      </c>
      <c r="H186" t="inlineStr">
        <is>
          <t>14 Oktober 2009</t>
        </is>
      </c>
      <c r="I186" s="2" t="n">
        <v>46293</v>
      </c>
      <c r="J186" t="inlineStr">
        <is>
          <t>Disetujui</t>
        </is>
      </c>
      <c r="K186" t="n">
        <v>90</v>
      </c>
      <c r="L186" t="inlineStr">
        <is>
          <t>28 September 2026</t>
        </is>
      </c>
      <c r="M186" t="inlineStr">
        <is>
          <t>Konstruksi Bangunan Sipil Jalan, Konstruksi Gedung Kesehatan</t>
        </is>
      </c>
      <c r="N186" t="inlineStr">
        <is>
          <t>K</t>
        </is>
      </c>
      <c r="O186" t="inlineStr">
        <is>
          <t>20230922</t>
        </is>
      </c>
      <c r="P186" t="inlineStr">
        <is>
          <t>Jawa Barat</t>
        </is>
      </c>
      <c r="Q186" t="inlineStr"/>
    </row>
    <row r="187">
      <c r="A187" t="inlineStr">
        <is>
          <t>SADA EKARTAMA</t>
        </is>
      </c>
      <c r="B187" t="inlineStr">
        <is>
          <t>Kota Tangerang Selatan</t>
        </is>
      </c>
      <c r="C187" t="inlineStr">
        <is>
          <t>0217375501</t>
        </is>
      </c>
      <c r="D187" t="inlineStr">
        <is>
          <t>ekartama@ekartama.com</t>
        </is>
      </c>
      <c r="E187" t="inlineStr">
        <is>
          <t>https://lpjk.pu.go.id/search-badan-usaha-detail/MDhNMW82eFF5TUJMREVLRVNzSm5GZz09</t>
        </is>
      </c>
      <c r="F187" t="n">
        <v>4</v>
      </c>
      <c r="G187" t="inlineStr">
        <is>
          <t>BG001, BG002, BG003, BG007</t>
        </is>
      </c>
      <c r="H187" t="inlineStr">
        <is>
          <t>21 Oktober 1997</t>
        </is>
      </c>
      <c r="I187" s="2" t="n">
        <v>46293</v>
      </c>
      <c r="J187" t="inlineStr">
        <is>
          <t>Disetujui</t>
        </is>
      </c>
      <c r="K187" t="n">
        <v>90</v>
      </c>
      <c r="L187" t="inlineStr">
        <is>
          <t>28 September 2026</t>
        </is>
      </c>
      <c r="M187" t="inlineStr">
        <is>
          <t>Konstruksi Gedung Hunian, Konstruksi Gedung Industri, Konstruksi Gedung Penginapan, Konstruksi Gedung Perkantoran</t>
        </is>
      </c>
      <c r="N187" t="inlineStr">
        <is>
          <t>K</t>
        </is>
      </c>
      <c r="O187" t="inlineStr">
        <is>
          <t>20230929</t>
        </is>
      </c>
      <c r="P187" t="inlineStr">
        <is>
          <t>Banten</t>
        </is>
      </c>
      <c r="Q187" t="inlineStr"/>
    </row>
    <row r="188">
      <c r="A188" t="inlineStr">
        <is>
          <t>SANDIYA KARYA</t>
        </is>
      </c>
      <c r="B188" t="inlineStr">
        <is>
          <t>Kab. Bojonegoro</t>
        </is>
      </c>
      <c r="C188" t="inlineStr">
        <is>
          <t>081228333251</t>
        </is>
      </c>
      <c r="D188" t="inlineStr">
        <is>
          <t>Sandiyakarya@gmail.com</t>
        </is>
      </c>
      <c r="E188" t="inlineStr">
        <is>
          <t>https://lpjk.pu.go.id/search-badan-usaha-detail/T2dvVFYrVTNhZEw0OTYweXFIM3Iydz09</t>
        </is>
      </c>
      <c r="F188" t="n">
        <v>1</v>
      </c>
      <c r="G188" t="inlineStr">
        <is>
          <t>BS001</t>
        </is>
      </c>
      <c r="H188" t="inlineStr">
        <is>
          <t>7 Agustus 2023</t>
        </is>
      </c>
      <c r="I188" s="2" t="n">
        <v>46293</v>
      </c>
      <c r="J188" t="inlineStr">
        <is>
          <t>Disetujui</t>
        </is>
      </c>
      <c r="K188" t="n">
        <v>90</v>
      </c>
      <c r="L188" t="inlineStr">
        <is>
          <t>28 September 2026</t>
        </is>
      </c>
      <c r="M188" t="inlineStr">
        <is>
          <t>Konstruksi Bangunan Sipil Jalan</t>
        </is>
      </c>
      <c r="N188" t="inlineStr">
        <is>
          <t>K</t>
        </is>
      </c>
      <c r="O188" t="inlineStr">
        <is>
          <t>20230926</t>
        </is>
      </c>
      <c r="P188" t="inlineStr">
        <is>
          <t>Jawa Timur</t>
        </is>
      </c>
      <c r="Q188" t="inlineStr"/>
    </row>
    <row r="189">
      <c r="A189" t="inlineStr">
        <is>
          <t>SARI ASIH</t>
        </is>
      </c>
      <c r="B189" t="inlineStr">
        <is>
          <t>Kab. Sleman</t>
        </is>
      </c>
      <c r="C189" t="inlineStr">
        <is>
          <t>08112639663</t>
        </is>
      </c>
      <c r="D189" t="inlineStr">
        <is>
          <t>sariasih.cv@yahoo.com</t>
        </is>
      </c>
      <c r="E189" t="inlineStr">
        <is>
          <t>https://lpjk.pu.go.id/search-badan-usaha-detail/WUJFM2c2NlAwTFhvYmlmSHBzTk8yQT09</t>
        </is>
      </c>
      <c r="F189" t="n">
        <v>1</v>
      </c>
      <c r="G189" t="inlineStr">
        <is>
          <t>BG002</t>
        </is>
      </c>
      <c r="H189" t="inlineStr">
        <is>
          <t>5 Desember 1991</t>
        </is>
      </c>
      <c r="I189" s="2" t="n">
        <v>46293</v>
      </c>
      <c r="J189" t="inlineStr">
        <is>
          <t>Pencabutan</t>
        </is>
      </c>
      <c r="K189" t="n">
        <v>90</v>
      </c>
      <c r="L189" t="inlineStr">
        <is>
          <t>28 September 2026</t>
        </is>
      </c>
      <c r="M189" t="inlineStr">
        <is>
          <t>Konstruksi Gedung Perkantoran</t>
        </is>
      </c>
      <c r="N189" t="inlineStr">
        <is>
          <t>K</t>
        </is>
      </c>
      <c r="O189" t="inlineStr">
        <is>
          <t>20230915</t>
        </is>
      </c>
      <c r="P189" t="inlineStr">
        <is>
          <t>DI Yogyakarta</t>
        </is>
      </c>
      <c r="Q189" t="inlineStr"/>
    </row>
    <row r="190">
      <c r="A190" t="inlineStr">
        <is>
          <t>SARI NOVA PRATAMA</t>
        </is>
      </c>
      <c r="B190" t="inlineStr">
        <is>
          <t>Kab. Langkat</t>
        </is>
      </c>
      <c r="C190" t="inlineStr">
        <is>
          <t>082261275447</t>
        </is>
      </c>
      <c r="D190" t="inlineStr">
        <is>
          <t>cv.sarinova@umkmgo.online</t>
        </is>
      </c>
      <c r="E190" t="inlineStr">
        <is>
          <t>https://lpjk.pu.go.id/search-badan-usaha-detail/dkp4ejNxTmp1ay96L0xMU2ZMd2RXQT09</t>
        </is>
      </c>
      <c r="F190" t="n">
        <v>1</v>
      </c>
      <c r="G190" t="inlineStr">
        <is>
          <t>BS010</t>
        </is>
      </c>
      <c r="H190" t="inlineStr">
        <is>
          <t>29 Maret 2023</t>
        </is>
      </c>
      <c r="I190" s="2" t="n">
        <v>46293</v>
      </c>
      <c r="J190" t="inlineStr">
        <is>
          <t>Disetujui</t>
        </is>
      </c>
      <c r="K190" t="n">
        <v>90</v>
      </c>
      <c r="L190" t="inlineStr">
        <is>
          <t>28 September 2026</t>
        </is>
      </c>
      <c r="M190" t="inlineStr">
        <is>
          <t>Konstruksi Bangunan Prasarana Sumber Daya Air</t>
        </is>
      </c>
      <c r="N190" t="inlineStr">
        <is>
          <t>K</t>
        </is>
      </c>
      <c r="O190" t="inlineStr">
        <is>
          <t>20230926</t>
        </is>
      </c>
      <c r="P190" t="inlineStr">
        <is>
          <t>Sumatera Utara</t>
        </is>
      </c>
      <c r="Q190" t="inlineStr"/>
    </row>
    <row r="191">
      <c r="A191" t="inlineStr">
        <is>
          <t>SATU TUJUH TUJUH</t>
        </is>
      </c>
      <c r="B191" t="inlineStr">
        <is>
          <t>Kota Makassar</t>
        </is>
      </c>
      <c r="C191" t="inlineStr">
        <is>
          <t>+62811463445</t>
        </is>
      </c>
      <c r="D191" t="inlineStr">
        <is>
          <t>tujuhsatutujuh1@gmail.com</t>
        </is>
      </c>
      <c r="E191" t="inlineStr">
        <is>
          <t>https://lpjk.pu.go.id/search-badan-usaha-detail/TGw0WmsxaXlaOWtrMExQQnhIS3ZFSlp1WVdyQVFMZkVOM0Y3ZnE1UXAzbz0</t>
        </is>
      </c>
      <c r="F191" t="n">
        <v>1</v>
      </c>
      <c r="G191" t="inlineStr">
        <is>
          <t>BS001</t>
        </is>
      </c>
      <c r="H191" t="inlineStr">
        <is>
          <t>11 Juli 2025</t>
        </is>
      </c>
      <c r="I191" s="2" t="n">
        <v>46293</v>
      </c>
      <c r="J191" t="inlineStr">
        <is>
          <t>Disetujui</t>
        </is>
      </c>
      <c r="K191" t="n">
        <v>90</v>
      </c>
      <c r="L191" t="inlineStr">
        <is>
          <t>28 September 2026</t>
        </is>
      </c>
      <c r="M191" t="inlineStr">
        <is>
          <t>Konstruksi Bangunan Sipil Jalan</t>
        </is>
      </c>
      <c r="N191" t="inlineStr">
        <is>
          <t>M</t>
        </is>
      </c>
      <c r="O191" t="inlineStr">
        <is>
          <t>20230922</t>
        </is>
      </c>
      <c r="P191" t="inlineStr">
        <is>
          <t>Sulawesi Selatan</t>
        </is>
      </c>
      <c r="Q191" t="inlineStr"/>
    </row>
    <row r="192">
      <c r="A192" t="inlineStr">
        <is>
          <t>SAVAQIRA LIMA EMPAT</t>
        </is>
      </c>
      <c r="B192" t="inlineStr">
        <is>
          <t>Kab. Lampung Tengah</t>
        </is>
      </c>
      <c r="C192" t="inlineStr">
        <is>
          <t>082179843351</t>
        </is>
      </c>
      <c r="D192" t="inlineStr">
        <is>
          <t>cvsavaqiral54@gmail.com</t>
        </is>
      </c>
      <c r="E192" t="inlineStr">
        <is>
          <t>https://lpjk.pu.go.id/search-badan-usaha-detail/T0JNWnJvMlM2UTc0RHdYaitZSUhRdz09</t>
        </is>
      </c>
      <c r="F192" t="n">
        <v>1</v>
      </c>
      <c r="G192" t="inlineStr">
        <is>
          <t>BS004</t>
        </is>
      </c>
      <c r="H192" t="inlineStr">
        <is>
          <t>24 September 2021</t>
        </is>
      </c>
      <c r="I192" s="2" t="n">
        <v>46293</v>
      </c>
      <c r="J192" t="inlineStr">
        <is>
          <t>Pencabutan</t>
        </is>
      </c>
      <c r="K192" t="n">
        <v>90</v>
      </c>
      <c r="L192" t="inlineStr">
        <is>
          <t>28 September 2026</t>
        </is>
      </c>
      <c r="M192" t="inlineStr">
        <is>
          <t>Konstruksi Jaringan Irigasi dan Drainase</t>
        </is>
      </c>
      <c r="N192" t="inlineStr">
        <is>
          <t>K</t>
        </is>
      </c>
      <c r="O192" t="inlineStr">
        <is>
          <t>20230925</t>
        </is>
      </c>
      <c r="P192" t="inlineStr">
        <is>
          <t>Lampung</t>
        </is>
      </c>
      <c r="Q192" t="inlineStr"/>
    </row>
    <row r="193">
      <c r="A193" t="inlineStr">
        <is>
          <t>SENTOSA KARYA TEKNIK</t>
        </is>
      </c>
      <c r="B193" t="inlineStr">
        <is>
          <t>Kab. Tulungagung</t>
        </is>
      </c>
      <c r="C193" t="inlineStr">
        <is>
          <t>085646990871</t>
        </is>
      </c>
      <c r="D193" t="inlineStr">
        <is>
          <t>skt.cv.ta@gmail.com</t>
        </is>
      </c>
      <c r="E193" t="inlineStr">
        <is>
          <t>https://lpjk.pu.go.id/search-badan-usaha-detail/TTd1RzdPRnZaTlJnODVoK0phT0l4dz09</t>
        </is>
      </c>
      <c r="F193" t="n">
        <v>2</v>
      </c>
      <c r="G193" t="inlineStr">
        <is>
          <t>RK001, RK003</t>
        </is>
      </c>
      <c r="H193" t="inlineStr">
        <is>
          <t>23 Februari 2017</t>
        </is>
      </c>
      <c r="I193" s="2" t="n">
        <v>46293</v>
      </c>
      <c r="J193" t="inlineStr">
        <is>
          <t>Disetujui</t>
        </is>
      </c>
      <c r="K193" t="n">
        <v>90</v>
      </c>
      <c r="L193" t="inlineStr">
        <is>
          <t>28 September 2026</t>
        </is>
      </c>
      <c r="M193" t="inlineStr">
        <is>
          <t>Jasa Rekayasa Konstruksi Bangunan Gedung Hunian dan Non Hunian, Jasa Rekayasa Pekerjaan Teknik Sipil Transportasi</t>
        </is>
      </c>
      <c r="N193" t="inlineStr">
        <is>
          <t>K</t>
        </is>
      </c>
      <c r="O193" t="inlineStr">
        <is>
          <t>20230920</t>
        </is>
      </c>
      <c r="P193" t="inlineStr">
        <is>
          <t>Jawa Timur</t>
        </is>
      </c>
      <c r="Q193" t="inlineStr"/>
    </row>
    <row r="194">
      <c r="A194" t="inlineStr">
        <is>
          <t>SHAKA ARKATAMA</t>
        </is>
      </c>
      <c r="B194" t="inlineStr">
        <is>
          <t>Kab. Jember</t>
        </is>
      </c>
      <c r="C194" t="inlineStr">
        <is>
          <t>082336452301</t>
        </is>
      </c>
      <c r="D194" t="inlineStr">
        <is>
          <t>shakaarkatama.cv@gmail.com</t>
        </is>
      </c>
      <c r="E194" t="inlineStr">
        <is>
          <t>https://lpjk.pu.go.id/search-badan-usaha-detail/bnp2RlU4U0pZUXprcmg3MGx4SWthUT09</t>
        </is>
      </c>
      <c r="F194" t="n">
        <v>1</v>
      </c>
      <c r="G194" t="inlineStr">
        <is>
          <t>BS001</t>
        </is>
      </c>
      <c r="H194" t="inlineStr">
        <is>
          <t>24 Februari 2021</t>
        </is>
      </c>
      <c r="I194" s="2" t="n">
        <v>46293</v>
      </c>
      <c r="J194" t="inlineStr">
        <is>
          <t>Disetujui</t>
        </is>
      </c>
      <c r="K194" t="n">
        <v>90</v>
      </c>
      <c r="L194" t="inlineStr">
        <is>
          <t>28 September 2026</t>
        </is>
      </c>
      <c r="M194" t="inlineStr">
        <is>
          <t>Konstruksi Bangunan Sipil Jalan</t>
        </is>
      </c>
      <c r="N194" t="inlineStr">
        <is>
          <t>K</t>
        </is>
      </c>
      <c r="O194" t="inlineStr">
        <is>
          <t>20230921</t>
        </is>
      </c>
      <c r="P194" t="inlineStr">
        <is>
          <t>Jawa Timur</t>
        </is>
      </c>
      <c r="Q194" t="inlineStr"/>
    </row>
    <row r="195">
      <c r="A195" t="inlineStr">
        <is>
          <t>SHAKA PRIMA UTAMA</t>
        </is>
      </c>
      <c r="B195" t="inlineStr">
        <is>
          <t>Kota Pangkal Pinang</t>
        </is>
      </c>
      <c r="C195" t="inlineStr">
        <is>
          <t>081271910220</t>
        </is>
      </c>
      <c r="D195" t="inlineStr">
        <is>
          <t>cvshakaprimautama@gmail.com</t>
        </is>
      </c>
      <c r="E195" t="inlineStr">
        <is>
          <t>https://lpjk.pu.go.id/search-badan-usaha-detail/aGJDeHJqazBtZ3dqUnlYZ0o4a0VHZz09</t>
        </is>
      </c>
      <c r="F195" t="n">
        <v>1</v>
      </c>
      <c r="G195" t="inlineStr">
        <is>
          <t>BG001</t>
        </is>
      </c>
      <c r="H195" t="inlineStr">
        <is>
          <t>31 Juli 2023</t>
        </is>
      </c>
      <c r="I195" s="2" t="n">
        <v>46293</v>
      </c>
      <c r="J195" t="inlineStr">
        <is>
          <t>Disetujui</t>
        </is>
      </c>
      <c r="K195" t="n">
        <v>90</v>
      </c>
      <c r="L195" t="inlineStr">
        <is>
          <t>28 September 2026</t>
        </is>
      </c>
      <c r="M195" t="inlineStr">
        <is>
          <t>Konstruksi Gedung Hunian</t>
        </is>
      </c>
      <c r="N195" t="inlineStr">
        <is>
          <t>K</t>
        </is>
      </c>
      <c r="O195" t="inlineStr">
        <is>
          <t>20230927</t>
        </is>
      </c>
      <c r="P195" t="inlineStr">
        <is>
          <t>Kepulauan Bangka Belitung</t>
        </is>
      </c>
      <c r="Q195" t="inlineStr"/>
    </row>
    <row r="196">
      <c r="A196" t="inlineStr">
        <is>
          <t>SINAR AMPEL BANGUN</t>
        </is>
      </c>
      <c r="B196" t="inlineStr">
        <is>
          <t>Kab. Tangerang</t>
        </is>
      </c>
      <c r="C196" t="inlineStr">
        <is>
          <t>083812881688</t>
        </is>
      </c>
      <c r="D196" t="inlineStr">
        <is>
          <t>sinarampelbangun@gmail.com</t>
        </is>
      </c>
      <c r="E196" t="inlineStr">
        <is>
          <t>https://lpjk.pu.go.id/search-badan-usaha-detail/eXhNRTlPMzBSdmUwL0krZnBwVjJjdz09</t>
        </is>
      </c>
      <c r="F196" t="n">
        <v>1</v>
      </c>
      <c r="G196" t="inlineStr">
        <is>
          <t>BS001</t>
        </is>
      </c>
      <c r="H196" t="inlineStr">
        <is>
          <t>26 November 2022</t>
        </is>
      </c>
      <c r="I196" s="2" t="n">
        <v>46293</v>
      </c>
      <c r="J196" t="inlineStr">
        <is>
          <t>Disetujui</t>
        </is>
      </c>
      <c r="K196" t="n">
        <v>90</v>
      </c>
      <c r="L196" t="inlineStr">
        <is>
          <t>28 September 2026</t>
        </is>
      </c>
      <c r="M196" t="inlineStr">
        <is>
          <t>Konstruksi Bangunan Sipil Jalan</t>
        </is>
      </c>
      <c r="N196" t="inlineStr">
        <is>
          <t>K</t>
        </is>
      </c>
      <c r="O196" t="inlineStr">
        <is>
          <t>20230927</t>
        </is>
      </c>
      <c r="P196" t="inlineStr">
        <is>
          <t>Banten</t>
        </is>
      </c>
      <c r="Q196" t="inlineStr"/>
    </row>
    <row r="197">
      <c r="A197" t="inlineStr">
        <is>
          <t>SINAR KARYA BARU</t>
        </is>
      </c>
      <c r="B197" t="inlineStr">
        <is>
          <t>Kota Kupang</t>
        </is>
      </c>
      <c r="C197" t="inlineStr">
        <is>
          <t>091261257828</t>
        </is>
      </c>
      <c r="D197" t="inlineStr">
        <is>
          <t>sinarkarya68@gmail.com</t>
        </is>
      </c>
      <c r="E197" t="inlineStr">
        <is>
          <t>https://lpjk.pu.go.id/search-badan-usaha-detail/R2NYbGVqamFWY0dtck5vdmNENkJHdz09</t>
        </is>
      </c>
      <c r="F197" t="n">
        <v>2</v>
      </c>
      <c r="G197" t="inlineStr">
        <is>
          <t>BG009, BS001</t>
        </is>
      </c>
      <c r="H197" t="inlineStr">
        <is>
          <t>31 Maret 2022</t>
        </is>
      </c>
      <c r="I197" s="2" t="n">
        <v>46293</v>
      </c>
      <c r="J197" t="inlineStr">
        <is>
          <t>Disetujui</t>
        </is>
      </c>
      <c r="K197" t="n">
        <v>90</v>
      </c>
      <c r="L197" t="inlineStr">
        <is>
          <t>28 September 2026</t>
        </is>
      </c>
      <c r="M197" t="inlineStr">
        <is>
          <t>Konstruksi Bangunan Sipil Jalan, Konstruksi Gedung Lainnya</t>
        </is>
      </c>
      <c r="N197" t="inlineStr">
        <is>
          <t>K</t>
        </is>
      </c>
      <c r="O197" t="inlineStr">
        <is>
          <t>20230914, 20230921</t>
        </is>
      </c>
      <c r="P197" t="inlineStr">
        <is>
          <t>Nusa Tenggara Timur</t>
        </is>
      </c>
      <c r="Q197" t="inlineStr"/>
    </row>
    <row r="198">
      <c r="A198" t="inlineStr">
        <is>
          <t>SINAR KUNCI MANDIRI</t>
        </is>
      </c>
      <c r="B198" t="inlineStr">
        <is>
          <t>Kota Medan</t>
        </is>
      </c>
      <c r="C198" t="inlineStr">
        <is>
          <t>085296791177</t>
        </is>
      </c>
      <c r="D198" t="inlineStr">
        <is>
          <t>sinarkuncimandiri2@gmail.com</t>
        </is>
      </c>
      <c r="E198" t="inlineStr">
        <is>
          <t>https://lpjk.pu.go.id/search-badan-usaha-detail/RTRBTWRCQS9hR2g4aFZjTGloeWI0dz09</t>
        </is>
      </c>
      <c r="F198" t="n">
        <v>2</v>
      </c>
      <c r="G198" t="inlineStr">
        <is>
          <t>BG003, BG009</t>
        </is>
      </c>
      <c r="H198" t="inlineStr">
        <is>
          <t>7 Juli 2010</t>
        </is>
      </c>
      <c r="I198" s="2" t="n">
        <v>46293</v>
      </c>
      <c r="J198" t="inlineStr">
        <is>
          <t>Disetujui</t>
        </is>
      </c>
      <c r="K198" t="n">
        <v>90</v>
      </c>
      <c r="L198" t="inlineStr">
        <is>
          <t>28 September 2026</t>
        </is>
      </c>
      <c r="M198" t="inlineStr">
        <is>
          <t>Konstruksi Gedung Industri, Konstruksi Gedung Lainnya</t>
        </is>
      </c>
      <c r="N198" t="inlineStr">
        <is>
          <t>K</t>
        </is>
      </c>
      <c r="O198" t="inlineStr">
        <is>
          <t>20230926</t>
        </is>
      </c>
      <c r="P198" t="inlineStr">
        <is>
          <t>Sumatera Utara</t>
        </is>
      </c>
      <c r="Q198" t="inlineStr"/>
    </row>
    <row r="199">
      <c r="A199" t="inlineStr">
        <is>
          <t>SINERGI PROPERTI PRATAMA</t>
        </is>
      </c>
      <c r="B199" t="inlineStr">
        <is>
          <t>Kota Adm. Jakarta Selatan</t>
        </is>
      </c>
      <c r="C199" t="inlineStr">
        <is>
          <t>02173910767</t>
        </is>
      </c>
      <c r="D199" t="inlineStr">
        <is>
          <t>sinergi.pp@gmail.com</t>
        </is>
      </c>
      <c r="E199" t="inlineStr">
        <is>
          <t>https://lpjk.pu.go.id/search-badan-usaha-detail/RzhsU085MEdINlFRY3BMMk5Iemc3QT09</t>
        </is>
      </c>
      <c r="F199" t="n">
        <v>1</v>
      </c>
      <c r="G199" t="inlineStr">
        <is>
          <t>BG003</t>
        </is>
      </c>
      <c r="H199" t="inlineStr">
        <is>
          <t>25 Maret 2015</t>
        </is>
      </c>
      <c r="I199" s="2" t="n">
        <v>46293</v>
      </c>
      <c r="J199" t="inlineStr">
        <is>
          <t>Disetujui</t>
        </is>
      </c>
      <c r="K199" t="n">
        <v>90</v>
      </c>
      <c r="L199" t="inlineStr">
        <is>
          <t>28 September 2026</t>
        </is>
      </c>
      <c r="M199" t="inlineStr">
        <is>
          <t>Konstruksi Gedung Industri</t>
        </is>
      </c>
      <c r="N199" t="inlineStr">
        <is>
          <t>M</t>
        </is>
      </c>
      <c r="O199" t="inlineStr">
        <is>
          <t>20230904</t>
        </is>
      </c>
      <c r="P199" t="inlineStr">
        <is>
          <t>DKI Jakarta</t>
        </is>
      </c>
      <c r="Q199" t="inlineStr"/>
    </row>
    <row r="200">
      <c r="A200" t="inlineStr">
        <is>
          <t>STAR VERTICAL SUKSES</t>
        </is>
      </c>
      <c r="B200" t="inlineStr">
        <is>
          <t>Kota Makassar</t>
        </is>
      </c>
      <c r="C200" t="inlineStr">
        <is>
          <t>08164393327</t>
        </is>
      </c>
      <c r="D200" t="inlineStr">
        <is>
          <t>starverticalsukses@gmail.com</t>
        </is>
      </c>
      <c r="E200" t="inlineStr">
        <is>
          <t>https://lpjk.pu.go.id/search-badan-usaha-detail/ZXN6Ry9CdFpHUVZSTUFqYzhlVndVZz09</t>
        </is>
      </c>
      <c r="F200" t="n">
        <v>1</v>
      </c>
      <c r="G200" t="inlineStr">
        <is>
          <t>BG009</t>
        </is>
      </c>
      <c r="H200" t="inlineStr">
        <is>
          <t>27 Juni 2023</t>
        </is>
      </c>
      <c r="I200" s="2" t="n">
        <v>46293</v>
      </c>
      <c r="J200" t="inlineStr">
        <is>
          <t>Disetujui</t>
        </is>
      </c>
      <c r="K200" t="n">
        <v>90</v>
      </c>
      <c r="L200" t="inlineStr">
        <is>
          <t>28 September 2026</t>
        </is>
      </c>
      <c r="M200" t="inlineStr">
        <is>
          <t>Konstruksi Gedung Lainnya</t>
        </is>
      </c>
      <c r="N200" t="inlineStr">
        <is>
          <t>K</t>
        </is>
      </c>
      <c r="O200" t="inlineStr">
        <is>
          <t>20230824</t>
        </is>
      </c>
      <c r="P200" t="inlineStr">
        <is>
          <t>Sulawesi Selatan</t>
        </is>
      </c>
      <c r="Q200" t="inlineStr"/>
    </row>
    <row r="201">
      <c r="A201" t="inlineStr">
        <is>
          <t>SUGIMANAI MANDIRI</t>
        </is>
      </c>
      <c r="B201" t="inlineStr">
        <is>
          <t>Kab. Kepulauan Selayar</t>
        </is>
      </c>
      <c r="C201" t="inlineStr">
        <is>
          <t>085796597797</t>
        </is>
      </c>
      <c r="D201" t="inlineStr">
        <is>
          <t>sugimanaimandiricv@gmail.com</t>
        </is>
      </c>
      <c r="E201" t="inlineStr">
        <is>
          <t>https://lpjk.pu.go.id/search-badan-usaha-detail/a0k5dXgzWG9VWVh3Y1JBejNJOU1uQT09</t>
        </is>
      </c>
      <c r="F201" t="n">
        <v>2</v>
      </c>
      <c r="G201" t="inlineStr">
        <is>
          <t>BG009, BS005</t>
        </is>
      </c>
      <c r="H201" t="inlineStr">
        <is>
          <t>29 Juni 2001</t>
        </is>
      </c>
      <c r="I201" s="2" t="n">
        <v>46293</v>
      </c>
      <c r="J201" t="inlineStr">
        <is>
          <t>Disetujui</t>
        </is>
      </c>
      <c r="K201" t="n">
        <v>90</v>
      </c>
      <c r="L201" t="inlineStr">
        <is>
          <t>28 September 2026</t>
        </is>
      </c>
      <c r="M201" t="inlineStr">
        <is>
          <t>Konstruksi Bangunan Sipil Pengolahan Air Bersih, Konstruksi Gedung Lainnya</t>
        </is>
      </c>
      <c r="N201" t="inlineStr">
        <is>
          <t>K</t>
        </is>
      </c>
      <c r="O201" t="inlineStr">
        <is>
          <t>20230927</t>
        </is>
      </c>
      <c r="P201" t="inlineStr">
        <is>
          <t>Sulawesi Selatan</t>
        </is>
      </c>
      <c r="Q201" t="inlineStr"/>
    </row>
    <row r="202">
      <c r="A202" t="inlineStr">
        <is>
          <t>TATA BANGUN PRESISI</t>
        </is>
      </c>
      <c r="B202" t="inlineStr">
        <is>
          <t>Kab. Gowa</t>
        </is>
      </c>
      <c r="C202" t="inlineStr">
        <is>
          <t>081298879988</t>
        </is>
      </c>
      <c r="D202" t="inlineStr">
        <is>
          <t>tatabangunpresisi@gmail.com</t>
        </is>
      </c>
      <c r="E202" t="inlineStr">
        <is>
          <t>https://lpjk.pu.go.id/search-badan-usaha-detail/SWpGY21EUVh5cTNGQ3czSEw5akxKZz09</t>
        </is>
      </c>
      <c r="F202" t="n">
        <v>1</v>
      </c>
      <c r="G202" t="inlineStr">
        <is>
          <t>BS001</t>
        </is>
      </c>
      <c r="H202" t="inlineStr">
        <is>
          <t>6 Juli 2023</t>
        </is>
      </c>
      <c r="I202" s="2" t="n">
        <v>46293</v>
      </c>
      <c r="J202" t="inlineStr">
        <is>
          <t>Disetujui</t>
        </is>
      </c>
      <c r="K202" t="n">
        <v>90</v>
      </c>
      <c r="L202" t="inlineStr">
        <is>
          <t>28 September 2026</t>
        </is>
      </c>
      <c r="M202" t="inlineStr">
        <is>
          <t>Konstruksi Bangunan Sipil Jalan</t>
        </is>
      </c>
      <c r="N202" t="inlineStr">
        <is>
          <t>K</t>
        </is>
      </c>
      <c r="O202" t="inlineStr">
        <is>
          <t>20230903</t>
        </is>
      </c>
      <c r="P202" t="inlineStr">
        <is>
          <t>Sulawesi Selatan</t>
        </is>
      </c>
      <c r="Q202" t="inlineStr"/>
    </row>
    <row r="203">
      <c r="A203" t="inlineStr">
        <is>
          <t>TERAZZA</t>
        </is>
      </c>
      <c r="B203" t="inlineStr">
        <is>
          <t>Kota Medan</t>
        </is>
      </c>
      <c r="C203" t="inlineStr">
        <is>
          <t>081370222001</t>
        </is>
      </c>
      <c r="D203" t="inlineStr">
        <is>
          <t>cv.terazza@gmail.com</t>
        </is>
      </c>
      <c r="E203" t="inlineStr">
        <is>
          <t>https://lpjk.pu.go.id/search-badan-usaha-detail/UXh3UmExaDJodkt4YXNRUlplNXJsZz09</t>
        </is>
      </c>
      <c r="F203" t="n">
        <v>2</v>
      </c>
      <c r="G203" t="inlineStr">
        <is>
          <t>BG003, BS001</t>
        </is>
      </c>
      <c r="H203" t="inlineStr">
        <is>
          <t>13 Desember 2019</t>
        </is>
      </c>
      <c r="I203" s="2" t="n">
        <v>46293</v>
      </c>
      <c r="J203" t="inlineStr">
        <is>
          <t>Disetujui</t>
        </is>
      </c>
      <c r="K203" t="n">
        <v>90</v>
      </c>
      <c r="L203" t="inlineStr">
        <is>
          <t>28 September 2026</t>
        </is>
      </c>
      <c r="M203" t="inlineStr">
        <is>
          <t>Konstruksi Bangunan Sipil Jalan, Konstruksi Gedung Industri</t>
        </is>
      </c>
      <c r="N203" t="inlineStr">
        <is>
          <t>K</t>
        </is>
      </c>
      <c r="O203" t="inlineStr">
        <is>
          <t>20230809</t>
        </is>
      </c>
      <c r="P203" t="inlineStr">
        <is>
          <t>Sumatera Utara</t>
        </is>
      </c>
      <c r="Q203" t="inlineStr"/>
    </row>
    <row r="204">
      <c r="A204" t="inlineStr">
        <is>
          <t>TIGA PUTRA MANDIRI</t>
        </is>
      </c>
      <c r="B204" t="inlineStr">
        <is>
          <t>Kota Semarang</t>
        </is>
      </c>
      <c r="C204" t="inlineStr">
        <is>
          <t>081326092029</t>
        </is>
      </c>
      <c r="D204" t="inlineStr">
        <is>
          <t>tigaputramandiri229@yahoo.co.id</t>
        </is>
      </c>
      <c r="E204" t="inlineStr">
        <is>
          <t>https://lpjk.pu.go.id/search-badan-usaha-detail/UFluNEdidWR5TjNrM2pJQVNxSk1wQT09</t>
        </is>
      </c>
      <c r="F204" t="n">
        <v>3</v>
      </c>
      <c r="G204" t="inlineStr">
        <is>
          <t>BG006, BG009, BS004</t>
        </is>
      </c>
      <c r="H204" t="inlineStr">
        <is>
          <t>26 Agustus 2010</t>
        </is>
      </c>
      <c r="I204" s="2" t="n">
        <v>46293</v>
      </c>
      <c r="J204" t="inlineStr">
        <is>
          <t>Disetujui</t>
        </is>
      </c>
      <c r="K204" t="n">
        <v>90</v>
      </c>
      <c r="L204" t="inlineStr">
        <is>
          <t>28 September 2026</t>
        </is>
      </c>
      <c r="M204" t="inlineStr">
        <is>
          <t>Konstruksi Gedung Lainnya, Konstruksi Gedung Pendidikan, Konstruksi Jaringan Irigasi dan Drainase</t>
        </is>
      </c>
      <c r="N204" t="inlineStr">
        <is>
          <t>K</t>
        </is>
      </c>
      <c r="O204" t="inlineStr">
        <is>
          <t>20230921</t>
        </is>
      </c>
      <c r="P204" t="inlineStr">
        <is>
          <t>Jawa Tengah</t>
        </is>
      </c>
      <c r="Q204" t="inlineStr"/>
    </row>
    <row r="205">
      <c r="A205" t="inlineStr">
        <is>
          <t>TITIAN JATI</t>
        </is>
      </c>
      <c r="B205" t="inlineStr">
        <is>
          <t>Kab. Lombok Barat</t>
        </is>
      </c>
      <c r="C205" t="inlineStr">
        <is>
          <t>081907066440</t>
        </is>
      </c>
      <c r="D205" t="inlineStr">
        <is>
          <t>titianjati.cv@gmail.com</t>
        </is>
      </c>
      <c r="E205" t="inlineStr">
        <is>
          <t>https://lpjk.pu.go.id/search-badan-usaha-detail/K3dieVJrMW53eGdKMFNmY0lZLzQ2dz09</t>
        </is>
      </c>
      <c r="F205" t="n">
        <v>2</v>
      </c>
      <c r="G205" t="inlineStr">
        <is>
          <t>BG009</t>
        </is>
      </c>
      <c r="H205" t="inlineStr">
        <is>
          <t>12 Desember 1998</t>
        </is>
      </c>
      <c r="I205" s="2" t="n">
        <v>46293</v>
      </c>
      <c r="J205" t="inlineStr">
        <is>
          <t>Disetujui</t>
        </is>
      </c>
      <c r="K205" t="n">
        <v>90</v>
      </c>
      <c r="L205" t="inlineStr">
        <is>
          <t>28 September 2026</t>
        </is>
      </c>
      <c r="M205" t="inlineStr">
        <is>
          <t>Konstruksi Gedung Lainnya</t>
        </is>
      </c>
      <c r="N205" t="inlineStr">
        <is>
          <t>K</t>
        </is>
      </c>
      <c r="O205" t="inlineStr">
        <is>
          <t>20230913</t>
        </is>
      </c>
      <c r="P205" t="inlineStr">
        <is>
          <t>Nusa Tenggara Barat</t>
        </is>
      </c>
      <c r="Q205" t="inlineStr"/>
    </row>
    <row r="206">
      <c r="A206" t="inlineStr">
        <is>
          <t>TOTAL TEKNIK INDONESIA</t>
        </is>
      </c>
      <c r="B206" t="inlineStr">
        <is>
          <t>Kota Adm. Jakarta Selatan</t>
        </is>
      </c>
      <c r="C206" t="inlineStr">
        <is>
          <t>081219277178</t>
        </is>
      </c>
      <c r="D206" t="inlineStr">
        <is>
          <t>hrdtotalteknik2@gmail.com</t>
        </is>
      </c>
      <c r="E206" t="inlineStr">
        <is>
          <t>https://lpjk.pu.go.id/search-badan-usaha-detail/cEs1T0pyR3M1R3hXTkluTDF1SlZ1UT09</t>
        </is>
      </c>
      <c r="F206" t="n">
        <v>8</v>
      </c>
      <c r="G206" t="inlineStr">
        <is>
          <t>IN001, IN002, IN004, IN006, IN007, IN008, IN010, IN013</t>
        </is>
      </c>
      <c r="H206" t="inlineStr">
        <is>
          <t>21 November 2013</t>
        </is>
      </c>
      <c r="I206" s="2" t="n">
        <v>46293</v>
      </c>
      <c r="J206" t="inlineStr">
        <is>
          <t>Disetujui, Pencabutan</t>
        </is>
      </c>
      <c r="K206" t="n">
        <v>90</v>
      </c>
      <c r="L206" t="inlineStr">
        <is>
          <t>28 September 2026</t>
        </is>
      </c>
      <c r="M206" t="inlineStr">
        <is>
          <t>Instalasi Elektronika, Instalasi Mekanikal, Instalasi Minyak dan Gas, Instalasi Pemanas dan Geotermal, Instalasi Pendingin Dan Ventilasi Udara, Instalasi Pengolahan Air Untuk Pembangkit Listrik, Instalasi Saluran Air (Plambing), Instalasi Telekomunikasi</t>
        </is>
      </c>
      <c r="N206" t="inlineStr">
        <is>
          <t>Spesialis</t>
        </is>
      </c>
      <c r="O206" t="inlineStr">
        <is>
          <t>20230906, 20230927, 20230928, 20230929</t>
        </is>
      </c>
      <c r="P206" t="inlineStr">
        <is>
          <t>DKI Jakarta</t>
        </is>
      </c>
      <c r="Q206" t="inlineStr"/>
    </row>
    <row r="207">
      <c r="A207" t="inlineStr">
        <is>
          <t>TRI PUTRI CONSTRUCTION</t>
        </is>
      </c>
      <c r="B207" t="inlineStr">
        <is>
          <t>Kab. Gowa</t>
        </is>
      </c>
      <c r="C207" t="inlineStr">
        <is>
          <t>085712187442</t>
        </is>
      </c>
      <c r="D207" t="inlineStr">
        <is>
          <t>konstruksitriputri@gmail.com</t>
        </is>
      </c>
      <c r="E207" t="inlineStr">
        <is>
          <t>https://lpjk.pu.go.id/search-badan-usaha-detail/aS9qWG5LaUw5ZFduc2t0bVZMVDRqdz09</t>
        </is>
      </c>
      <c r="F207" t="n">
        <v>1</v>
      </c>
      <c r="G207" t="inlineStr">
        <is>
          <t>BG001</t>
        </is>
      </c>
      <c r="H207" t="inlineStr">
        <is>
          <t>10 Februari 2023</t>
        </is>
      </c>
      <c r="I207" s="2" t="n">
        <v>46293</v>
      </c>
      <c r="J207" t="inlineStr">
        <is>
          <t>Disetujui</t>
        </is>
      </c>
      <c r="K207" t="n">
        <v>90</v>
      </c>
      <c r="L207" t="inlineStr">
        <is>
          <t>28 September 2026</t>
        </is>
      </c>
      <c r="M207" t="inlineStr">
        <is>
          <t>Konstruksi Gedung Hunian</t>
        </is>
      </c>
      <c r="N207" t="inlineStr">
        <is>
          <t>K</t>
        </is>
      </c>
      <c r="O207" t="inlineStr">
        <is>
          <t>20230920</t>
        </is>
      </c>
      <c r="P207" t="inlineStr">
        <is>
          <t>Sulawesi Selatan</t>
        </is>
      </c>
      <c r="Q207" t="inlineStr"/>
    </row>
    <row r="208">
      <c r="A208" t="inlineStr">
        <is>
          <t>VARIAN GLOBAL PERENCANA</t>
        </is>
      </c>
      <c r="B208" t="inlineStr">
        <is>
          <t>Kota Adm. Jakarta Selatan</t>
        </is>
      </c>
      <c r="C208" t="inlineStr">
        <is>
          <t>02129858013</t>
        </is>
      </c>
      <c r="D208" t="inlineStr">
        <is>
          <t>admin@varianglobal.com</t>
        </is>
      </c>
      <c r="E208" t="inlineStr">
        <is>
          <t>https://lpjk.pu.go.id/search-badan-usaha-detail/N1VCay9QSVpXLy9pTjhPVU5BQ1JsQT09</t>
        </is>
      </c>
      <c r="F208" t="n">
        <v>1</v>
      </c>
      <c r="G208" t="inlineStr">
        <is>
          <t>RK003</t>
        </is>
      </c>
      <c r="H208" t="inlineStr">
        <is>
          <t>5 Januari 2021</t>
        </is>
      </c>
      <c r="I208" s="2" t="n">
        <v>46293</v>
      </c>
      <c r="J208" t="inlineStr">
        <is>
          <t>Disetujui</t>
        </is>
      </c>
      <c r="K208" t="n">
        <v>90</v>
      </c>
      <c r="L208" t="inlineStr">
        <is>
          <t>28 September 2026</t>
        </is>
      </c>
      <c r="M208" t="inlineStr">
        <is>
          <t>Jasa Rekayasa Pekerjaan Teknik Sipil Transportasi</t>
        </is>
      </c>
      <c r="N208" t="inlineStr">
        <is>
          <t>K</t>
        </is>
      </c>
      <c r="O208" t="inlineStr">
        <is>
          <t>20230913</t>
        </is>
      </c>
      <c r="P208" t="inlineStr">
        <is>
          <t>DKI Jakarta</t>
        </is>
      </c>
      <c r="Q208" t="inlineStr"/>
    </row>
    <row r="209">
      <c r="A209" t="inlineStr">
        <is>
          <t>VISI AKSATA PRAMANA</t>
        </is>
      </c>
      <c r="B209" t="inlineStr">
        <is>
          <t>Kota Batam</t>
        </is>
      </c>
      <c r="C209" t="inlineStr">
        <is>
          <t>087871054939</t>
        </is>
      </c>
      <c r="D209" t="inlineStr">
        <is>
          <t>visiaksatapramana@gmail.com</t>
        </is>
      </c>
      <c r="E209" t="inlineStr">
        <is>
          <t>https://lpjk.pu.go.id/search-badan-usaha-detail/WVdtM3hFNWRmQzRWVWQvaVBOaUt6UT09</t>
        </is>
      </c>
      <c r="F209" t="n">
        <v>3</v>
      </c>
      <c r="G209" t="inlineStr">
        <is>
          <t>BG001, BG003, BG009</t>
        </is>
      </c>
      <c r="H209" t="inlineStr">
        <is>
          <t>18 September 2023</t>
        </is>
      </c>
      <c r="I209" s="2" t="n">
        <v>46293</v>
      </c>
      <c r="J209" t="inlineStr">
        <is>
          <t>Pencabutan</t>
        </is>
      </c>
      <c r="K209" t="n">
        <v>90</v>
      </c>
      <c r="L209" t="inlineStr">
        <is>
          <t>28 September 2026</t>
        </is>
      </c>
      <c r="M209" t="inlineStr">
        <is>
          <t>Konstruksi Gedung Hunian, Konstruksi Gedung Industri, Konstruksi Gedung Lainnya</t>
        </is>
      </c>
      <c r="N209" t="inlineStr">
        <is>
          <t>K</t>
        </is>
      </c>
      <c r="O209" t="inlineStr">
        <is>
          <t>20230926</t>
        </is>
      </c>
      <c r="P209" t="inlineStr">
        <is>
          <t>Kepulauan Riau</t>
        </is>
      </c>
      <c r="Q209" t="inlineStr"/>
    </row>
    <row r="210">
      <c r="A210" t="inlineStr">
        <is>
          <t>WIJAYA</t>
        </is>
      </c>
      <c r="B210" t="inlineStr">
        <is>
          <t>Kab. Brebes</t>
        </is>
      </c>
      <c r="C210" t="inlineStr">
        <is>
          <t>0289432405</t>
        </is>
      </c>
      <c r="D210" t="inlineStr">
        <is>
          <t>cvwijaya86@gmail.com</t>
        </is>
      </c>
      <c r="E210" t="inlineStr">
        <is>
          <t>https://lpjk.pu.go.id/search-badan-usaha-detail/a0FoUkFrUjZFUTV6cFJhVmNFYkR0UT09</t>
        </is>
      </c>
      <c r="F210" t="n">
        <v>1</v>
      </c>
      <c r="G210" t="inlineStr">
        <is>
          <t>BS001</t>
        </is>
      </c>
      <c r="H210" t="inlineStr">
        <is>
          <t>18 Juli 2001</t>
        </is>
      </c>
      <c r="I210" s="2" t="n">
        <v>46293</v>
      </c>
      <c r="J210" t="inlineStr">
        <is>
          <t>Disetujui</t>
        </is>
      </c>
      <c r="K210" t="n">
        <v>90</v>
      </c>
      <c r="L210" t="inlineStr">
        <is>
          <t>28 September 2026</t>
        </is>
      </c>
      <c r="M210" t="inlineStr">
        <is>
          <t>Konstruksi Bangunan Sipil Jalan</t>
        </is>
      </c>
      <c r="N210" t="inlineStr">
        <is>
          <t>K</t>
        </is>
      </c>
      <c r="O210" t="inlineStr">
        <is>
          <t>20230926</t>
        </is>
      </c>
      <c r="P210" t="inlineStr">
        <is>
          <t>Jawa Tengah</t>
        </is>
      </c>
      <c r="Q210" t="inlineStr"/>
    </row>
    <row r="211">
      <c r="A211" t="inlineStr">
        <is>
          <t>WIJAYA PERDANA</t>
        </is>
      </c>
      <c r="B211" t="inlineStr">
        <is>
          <t>Kota Adm. Jakarta Selatan</t>
        </is>
      </c>
      <c r="C211" t="inlineStr">
        <is>
          <t>0217507322</t>
        </is>
      </c>
      <c r="D211" t="inlineStr">
        <is>
          <t>info@wijayaperdana.id</t>
        </is>
      </c>
      <c r="E211" t="inlineStr">
        <is>
          <t>https://lpjk.pu.go.id/search-badan-usaha-detail/OHhuR1gyWVZyVFFPS1RiOTZVNWRyQT09</t>
        </is>
      </c>
      <c r="F211" t="n">
        <v>2</v>
      </c>
      <c r="G211" t="inlineStr">
        <is>
          <t>BG005</t>
        </is>
      </c>
      <c r="H211" t="inlineStr">
        <is>
          <t>26 Februari 1980</t>
        </is>
      </c>
      <c r="I211" s="2" t="n">
        <v>46293</v>
      </c>
      <c r="J211" t="inlineStr">
        <is>
          <t>Pencabutan</t>
        </is>
      </c>
      <c r="K211" t="n">
        <v>90</v>
      </c>
      <c r="L211" t="inlineStr">
        <is>
          <t>28 September 2026</t>
        </is>
      </c>
      <c r="M211" t="inlineStr">
        <is>
          <t>Konstruksi Gedung Kesehatan</t>
        </is>
      </c>
      <c r="N211" t="inlineStr">
        <is>
          <t>B</t>
        </is>
      </c>
      <c r="O211" t="inlineStr">
        <is>
          <t>20230920</t>
        </is>
      </c>
      <c r="P211" t="inlineStr">
        <is>
          <t>DKI Jakarta</t>
        </is>
      </c>
      <c r="Q211" t="inlineStr"/>
    </row>
    <row r="212">
      <c r="A212" t="inlineStr">
        <is>
          <t>WIRASAKTI JAYA BERSAMA</t>
        </is>
      </c>
      <c r="B212" t="inlineStr">
        <is>
          <t>Kota Adm. Jakarta Barat</t>
        </is>
      </c>
      <c r="C212" t="inlineStr">
        <is>
          <t>0215667994</t>
        </is>
      </c>
      <c r="D212" t="inlineStr">
        <is>
          <t>wirasaktijayabersama@gmail.com</t>
        </is>
      </c>
      <c r="E212" t="inlineStr">
        <is>
          <t>https://lpjk.pu.go.id/search-badan-usaha-detail/TUUzeE1iTjlVSjJHWDRBaU5Td2o3dz09</t>
        </is>
      </c>
      <c r="F212" t="n">
        <v>3</v>
      </c>
      <c r="G212" t="inlineStr">
        <is>
          <t>BG001, BG002, BG003</t>
        </is>
      </c>
      <c r="H212" t="inlineStr">
        <is>
          <t>23 Mei 2023</t>
        </is>
      </c>
      <c r="I212" s="2" t="n">
        <v>46293</v>
      </c>
      <c r="J212" t="inlineStr">
        <is>
          <t>Disetujui</t>
        </is>
      </c>
      <c r="K212" t="n">
        <v>90</v>
      </c>
      <c r="L212" t="inlineStr">
        <is>
          <t>28 September 2026</t>
        </is>
      </c>
      <c r="M212" t="inlineStr">
        <is>
          <t>Konstruksi Gedung Hunian, Konstruksi Gedung Industri, Konstruksi Gedung Perkantoran</t>
        </is>
      </c>
      <c r="N212" t="inlineStr">
        <is>
          <t>K</t>
        </is>
      </c>
      <c r="O212" t="inlineStr">
        <is>
          <t>20230921</t>
        </is>
      </c>
      <c r="P212" t="inlineStr">
        <is>
          <t>DKI Jakarta</t>
        </is>
      </c>
      <c r="Q212" t="inlineStr"/>
    </row>
    <row r="213">
      <c r="A213" t="inlineStr">
        <is>
          <t>YUDA PRATAMA MANDIRI</t>
        </is>
      </c>
      <c r="B213" t="inlineStr">
        <is>
          <t>Kab. Hulu Sungai Utara</t>
        </is>
      </c>
      <c r="C213" t="inlineStr">
        <is>
          <t>087815698328</t>
        </is>
      </c>
      <c r="D213" t="inlineStr">
        <is>
          <t>CV.YUDAPRATAMAMANDIRI@GMAIL.COM</t>
        </is>
      </c>
      <c r="E213" t="inlineStr">
        <is>
          <t>https://lpjk.pu.go.id/search-badan-usaha-detail/dXlpWjV6YXppMjFZaVhhQ2lZdmxHUT09</t>
        </is>
      </c>
      <c r="F213" t="n">
        <v>1</v>
      </c>
      <c r="G213" t="inlineStr">
        <is>
          <t>BG005</t>
        </is>
      </c>
      <c r="H213" t="inlineStr">
        <is>
          <t>5 September 2023</t>
        </is>
      </c>
      <c r="I213" s="2" t="n">
        <v>46293</v>
      </c>
      <c r="J213" t="inlineStr">
        <is>
          <t>Disetujui</t>
        </is>
      </c>
      <c r="K213" t="n">
        <v>90</v>
      </c>
      <c r="L213" t="inlineStr">
        <is>
          <t>28 September 2026</t>
        </is>
      </c>
      <c r="M213" t="inlineStr">
        <is>
          <t>Konstruksi Gedung Kesehatan</t>
        </is>
      </c>
      <c r="N213" t="inlineStr">
        <is>
          <t>K</t>
        </is>
      </c>
      <c r="O213" t="inlineStr">
        <is>
          <t>20230919</t>
        </is>
      </c>
      <c r="P213" t="inlineStr">
        <is>
          <t>Kalimantan Selatan</t>
        </is>
      </c>
      <c r="Q213" t="inlineStr"/>
    </row>
    <row r="214">
      <c r="A214" t="inlineStr">
        <is>
          <t>ZAIN KONSTRUKSI</t>
        </is>
      </c>
      <c r="B214" t="inlineStr">
        <is>
          <t>Kab. Rokan Hulu</t>
        </is>
      </c>
      <c r="C214" t="inlineStr">
        <is>
          <t>085356221011</t>
        </is>
      </c>
      <c r="D214" t="inlineStr">
        <is>
          <t>alf.zfa@gmail.com</t>
        </is>
      </c>
      <c r="E214" t="inlineStr">
        <is>
          <t>https://lpjk.pu.go.id/search-badan-usaha-detail/OEwvVHFxZ0xjYm04TE1tbjVHZW4yQT09</t>
        </is>
      </c>
      <c r="F214" t="n">
        <v>1</v>
      </c>
      <c r="G214" t="inlineStr">
        <is>
          <t>BG006</t>
        </is>
      </c>
      <c r="H214" t="inlineStr">
        <is>
          <t>14 Januari 2021</t>
        </is>
      </c>
      <c r="I214" s="2" t="n">
        <v>46293</v>
      </c>
      <c r="J214" t="inlineStr">
        <is>
          <t>Disetujui</t>
        </is>
      </c>
      <c r="K214" t="n">
        <v>90</v>
      </c>
      <c r="L214" t="inlineStr">
        <is>
          <t>28 September 2026</t>
        </is>
      </c>
      <c r="M214" t="inlineStr">
        <is>
          <t>Konstruksi Gedung Pendidikan</t>
        </is>
      </c>
      <c r="N214" t="inlineStr">
        <is>
          <t>K</t>
        </is>
      </c>
      <c r="O214" t="inlineStr">
        <is>
          <t>20230908</t>
        </is>
      </c>
      <c r="P214" t="inlineStr">
        <is>
          <t>Riau</t>
        </is>
      </c>
      <c r="Q214" t="inlineStr"/>
    </row>
    <row r="215">
      <c r="A215" t="inlineStr">
        <is>
          <t>ZAKIRA PRATAMA</t>
        </is>
      </c>
      <c r="B215" t="inlineStr">
        <is>
          <t>Kab. Halmahera Timur</t>
        </is>
      </c>
      <c r="C215" t="inlineStr">
        <is>
          <t>082252435906</t>
        </is>
      </c>
      <c r="D215" t="inlineStr">
        <is>
          <t>zakirapratama86@gmail.com</t>
        </is>
      </c>
      <c r="E215" t="inlineStr">
        <is>
          <t>https://lpjk.pu.go.id/search-badan-usaha-detail/dmk1bVRxM1ZOS1gzSWo5MjlkSTdTQT09</t>
        </is>
      </c>
      <c r="F215" t="n">
        <v>1</v>
      </c>
      <c r="G215" t="inlineStr">
        <is>
          <t>BS001</t>
        </is>
      </c>
      <c r="H215" t="inlineStr">
        <is>
          <t>21 Januari 2023</t>
        </is>
      </c>
      <c r="I215" s="2" t="n">
        <v>46293</v>
      </c>
      <c r="J215" t="inlineStr">
        <is>
          <t>Disetujui</t>
        </is>
      </c>
      <c r="K215" t="n">
        <v>90</v>
      </c>
      <c r="L215" t="inlineStr">
        <is>
          <t>28 September 2026</t>
        </is>
      </c>
      <c r="M215" t="inlineStr">
        <is>
          <t>Konstruksi Bangunan Sipil Jalan</t>
        </is>
      </c>
      <c r="N215" t="inlineStr">
        <is>
          <t>K</t>
        </is>
      </c>
      <c r="O215" t="inlineStr">
        <is>
          <t>20230925</t>
        </is>
      </c>
      <c r="P215" t="inlineStr">
        <is>
          <t>Maluku Utara</t>
        </is>
      </c>
      <c r="Q2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92"/>
  <sheetViews>
    <sheetView workbookViewId="0">
      <selection activeCell="A1" sqref="A1"/>
    </sheetView>
  </sheetViews>
  <sheetFormatPr baseColWidth="8" defaultRowHeight="15"/>
  <cols>
    <col width="31" customWidth="1" min="1" max="1"/>
    <col width="27" customWidth="1" min="2" max="2"/>
    <col width="16" customWidth="1" min="3" max="3"/>
    <col width="39" customWidth="1" min="4" max="4"/>
    <col width="50" customWidth="1" min="5" max="5"/>
    <col width="18" customWidth="1" min="6" max="6"/>
    <col width="42" customWidth="1" min="7" max="7"/>
    <col width="20" customWidth="1" min="8" max="8"/>
    <col width="28" customWidth="1" min="9" max="9"/>
    <col width="25"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AGIL FARHAH PRATAMA</t>
        </is>
      </c>
      <c r="B2" t="inlineStr">
        <is>
          <t>Kab. Bekasi</t>
        </is>
      </c>
      <c r="C2" t="inlineStr">
        <is>
          <t>082125128009</t>
        </is>
      </c>
      <c r="D2" t="inlineStr">
        <is>
          <t>agilfarhahpratama@gmail.com</t>
        </is>
      </c>
      <c r="E2" t="inlineStr">
        <is>
          <t>https://lpjk.pu.go.id/search-badan-usaha-detail/OHF1Q3NteFRaQ3V3UU5ReU91RkpHUT09</t>
        </is>
      </c>
      <c r="F2" t="n">
        <v>4</v>
      </c>
      <c r="G2" t="inlineStr">
        <is>
          <t>BG006, BG009, BS001, BS004</t>
        </is>
      </c>
      <c r="H2" t="inlineStr">
        <is>
          <t>2 Januari 2006</t>
        </is>
      </c>
      <c r="I2" s="2" t="n">
        <v>46263</v>
      </c>
      <c r="J2" t="inlineStr">
        <is>
          <t>Disetujui</t>
        </is>
      </c>
      <c r="K2" t="n">
        <v>60</v>
      </c>
      <c r="L2" t="inlineStr">
        <is>
          <t>29 Agustus 2026</t>
        </is>
      </c>
      <c r="M2" t="inlineStr">
        <is>
          <t>Konstruksi Bangunan Sipil Jalan, Konstruksi Gedung Lainnya, Konstruksi Gedung Pendidikan, Konstruksi Jaringan Irigasi dan Drainase</t>
        </is>
      </c>
      <c r="N2" t="inlineStr">
        <is>
          <t>K</t>
        </is>
      </c>
      <c r="O2" t="inlineStr">
        <is>
          <t>20230824</t>
        </is>
      </c>
      <c r="P2" t="inlineStr">
        <is>
          <t>Jawa Barat</t>
        </is>
      </c>
      <c r="Q2" s="3">
        <f>HYPERLINK("https://wa.me/6282125128009?text=*[PENGINGAT MASA BERLAKU SBU AGIL FARHAH PRATAMA]*%0A%0AYth. Pimpinan AGIL FARHAH PRATAMA,%0AMohon izin menginformasikan status SBU Anda di sistem LPJK:%0A%0A📄 SBU: BG006, BG009, BS001, BS004%0A📅 Expired: 29 Agustus 2026 (60 Hari Lagi)%0A%0AKami tim PT. ESDEA Assistance Management siap men-support proses perpanjangan segera agar administrasi proyek tidak terhambat%0A%0AApakah boleh saya bantu siapkan estimasi biaya dan waktu pengerjaannya?.", "Hubungi")</f>
        <v/>
      </c>
    </row>
    <row r="3">
      <c r="A3" t="inlineStr">
        <is>
          <t>ALIFINDO PUTRA JAYA</t>
        </is>
      </c>
      <c r="B3" t="inlineStr">
        <is>
          <t>Kota Adm. Jakarta Timur</t>
        </is>
      </c>
      <c r="C3" t="inlineStr">
        <is>
          <t>087773141689</t>
        </is>
      </c>
      <c r="D3" t="inlineStr">
        <is>
          <t>alifindo.pt@gmail.com</t>
        </is>
      </c>
      <c r="E3" t="inlineStr">
        <is>
          <t>https://lpjk.pu.go.id/search-badan-usaha-detail/amxySnJhNnYvTnl4bUI5L2FBSEdLZz09</t>
        </is>
      </c>
      <c r="F3" t="n">
        <v>1</v>
      </c>
      <c r="G3" t="inlineStr">
        <is>
          <t>IN001</t>
        </is>
      </c>
      <c r="H3" t="inlineStr">
        <is>
          <t>1 Desember 2014</t>
        </is>
      </c>
      <c r="I3" s="2" t="n">
        <v>46263</v>
      </c>
      <c r="J3" t="inlineStr">
        <is>
          <t>Pembekuan</t>
        </is>
      </c>
      <c r="K3" t="n">
        <v>60</v>
      </c>
      <c r="L3" t="inlineStr">
        <is>
          <t>29 Agustus 2026</t>
        </is>
      </c>
      <c r="M3" t="inlineStr">
        <is>
          <t>Instalasi Mekanikal</t>
        </is>
      </c>
      <c r="N3" t="inlineStr">
        <is>
          <t>Spesialis</t>
        </is>
      </c>
      <c r="O3" t="inlineStr">
        <is>
          <t>20230828</t>
        </is>
      </c>
      <c r="P3" t="inlineStr">
        <is>
          <t>DKI Jakarta</t>
        </is>
      </c>
      <c r="Q3" s="3">
        <f>HYPERLINK("https://wa.me/6287773141689?text=*[PENGINGAT MASA BERLAKU SBU ALIFINDO PUTRA JAYA]*%0A%0AYth. Pimpinan ALIFINDO PUTRA JAYA,%0AMohon izin menginformasikan status SBU Anda di sistem LPJK:%0A%0A📄 SBU: IN001%0A📅 Expired: 29 Agustus 2026 (60 Hari Lagi)%0A%0AKami tim PT. ESDEA Assistance Management siap men-support proses perpanjangan segera agar administrasi proyek tidak terhambat%0A%0AApakah boleh saya bantu siapkan estimasi biaya dan waktu pengerjaannya?.", "Hubungi")</f>
        <v/>
      </c>
    </row>
    <row r="4">
      <c r="A4" t="inlineStr">
        <is>
          <t>BANGUN BAJA CIPTA MANDIRI</t>
        </is>
      </c>
      <c r="B4" t="inlineStr">
        <is>
          <t>Kota Bekasi</t>
        </is>
      </c>
      <c r="C4" t="inlineStr">
        <is>
          <t>0218853621</t>
        </is>
      </c>
      <c r="D4" t="inlineStr">
        <is>
          <t>henri.bbcm@gmail.com</t>
        </is>
      </c>
      <c r="E4" t="inlineStr">
        <is>
          <t>https://lpjk.pu.go.id/search-badan-usaha-detail/OTdrMnZhMWlmQmpYNG5IcUpaSjJxUT09</t>
        </is>
      </c>
      <c r="F4" t="n">
        <v>2</v>
      </c>
      <c r="G4" t="inlineStr">
        <is>
          <t>BG003</t>
        </is>
      </c>
      <c r="H4" t="inlineStr">
        <is>
          <t>13 Oktober 1997</t>
        </is>
      </c>
      <c r="I4" s="2" t="n">
        <v>46263</v>
      </c>
      <c r="J4" t="inlineStr">
        <is>
          <t>Disetujui</t>
        </is>
      </c>
      <c r="K4" t="n">
        <v>60</v>
      </c>
      <c r="L4" t="inlineStr">
        <is>
          <t>29 Agustus 2026</t>
        </is>
      </c>
      <c r="M4" t="inlineStr">
        <is>
          <t>Konstruksi Gedung Industri</t>
        </is>
      </c>
      <c r="N4" t="inlineStr">
        <is>
          <t>K</t>
        </is>
      </c>
      <c r="O4" t="inlineStr">
        <is>
          <t>20230824</t>
        </is>
      </c>
      <c r="P4" t="inlineStr">
        <is>
          <t>Jawa Barat</t>
        </is>
      </c>
      <c r="Q4" t="inlineStr"/>
    </row>
    <row r="5">
      <c r="A5" t="inlineStr">
        <is>
          <t>BANJAR SAGU-SAGU</t>
        </is>
      </c>
      <c r="B5" t="inlineStr">
        <is>
          <t>Kota Bekasi</t>
        </is>
      </c>
      <c r="C5" t="inlineStr">
        <is>
          <t>02182428634</t>
        </is>
      </c>
      <c r="D5" t="inlineStr">
        <is>
          <t>banjar.sagusagu@yahoo.com</t>
        </is>
      </c>
      <c r="E5" t="inlineStr">
        <is>
          <t>https://lpjk.pu.go.id/search-badan-usaha-detail/V0Z6WVIyTUhHTHhOblc1V0I5b1lJUT09</t>
        </is>
      </c>
      <c r="F5" t="n">
        <v>1</v>
      </c>
      <c r="G5" t="inlineStr">
        <is>
          <t>BS004</t>
        </is>
      </c>
      <c r="H5" t="inlineStr">
        <is>
          <t>8 Januari 2015</t>
        </is>
      </c>
      <c r="I5" s="2" t="n">
        <v>46263</v>
      </c>
      <c r="J5" t="inlineStr">
        <is>
          <t>Disetujui</t>
        </is>
      </c>
      <c r="K5" t="n">
        <v>60</v>
      </c>
      <c r="L5" t="inlineStr">
        <is>
          <t>29 Agustus 2026</t>
        </is>
      </c>
      <c r="M5" t="inlineStr">
        <is>
          <t>Konstruksi Jaringan Irigasi dan Drainase</t>
        </is>
      </c>
      <c r="N5" t="inlineStr">
        <is>
          <t>K</t>
        </is>
      </c>
      <c r="O5" t="inlineStr">
        <is>
          <t>20230829</t>
        </is>
      </c>
      <c r="P5" t="inlineStr">
        <is>
          <t>Jawa Barat</t>
        </is>
      </c>
      <c r="Q5" t="inlineStr"/>
    </row>
    <row r="6">
      <c r="A6" t="inlineStr">
        <is>
          <t>CIPTA WIDYA DHARMA</t>
        </is>
      </c>
      <c r="B6" t="inlineStr">
        <is>
          <t>Kota Bogor</t>
        </is>
      </c>
      <c r="C6" t="inlineStr">
        <is>
          <t>081511111480</t>
        </is>
      </c>
      <c r="D6" t="inlineStr">
        <is>
          <t>cv.ciptawidyadharma@gmail.com</t>
        </is>
      </c>
      <c r="E6" t="inlineStr">
        <is>
          <t>https://lpjk.pu.go.id/search-badan-usaha-detail/TGlnQkdtakFhMUdSVUk0T0xpNUxCdz09</t>
        </is>
      </c>
      <c r="F6" t="n">
        <v>12</v>
      </c>
      <c r="G6" t="inlineStr">
        <is>
          <t>BG001, BG002, BG005, BG006, BG009, BS001</t>
        </is>
      </c>
      <c r="H6" t="inlineStr">
        <is>
          <t>13 Maret 2017</t>
        </is>
      </c>
      <c r="I6" s="2" t="n">
        <v>46263</v>
      </c>
      <c r="J6" t="inlineStr">
        <is>
          <t>Disetujui, Pencabutan</t>
        </is>
      </c>
      <c r="K6" t="n">
        <v>60</v>
      </c>
      <c r="L6" t="inlineStr">
        <is>
          <t>29 Agustus 2026</t>
        </is>
      </c>
      <c r="M6" t="inlineStr">
        <is>
          <t>Konstruksi Bangunan Sipil Jalan, Konstruksi Gedung Hunian, Konstruksi Gedung Kesehatan, Konstruksi Gedung Lainnya, Konstruksi Gedung Pendidikan, Konstruksi Gedung Perkantoran</t>
        </is>
      </c>
      <c r="N6" t="inlineStr">
        <is>
          <t>K</t>
        </is>
      </c>
      <c r="O6" t="inlineStr">
        <is>
          <t>20230828, 20230829</t>
        </is>
      </c>
      <c r="P6" t="inlineStr">
        <is>
          <t>Jawa Barat</t>
        </is>
      </c>
      <c r="Q6" s="3">
        <f>HYPERLINK("https://wa.me/6281511111480?text=*[PENGINGAT MASA BERLAKU SBU CIPTA WIDYA DHARMA]*%0A%0AYth. Pimpinan CIPTA WIDYA DHARMA,%0AMohon izin menginformasikan status SBU Anda di sistem LPJK:%0A%0A📄 SBU: BG001, BG002, BG005, BG006, BG009, BS001%0A📅 Expired: 29 Agustus 2026 (60 Hari Lagi)%0A%0AKami tim PT. ESDEA Assistance Management siap men-support proses perpanjangan segera agar administrasi proyek tidak terhambat%0A%0AApakah boleh saya bantu siapkan estimasi biaya dan waktu pengerjaannya?.", "Hubungi")</f>
        <v/>
      </c>
    </row>
    <row r="7">
      <c r="A7" t="inlineStr">
        <is>
          <t>KALIABANG JAYA PRATAMA</t>
        </is>
      </c>
      <c r="B7" t="inlineStr">
        <is>
          <t>Kota Bekasi</t>
        </is>
      </c>
      <c r="C7" t="inlineStr">
        <is>
          <t>0218224048</t>
        </is>
      </c>
      <c r="D7" t="inlineStr">
        <is>
          <t>management@kjp.co.id</t>
        </is>
      </c>
      <c r="E7" t="inlineStr">
        <is>
          <t>https://lpjk.pu.go.id/search-badan-usaha-detail/Q0VLa3B0Z0c4QVVuYVk5YVgxTytBQT09</t>
        </is>
      </c>
      <c r="F7" t="n">
        <v>1</v>
      </c>
      <c r="G7" t="inlineStr">
        <is>
          <t>BG001</t>
        </is>
      </c>
      <c r="H7" t="inlineStr">
        <is>
          <t>5 April 1982</t>
        </is>
      </c>
      <c r="I7" s="2" t="n">
        <v>46263</v>
      </c>
      <c r="J7" t="inlineStr">
        <is>
          <t>Disetujui</t>
        </is>
      </c>
      <c r="K7" t="n">
        <v>60</v>
      </c>
      <c r="L7" t="inlineStr">
        <is>
          <t>29 Agustus 2026</t>
        </is>
      </c>
      <c r="M7" t="inlineStr">
        <is>
          <t>Konstruksi Gedung Hunian</t>
        </is>
      </c>
      <c r="N7" t="inlineStr">
        <is>
          <t>M</t>
        </is>
      </c>
      <c r="O7" t="inlineStr">
        <is>
          <t>20230828</t>
        </is>
      </c>
      <c r="P7" t="inlineStr">
        <is>
          <t>Jawa Barat</t>
        </is>
      </c>
      <c r="Q7" t="inlineStr"/>
    </row>
    <row r="8">
      <c r="A8" t="inlineStr">
        <is>
          <t>KARYA PUTRA MUDA</t>
        </is>
      </c>
      <c r="B8" t="inlineStr">
        <is>
          <t>Kab. Bekasi</t>
        </is>
      </c>
      <c r="C8" t="inlineStr">
        <is>
          <t>089644243482</t>
        </is>
      </c>
      <c r="D8" t="inlineStr">
        <is>
          <t>cv.karyaputramuda@gmail.com</t>
        </is>
      </c>
      <c r="E8" t="inlineStr">
        <is>
          <t>https://lpjk.pu.go.id/search-badan-usaha-detail/elcrcXd1RGgwc3gvOHFNWnpjVXNYZz09</t>
        </is>
      </c>
      <c r="F8" t="n">
        <v>1</v>
      </c>
      <c r="G8" t="inlineStr">
        <is>
          <t>BG008</t>
        </is>
      </c>
      <c r="H8" t="inlineStr">
        <is>
          <t>4 Januari 2022</t>
        </is>
      </c>
      <c r="I8" s="2" t="n">
        <v>46263</v>
      </c>
      <c r="J8" t="inlineStr">
        <is>
          <t>Disetujui</t>
        </is>
      </c>
      <c r="K8" t="n">
        <v>60</v>
      </c>
      <c r="L8" t="inlineStr">
        <is>
          <t>29 Agustus 2026</t>
        </is>
      </c>
      <c r="M8" t="inlineStr">
        <is>
          <t>Konstruksi Gedung Tempat Hiburan dan Olahraga</t>
        </is>
      </c>
      <c r="N8" t="inlineStr">
        <is>
          <t>K</t>
        </is>
      </c>
      <c r="O8" t="inlineStr">
        <is>
          <t>20230829</t>
        </is>
      </c>
      <c r="P8" t="inlineStr">
        <is>
          <t>Jawa Barat</t>
        </is>
      </c>
      <c r="Q8" s="3">
        <f>HYPERLINK("https://wa.me/6289644243482?text=*[PENGINGAT MASA BERLAKU SBU KARYA PUTRA MUDA]*%0A%0AYth. Pimpinan KARYA PUTRA MUDA,%0AMohon izin menginformasikan status SBU Anda di sistem LPJK:%0A%0A📄 SBU: BG008%0A📅 Expired: 29 Agustus 2026 (60 Hari Lagi)%0A%0AKami tim PT. ESDEA Assistance Management siap men-support proses perpanjangan segera agar administrasi proyek tidak terhambat%0A%0AApakah boleh saya bantu siapkan estimasi biaya dan waktu pengerjaannya?.", "Hubungi")</f>
        <v/>
      </c>
    </row>
    <row r="9">
      <c r="A9" t="inlineStr">
        <is>
          <t>MEGA RAYA CEMERLANG</t>
        </is>
      </c>
      <c r="B9" t="inlineStr">
        <is>
          <t>Kota Depok</t>
        </is>
      </c>
      <c r="C9" t="inlineStr">
        <is>
          <t>081213739140</t>
        </is>
      </c>
      <c r="D9" t="inlineStr">
        <is>
          <t>mrcemerlang@gmail.com</t>
        </is>
      </c>
      <c r="E9" t="inlineStr">
        <is>
          <t>https://lpjk.pu.go.id/search-badan-usaha-detail/elkrRXpXZGk4REdzdDJ0d2p1d3ZLZz09</t>
        </is>
      </c>
      <c r="F9" t="n">
        <v>2</v>
      </c>
      <c r="G9" t="inlineStr">
        <is>
          <t>BS001, BS002</t>
        </is>
      </c>
      <c r="H9" t="inlineStr">
        <is>
          <t>10 Mei 2023</t>
        </is>
      </c>
      <c r="I9" s="2" t="n">
        <v>46263</v>
      </c>
      <c r="J9" t="inlineStr">
        <is>
          <t>Disetujui, Pencabutan</t>
        </is>
      </c>
      <c r="K9" t="n">
        <v>60</v>
      </c>
      <c r="L9" t="inlineStr">
        <is>
          <t>29 Agustus 2026</t>
        </is>
      </c>
      <c r="M9" t="inlineStr">
        <is>
          <t>Bangunan Sipil Jembatan, Jalan Layang, Fly Over, dan Underpass, Konstruksi Bangunan Sipil Jalan</t>
        </is>
      </c>
      <c r="N9" t="inlineStr">
        <is>
          <t>K</t>
        </is>
      </c>
      <c r="O9" t="inlineStr">
        <is>
          <t>20230829</t>
        </is>
      </c>
      <c r="P9" t="inlineStr">
        <is>
          <t>Jawa Barat</t>
        </is>
      </c>
      <c r="Q9" s="3">
        <f>HYPERLINK("https://wa.me/6281213739140?text=*[PENGINGAT MASA BERLAKU SBU MEGA RAYA CEMERLANG]*%0A%0AYth. Pimpinan MEGA RAYA CEMERLANG,%0AMohon izin menginformasikan status SBU Anda di sistem LPJK:%0A%0A📄 SBU: BS001, BS002%0A📅 Expired: 29 Agustus 2026 (60 Hari Lagi)%0A%0AKami tim PT. ESDEA Assistance Management siap men-support proses perpanjangan segera agar administrasi proyek tidak terhambat%0A%0AApakah boleh saya bantu siapkan estimasi biaya dan waktu pengerjaannya?.", "Hubungi")</f>
        <v/>
      </c>
    </row>
    <row r="10">
      <c r="A10" t="inlineStr">
        <is>
          <t>MUSTIKA WIJAYA KUSUMA</t>
        </is>
      </c>
      <c r="B10" t="inlineStr">
        <is>
          <t>Kab. Bekasi</t>
        </is>
      </c>
      <c r="C10" t="inlineStr">
        <is>
          <t>085784627871</t>
        </is>
      </c>
      <c r="D10" t="inlineStr">
        <is>
          <t>mustikawijayakusuma79@gmail.com</t>
        </is>
      </c>
      <c r="E10" t="inlineStr">
        <is>
          <t>https://lpjk.pu.go.id/search-badan-usaha-detail/Y1JENm9oeCszWlNXclZUZDJGaVJjQT09</t>
        </is>
      </c>
      <c r="F10" t="n">
        <v>1</v>
      </c>
      <c r="G10" t="inlineStr">
        <is>
          <t>BG008</t>
        </is>
      </c>
      <c r="H10" t="inlineStr">
        <is>
          <t>10 Februari 2020</t>
        </is>
      </c>
      <c r="I10" s="2" t="n">
        <v>46263</v>
      </c>
      <c r="J10" t="inlineStr">
        <is>
          <t>Disetujui</t>
        </is>
      </c>
      <c r="K10" t="n">
        <v>60</v>
      </c>
      <c r="L10" t="inlineStr">
        <is>
          <t>29 Agustus 2026</t>
        </is>
      </c>
      <c r="M10" t="inlineStr">
        <is>
          <t>Konstruksi Gedung Tempat Hiburan dan Olahraga</t>
        </is>
      </c>
      <c r="N10" t="inlineStr">
        <is>
          <t>K</t>
        </is>
      </c>
      <c r="O10" t="inlineStr">
        <is>
          <t>20230829</t>
        </is>
      </c>
      <c r="P10" t="inlineStr">
        <is>
          <t>Jawa Barat</t>
        </is>
      </c>
      <c r="Q10" s="3">
        <f>HYPERLINK("https://wa.me/6285784627871?text=*[PENGINGAT MASA BERLAKU SBU MUSTIKA WIJAYA KUSUMA]*%0A%0AYth. Pimpinan MUSTIKA WIJAYA KUSUMA,%0AMohon izin menginformasikan status SBU Anda di sistem LPJK:%0A%0A📄 SBU: BG008%0A📅 Expired: 29 Agustus 2026 (60 Hari Lagi)%0A%0AKami tim PT. ESDEA Assistance Management siap men-support proses perpanjangan segera agar administrasi proyek tidak terhambat%0A%0AApakah boleh saya bantu siapkan estimasi biaya dan waktu pengerjaannya?.", "Hubungi")</f>
        <v/>
      </c>
    </row>
    <row r="11">
      <c r="A11" t="inlineStr">
        <is>
          <t>NINDYA BETON</t>
        </is>
      </c>
      <c r="B11" t="inlineStr">
        <is>
          <t>Kota Adm. Jakarta Timur</t>
        </is>
      </c>
      <c r="C11" t="inlineStr">
        <is>
          <t>081398718746</t>
        </is>
      </c>
      <c r="D11" t="inlineStr">
        <is>
          <t>info.nindyabeton@gmail.com</t>
        </is>
      </c>
      <c r="E11" t="inlineStr">
        <is>
          <t>https://lpjk.pu.go.id/search-badan-usaha-detail/NDUwRmFWODROak5zVGRMZXRmM2pBZz09</t>
        </is>
      </c>
      <c r="F11" t="n">
        <v>2</v>
      </c>
      <c r="G11" t="inlineStr">
        <is>
          <t>BG008</t>
        </is>
      </c>
      <c r="H11" t="inlineStr">
        <is>
          <t>19 Februari 2013</t>
        </is>
      </c>
      <c r="I11" s="2" t="n">
        <v>46263</v>
      </c>
      <c r="J11" t="inlineStr">
        <is>
          <t>Disetujui</t>
        </is>
      </c>
      <c r="K11" t="n">
        <v>60</v>
      </c>
      <c r="L11" t="inlineStr">
        <is>
          <t>29 Agustus 2026</t>
        </is>
      </c>
      <c r="M11" t="inlineStr">
        <is>
          <t>Konstruksi Gedung Tempat Hiburan dan Olahraga</t>
        </is>
      </c>
      <c r="N11" t="inlineStr">
        <is>
          <t>M</t>
        </is>
      </c>
      <c r="O11" t="inlineStr">
        <is>
          <t>20230829</t>
        </is>
      </c>
      <c r="P11" t="inlineStr">
        <is>
          <t>DKI Jakarta</t>
        </is>
      </c>
      <c r="Q11" s="3">
        <f>HYPERLINK("https://wa.me/6281398718746?text=*[PENGINGAT MASA BERLAKU SBU NINDYA BETON]*%0A%0AYth. Pimpinan NINDYA BETON,%0AMohon izin menginformasikan status SBU Anda di sistem LPJK:%0A%0A📄 SBU: BG008%0A📅 Expired: 29 Agustus 2026 (60 Hari Lagi)%0A%0AKami tim PT. ESDEA Assistance Management siap men-support proses perpanjangan segera agar administrasi proyek tidak terhambat%0A%0AApakah boleh saya bantu siapkan estimasi biaya dan waktu pengerjaannya?.", "Hubungi")</f>
        <v/>
      </c>
    </row>
    <row r="12">
      <c r="A12" t="inlineStr">
        <is>
          <t>OPTIMA FORMA</t>
        </is>
      </c>
      <c r="B12" t="inlineStr">
        <is>
          <t>Kota Adm. Jakarta Timur</t>
        </is>
      </c>
      <c r="C12" t="inlineStr">
        <is>
          <t>02122176958</t>
        </is>
      </c>
      <c r="D12" t="inlineStr">
        <is>
          <t>optimaformapt@gmail.com</t>
        </is>
      </c>
      <c r="E12" t="inlineStr">
        <is>
          <t>https://lpjk.pu.go.id/search-badan-usaha-detail/R2p2MCtxTEhQL1BhY0gxTEpRMGYrdz09</t>
        </is>
      </c>
      <c r="F12" t="n">
        <v>1</v>
      </c>
      <c r="G12" t="inlineStr">
        <is>
          <t>IN004</t>
        </is>
      </c>
      <c r="H12" t="inlineStr">
        <is>
          <t>25 Agustus 2022</t>
        </is>
      </c>
      <c r="I12" s="2" t="n">
        <v>46263</v>
      </c>
      <c r="J12" t="inlineStr">
        <is>
          <t>Disetujui</t>
        </is>
      </c>
      <c r="K12" t="n">
        <v>60</v>
      </c>
      <c r="L12" t="inlineStr">
        <is>
          <t>29 Agustus 2026</t>
        </is>
      </c>
      <c r="M12" t="inlineStr">
        <is>
          <t>Instalasi Minyak dan Gas</t>
        </is>
      </c>
      <c r="N12" t="inlineStr">
        <is>
          <t>Spesialis</t>
        </is>
      </c>
      <c r="O12" t="inlineStr">
        <is>
          <t>20230619</t>
        </is>
      </c>
      <c r="P12" t="inlineStr">
        <is>
          <t>DKI Jakarta</t>
        </is>
      </c>
      <c r="Q12" t="inlineStr"/>
    </row>
    <row r="13">
      <c r="A13" t="inlineStr">
        <is>
          <t>ORIGINAL KARYA KONSTRUKSI</t>
        </is>
      </c>
      <c r="B13" t="inlineStr">
        <is>
          <t>Kota Bekasi</t>
        </is>
      </c>
      <c r="C13" t="inlineStr">
        <is>
          <t>02189453949</t>
        </is>
      </c>
      <c r="D13" t="inlineStr">
        <is>
          <t>originalkaryakonstruksi12@gmail.com</t>
        </is>
      </c>
      <c r="E13" t="inlineStr">
        <is>
          <t>https://lpjk.pu.go.id/search-badan-usaha-detail/a20wb2g2SUQ4WlNSWUFjNXc2TGpTZz09</t>
        </is>
      </c>
      <c r="F13" t="n">
        <v>1</v>
      </c>
      <c r="G13" t="inlineStr">
        <is>
          <t>BS002</t>
        </is>
      </c>
      <c r="H13" t="inlineStr">
        <is>
          <t>3 September 2018</t>
        </is>
      </c>
      <c r="I13" s="2" t="n">
        <v>46263</v>
      </c>
      <c r="J13" t="inlineStr">
        <is>
          <t>Disetujui</t>
        </is>
      </c>
      <c r="K13" t="n">
        <v>60</v>
      </c>
      <c r="L13" t="inlineStr">
        <is>
          <t>29 Agustus 2026</t>
        </is>
      </c>
      <c r="M13" t="inlineStr">
        <is>
          <t>Bangunan Sipil Jembatan, Jalan Layang, Fly Over, dan Underpass</t>
        </is>
      </c>
      <c r="N13" t="inlineStr">
        <is>
          <t>K</t>
        </is>
      </c>
      <c r="O13" t="inlineStr">
        <is>
          <t>20230829</t>
        </is>
      </c>
      <c r="P13" t="inlineStr">
        <is>
          <t>Jawa Barat</t>
        </is>
      </c>
      <c r="Q13" t="inlineStr"/>
    </row>
    <row r="14">
      <c r="A14" t="inlineStr">
        <is>
          <t>SAYAGA MANDRAGUNA</t>
        </is>
      </c>
      <c r="B14" t="inlineStr">
        <is>
          <t>Kota Depok</t>
        </is>
      </c>
      <c r="C14" t="inlineStr">
        <is>
          <t>081210268572</t>
        </is>
      </c>
      <c r="D14" t="inlineStr">
        <is>
          <t>sayaga.mandraguna@gmail.com</t>
        </is>
      </c>
      <c r="E14" t="inlineStr">
        <is>
          <t>https://lpjk.pu.go.id/search-badan-usaha-detail/ZTZaU0RRUjAvc0k1OHBWaWs3MWRodz09</t>
        </is>
      </c>
      <c r="F14" t="n">
        <v>1</v>
      </c>
      <c r="G14" t="inlineStr">
        <is>
          <t>BS005</t>
        </is>
      </c>
      <c r="H14" t="inlineStr">
        <is>
          <t>24 Mei 2000</t>
        </is>
      </c>
      <c r="I14" s="2" t="n">
        <v>46263</v>
      </c>
      <c r="J14" t="inlineStr">
        <is>
          <t>Disetujui</t>
        </is>
      </c>
      <c r="K14" t="n">
        <v>60</v>
      </c>
      <c r="L14" t="inlineStr">
        <is>
          <t>29 Agustus 2026</t>
        </is>
      </c>
      <c r="M14" t="inlineStr">
        <is>
          <t>Konstruksi Bangunan Sipil Pengolahan Air Bersih</t>
        </is>
      </c>
      <c r="N14" t="inlineStr">
        <is>
          <t>K</t>
        </is>
      </c>
      <c r="O14" t="inlineStr">
        <is>
          <t>20230825</t>
        </is>
      </c>
      <c r="P14" t="inlineStr">
        <is>
          <t>Jawa Barat</t>
        </is>
      </c>
      <c r="Q14" s="3">
        <f>HYPERLINK("https://wa.me/6281210268572?text=*[PENGINGAT MASA BERLAKU SBU SAYAGA MANDRAGUNA]*%0A%0AYth. Pimpinan SAYAGA MANDRAGUNA,%0AMohon izin menginformasikan status SBU Anda di sistem LPJK:%0A%0A📄 SBU: BS005%0A📅 Expired: 29 Agustus 2026 (60 Hari Lagi)%0A%0AKami tim PT. ESDEA Assistance Management siap men-support proses perpanjangan segera agar administrasi proyek tidak terhambat%0A%0AApakah boleh saya bantu siapkan estimasi biaya dan waktu pengerjaannya?.", "Hubungi")</f>
        <v/>
      </c>
    </row>
    <row r="15">
      <c r="A15" t="inlineStr">
        <is>
          <t>SINAR SUKSES ABADI</t>
        </is>
      </c>
      <c r="B15" t="inlineStr">
        <is>
          <t>Kab. Bogor</t>
        </is>
      </c>
      <c r="C15" t="inlineStr">
        <is>
          <t>082111113293</t>
        </is>
      </c>
      <c r="D15" t="inlineStr">
        <is>
          <t>sinarsuksesabadi7@gmail.com</t>
        </is>
      </c>
      <c r="E15" t="inlineStr">
        <is>
          <t>https://lpjk.pu.go.id/search-badan-usaha-detail/ZWxFcDQwa0lsYjBISWtralNBNGxtQT09</t>
        </is>
      </c>
      <c r="F15" t="n">
        <v>4</v>
      </c>
      <c r="G15" t="inlineStr">
        <is>
          <t>BG003, BG005, BG006, BG009</t>
        </is>
      </c>
      <c r="H15" t="inlineStr">
        <is>
          <t>21 Maret 2017</t>
        </is>
      </c>
      <c r="I15" s="2" t="n">
        <v>46263</v>
      </c>
      <c r="J15" t="inlineStr">
        <is>
          <t>Pencabutan</t>
        </is>
      </c>
      <c r="K15" t="n">
        <v>60</v>
      </c>
      <c r="L15" t="inlineStr">
        <is>
          <t>29 Agustus 2026</t>
        </is>
      </c>
      <c r="M15" t="inlineStr">
        <is>
          <t>Konstruksi Gedung Industri, Konstruksi Gedung Kesehatan, Konstruksi Gedung Lainnya, Konstruksi Gedung Pendidikan</t>
        </is>
      </c>
      <c r="N15" t="inlineStr">
        <is>
          <t>K</t>
        </is>
      </c>
      <c r="O15" t="inlineStr">
        <is>
          <t>20230829</t>
        </is>
      </c>
      <c r="P15" t="inlineStr">
        <is>
          <t>Jawa Barat</t>
        </is>
      </c>
      <c r="Q15" s="3">
        <f>HYPERLINK("https://wa.me/6282111113293?text=*[PENGINGAT MASA BERLAKU SBU SINAR SUKSES ABADI]*%0A%0AYth. Pimpinan SINAR SUKSES ABADI,%0AMohon izin menginformasikan status SBU Anda di sistem LPJK:%0A%0A📄 SBU: BG003, BG005, BG006, BG009%0A📅 Expired: 29 Agustus 2026 (60 Hari Lagi)%0A%0AKami tim PT. ESDEA Assistance Management siap men-support proses perpanjangan segera agar administrasi proyek tidak terhambat%0A%0AApakah boleh saya bantu siapkan estimasi biaya dan waktu pengerjaannya?.", "Hubungi")</f>
        <v/>
      </c>
    </row>
    <row r="16">
      <c r="A16" t="inlineStr">
        <is>
          <t>ABIMANYU JAYA</t>
        </is>
      </c>
      <c r="B16" t="inlineStr">
        <is>
          <t>Kab. Bungo</t>
        </is>
      </c>
      <c r="C16" t="inlineStr">
        <is>
          <t>082180081500</t>
        </is>
      </c>
      <c r="D16" t="inlineStr">
        <is>
          <t>abimanyujaya81@gmail.com</t>
        </is>
      </c>
      <c r="E16" t="inlineStr">
        <is>
          <t>https://lpjk.pu.go.id/search-badan-usaha-detail/dUEzMWNnSzhLdmZjOXZlc05qMGFwQT09</t>
        </is>
      </c>
      <c r="F16" t="n">
        <v>1</v>
      </c>
      <c r="G16" t="inlineStr">
        <is>
          <t>BG009</t>
        </is>
      </c>
      <c r="H16" t="inlineStr">
        <is>
          <t>25 Januari 2013</t>
        </is>
      </c>
      <c r="I16" s="2" t="n">
        <v>46263</v>
      </c>
      <c r="J16" t="inlineStr">
        <is>
          <t>Disetujui</t>
        </is>
      </c>
      <c r="K16" t="n">
        <v>60</v>
      </c>
      <c r="L16" t="inlineStr">
        <is>
          <t>29 Agustus 2026</t>
        </is>
      </c>
      <c r="M16" t="inlineStr">
        <is>
          <t>Konstruksi Gedung Lainnya</t>
        </is>
      </c>
      <c r="N16" t="inlineStr">
        <is>
          <t>K</t>
        </is>
      </c>
      <c r="O16" t="inlineStr">
        <is>
          <t>20230829</t>
        </is>
      </c>
      <c r="P16" t="inlineStr">
        <is>
          <t>Jambi</t>
        </is>
      </c>
      <c r="Q16" t="inlineStr"/>
    </row>
    <row r="17">
      <c r="A17" t="inlineStr">
        <is>
          <t>ADHIE JAYA MUKTI</t>
        </is>
      </c>
      <c r="B17" t="inlineStr">
        <is>
          <t>Kab. Jepara</t>
        </is>
      </c>
      <c r="C17" t="inlineStr">
        <is>
          <t>082328208453</t>
        </is>
      </c>
      <c r="D17" t="inlineStr">
        <is>
          <t>adhiejayamukti@gmail.com</t>
        </is>
      </c>
      <c r="E17" t="inlineStr">
        <is>
          <t>https://lpjk.pu.go.id/search-badan-usaha-detail/Nk8xM2FWMWt0TXN1Mjd6R2VzN1B6V1pLNzVXQXBJVnRtQmpDOEdvaGhCUT0</t>
        </is>
      </c>
      <c r="F17" t="n">
        <v>1</v>
      </c>
      <c r="G17" t="inlineStr">
        <is>
          <t>BS001</t>
        </is>
      </c>
      <c r="H17" t="inlineStr">
        <is>
          <t>18 November 2025</t>
        </is>
      </c>
      <c r="I17" s="2" t="n">
        <v>46263</v>
      </c>
      <c r="J17" t="inlineStr">
        <is>
          <t>Disetujui</t>
        </is>
      </c>
      <c r="K17" t="n">
        <v>60</v>
      </c>
      <c r="L17" t="inlineStr">
        <is>
          <t>29 Agustus 2026</t>
        </is>
      </c>
      <c r="M17" t="inlineStr">
        <is>
          <t>Konstruksi Bangunan Sipil Jalan</t>
        </is>
      </c>
      <c r="N17" t="inlineStr">
        <is>
          <t>K</t>
        </is>
      </c>
      <c r="O17" t="inlineStr">
        <is>
          <t>20230822</t>
        </is>
      </c>
      <c r="P17" t="inlineStr">
        <is>
          <t>Jawa Tengah</t>
        </is>
      </c>
      <c r="Q17" t="inlineStr"/>
    </row>
    <row r="18">
      <c r="A18" t="inlineStr">
        <is>
          <t>ADIRA</t>
        </is>
      </c>
      <c r="B18" t="inlineStr">
        <is>
          <t>Kab. Bengkalis</t>
        </is>
      </c>
      <c r="C18" t="inlineStr">
        <is>
          <t>0812 6822 919_</t>
        </is>
      </c>
      <c r="D18" t="inlineStr">
        <is>
          <t>adirakontraktor@gmail.com</t>
        </is>
      </c>
      <c r="E18" t="inlineStr">
        <is>
          <t>https://lpjk.pu.go.id/search-badan-usaha-detail/ayt4OTBTN3k3REpZZSs2b0thNmdEdz09</t>
        </is>
      </c>
      <c r="F18" t="n">
        <v>2</v>
      </c>
      <c r="G18" t="inlineStr">
        <is>
          <t>BS001</t>
        </is>
      </c>
      <c r="H18" t="inlineStr">
        <is>
          <t>25 Januari 2007</t>
        </is>
      </c>
      <c r="I18" s="2" t="n">
        <v>46263</v>
      </c>
      <c r="J18" t="inlineStr">
        <is>
          <t>Disetujui</t>
        </is>
      </c>
      <c r="K18" t="n">
        <v>60</v>
      </c>
      <c r="L18" t="inlineStr">
        <is>
          <t>29 Agustus 2026</t>
        </is>
      </c>
      <c r="M18" t="inlineStr">
        <is>
          <t>Konstruksi Bangunan Sipil Jalan</t>
        </is>
      </c>
      <c r="N18" t="inlineStr">
        <is>
          <t>K</t>
        </is>
      </c>
      <c r="O18" t="inlineStr">
        <is>
          <t>20230827</t>
        </is>
      </c>
      <c r="P18" t="inlineStr">
        <is>
          <t>Riau</t>
        </is>
      </c>
      <c r="Q18" t="inlineStr"/>
    </row>
    <row r="19">
      <c r="A19" t="inlineStr">
        <is>
          <t>AKAR TALANG BERLIAN</t>
        </is>
      </c>
      <c r="B19" t="inlineStr">
        <is>
          <t>Kab. Banyuasin</t>
        </is>
      </c>
      <c r="C19" t="inlineStr">
        <is>
          <t>0082278265647</t>
        </is>
      </c>
      <c r="D19" t="inlineStr">
        <is>
          <t>salamjaya02@gmail.com</t>
        </is>
      </c>
      <c r="E19" t="inlineStr">
        <is>
          <t>https://lpjk.pu.go.id/search-badan-usaha-detail/WjRETjZhZDRBWDlZcVlHbUFhMEdvZz09</t>
        </is>
      </c>
      <c r="F19" t="n">
        <v>1</v>
      </c>
      <c r="G19" t="inlineStr">
        <is>
          <t>BS005</t>
        </is>
      </c>
      <c r="H19" t="inlineStr">
        <is>
          <t>4 Maret 2021</t>
        </is>
      </c>
      <c r="I19" s="2" t="n">
        <v>46263</v>
      </c>
      <c r="J19" t="inlineStr">
        <is>
          <t>Disetujui</t>
        </is>
      </c>
      <c r="K19" t="n">
        <v>60</v>
      </c>
      <c r="L19" t="inlineStr">
        <is>
          <t>29 Agustus 2026</t>
        </is>
      </c>
      <c r="M19" t="inlineStr">
        <is>
          <t>Konstruksi Bangunan Sipil Pengolahan Air Bersih</t>
        </is>
      </c>
      <c r="N19" t="inlineStr">
        <is>
          <t>K</t>
        </is>
      </c>
      <c r="O19" t="inlineStr">
        <is>
          <t>20230828</t>
        </is>
      </c>
      <c r="P19" t="inlineStr">
        <is>
          <t>Sumatera Selatan</t>
        </is>
      </c>
      <c r="Q19" t="inlineStr"/>
    </row>
    <row r="20">
      <c r="A20" t="inlineStr">
        <is>
          <t>ALAN BERSAUDARA</t>
        </is>
      </c>
      <c r="B20" t="inlineStr">
        <is>
          <t>Kab. Musi Rawas Utara</t>
        </is>
      </c>
      <c r="C20" t="inlineStr">
        <is>
          <t>085268947167</t>
        </is>
      </c>
      <c r="D20" t="inlineStr">
        <is>
          <t>cvalanbersaudara94@gmail.com</t>
        </is>
      </c>
      <c r="E20" t="inlineStr">
        <is>
          <t>https://lpjk.pu.go.id/search-badan-usaha-detail/UU1hRmVmYjVwTDJTa3V1RFFRb21VQT09</t>
        </is>
      </c>
      <c r="F20" t="n">
        <v>3</v>
      </c>
      <c r="G20" t="inlineStr">
        <is>
          <t>BG006, BG009, BS001</t>
        </is>
      </c>
      <c r="H20" t="inlineStr">
        <is>
          <t>3 Desember 2014</t>
        </is>
      </c>
      <c r="I20" s="2" t="n">
        <v>46263</v>
      </c>
      <c r="J20" t="inlineStr">
        <is>
          <t>Disetujui</t>
        </is>
      </c>
      <c r="K20" t="n">
        <v>60</v>
      </c>
      <c r="L20" t="inlineStr">
        <is>
          <t>29 Agustus 2026</t>
        </is>
      </c>
      <c r="M20" t="inlineStr">
        <is>
          <t>Konstruksi Bangunan Sipil Jalan, Konstruksi Gedung Lainnya, Konstruksi Gedung Pendidikan</t>
        </is>
      </c>
      <c r="N20" t="inlineStr">
        <is>
          <t>K</t>
        </is>
      </c>
      <c r="O20" t="inlineStr">
        <is>
          <t>20230828</t>
        </is>
      </c>
      <c r="P20" t="inlineStr">
        <is>
          <t>Sumatera Selatan</t>
        </is>
      </c>
      <c r="Q20" t="inlineStr"/>
    </row>
    <row r="21">
      <c r="A21" t="inlineStr">
        <is>
          <t>ALFARES ANUGRAH CONSULT</t>
        </is>
      </c>
      <c r="B21" t="inlineStr">
        <is>
          <t>Kota Samarinda</t>
        </is>
      </c>
      <c r="C21" t="inlineStr">
        <is>
          <t>081258281450</t>
        </is>
      </c>
      <c r="D21" t="inlineStr">
        <is>
          <t>cv.alfaresanugrahconsult73@yahoo.com</t>
        </is>
      </c>
      <c r="E21" t="inlineStr">
        <is>
          <t>https://lpjk.pu.go.id/search-badan-usaha-detail/SnZlc1J0Yjk0bGZEdEdwTzBpOFBFUT09</t>
        </is>
      </c>
      <c r="F21" t="n">
        <v>2</v>
      </c>
      <c r="G21" t="inlineStr">
        <is>
          <t>RK001, RK003</t>
        </is>
      </c>
      <c r="H21" t="inlineStr">
        <is>
          <t>23 September 2004</t>
        </is>
      </c>
      <c r="I21" s="2" t="n">
        <v>46263</v>
      </c>
      <c r="J21" t="inlineStr">
        <is>
          <t>Disetujui</t>
        </is>
      </c>
      <c r="K21" t="n">
        <v>60</v>
      </c>
      <c r="L21" t="inlineStr">
        <is>
          <t>29 Agustus 2026</t>
        </is>
      </c>
      <c r="M21" t="inlineStr">
        <is>
          <t>Jasa Rekayasa Konstruksi Bangunan Gedung Hunian dan Non Hunian, Jasa Rekayasa Pekerjaan Teknik Sipil Transportasi</t>
        </is>
      </c>
      <c r="N21" t="inlineStr">
        <is>
          <t>K</t>
        </is>
      </c>
      <c r="O21" t="inlineStr">
        <is>
          <t>20230808</t>
        </is>
      </c>
      <c r="P21" t="inlineStr">
        <is>
          <t>Kalimantan Timur</t>
        </is>
      </c>
      <c r="Q21" t="inlineStr"/>
    </row>
    <row r="22">
      <c r="A22" t="inlineStr">
        <is>
          <t>ALVINA ROSE SEJAHTERA</t>
        </is>
      </c>
      <c r="B22" t="inlineStr">
        <is>
          <t>Kota Surabaya</t>
        </is>
      </c>
      <c r="C22" t="inlineStr">
        <is>
          <t>082158989082</t>
        </is>
      </c>
      <c r="D22" t="inlineStr">
        <is>
          <t>alvinarose.sejahtera@gmail.com</t>
        </is>
      </c>
      <c r="E22" t="inlineStr">
        <is>
          <t>https://lpjk.pu.go.id/search-badan-usaha-detail/WUFKd3g5RWFDNkNMQ0d4cm9ac3pOQT09</t>
        </is>
      </c>
      <c r="F22" t="n">
        <v>2</v>
      </c>
      <c r="G22" t="inlineStr">
        <is>
          <t>BS001</t>
        </is>
      </c>
      <c r="H22" t="inlineStr">
        <is>
          <t>24 Agustus 2006</t>
        </is>
      </c>
      <c r="I22" s="2" t="n">
        <v>46263</v>
      </c>
      <c r="J22" t="inlineStr">
        <is>
          <t>Pencabutan</t>
        </is>
      </c>
      <c r="K22" t="n">
        <v>60</v>
      </c>
      <c r="L22" t="inlineStr">
        <is>
          <t>29 Agustus 2026</t>
        </is>
      </c>
      <c r="M22" t="inlineStr">
        <is>
          <t>Konstruksi Bangunan Sipil Jalan</t>
        </is>
      </c>
      <c r="N22" t="inlineStr">
        <is>
          <t>K</t>
        </is>
      </c>
      <c r="O22" t="inlineStr">
        <is>
          <t>20230830</t>
        </is>
      </c>
      <c r="P22" t="inlineStr">
        <is>
          <t>Jawa Timur</t>
        </is>
      </c>
      <c r="Q22" t="inlineStr"/>
    </row>
    <row r="23">
      <c r="A23" t="inlineStr">
        <is>
          <t>AMANTU MITRAGRAHA PERSADA</t>
        </is>
      </c>
      <c r="B23" t="inlineStr">
        <is>
          <t>Kota Adm. Jakarta Utara</t>
        </is>
      </c>
      <c r="C23" t="inlineStr">
        <is>
          <t>0214246988</t>
        </is>
      </c>
      <c r="D23" t="inlineStr">
        <is>
          <t>pt.amantu_mp@yahoo.co.id</t>
        </is>
      </c>
      <c r="E23" t="inlineStr">
        <is>
          <t>https://lpjk.pu.go.id/search-badan-usaha-detail/OU5xWTNBZVppOUNlNlBWNUl1N3FEZz09</t>
        </is>
      </c>
      <c r="F23" t="n">
        <v>1</v>
      </c>
      <c r="G23" t="inlineStr">
        <is>
          <t>BG002</t>
        </is>
      </c>
      <c r="H23" t="inlineStr">
        <is>
          <t>5 Desember 1989</t>
        </is>
      </c>
      <c r="I23" s="2" t="n">
        <v>46263</v>
      </c>
      <c r="J23" t="inlineStr">
        <is>
          <t>Disetujui</t>
        </is>
      </c>
      <c r="K23" t="n">
        <v>60</v>
      </c>
      <c r="L23" t="inlineStr">
        <is>
          <t>29 Agustus 2026</t>
        </is>
      </c>
      <c r="M23" t="inlineStr">
        <is>
          <t>Konstruksi Gedung Perkantoran</t>
        </is>
      </c>
      <c r="N23" t="inlineStr">
        <is>
          <t>K</t>
        </is>
      </c>
      <c r="O23" t="inlineStr">
        <is>
          <t>20230830</t>
        </is>
      </c>
      <c r="P23" t="inlineStr">
        <is>
          <t>DKI Jakarta</t>
        </is>
      </c>
      <c r="Q23" t="inlineStr"/>
    </row>
    <row r="24">
      <c r="A24" t="inlineStr">
        <is>
          <t>ANANDA NINA PRATAMA</t>
        </is>
      </c>
      <c r="B24" t="inlineStr">
        <is>
          <t>Kab. Tanah Laut</t>
        </is>
      </c>
      <c r="C24" t="inlineStr">
        <is>
          <t>081251333809</t>
        </is>
      </c>
      <c r="D24" t="inlineStr">
        <is>
          <t>anandaninapratama@yahoo.co.id</t>
        </is>
      </c>
      <c r="E24" t="inlineStr">
        <is>
          <t>https://lpjk.pu.go.id/search-badan-usaha-detail/aUxWYTRRMlUyM2V0U1hpelhDZ2Y1dz09</t>
        </is>
      </c>
      <c r="F24" t="n">
        <v>2</v>
      </c>
      <c r="G24" t="inlineStr">
        <is>
          <t>BS004</t>
        </is>
      </c>
      <c r="H24" t="inlineStr">
        <is>
          <t>10 Januari 2014</t>
        </is>
      </c>
      <c r="I24" s="2" t="n">
        <v>46263</v>
      </c>
      <c r="J24" t="inlineStr">
        <is>
          <t>Disetujui</t>
        </is>
      </c>
      <c r="K24" t="n">
        <v>60</v>
      </c>
      <c r="L24" t="inlineStr">
        <is>
          <t>29 Agustus 2026</t>
        </is>
      </c>
      <c r="M24" t="inlineStr">
        <is>
          <t>Konstruksi Jaringan Irigasi dan Drainase</t>
        </is>
      </c>
      <c r="N24" t="inlineStr">
        <is>
          <t>K</t>
        </is>
      </c>
      <c r="O24" t="inlineStr">
        <is>
          <t>20230822</t>
        </is>
      </c>
      <c r="P24" t="inlineStr">
        <is>
          <t>Kalimantan Selatan</t>
        </is>
      </c>
      <c r="Q24" t="inlineStr"/>
    </row>
    <row r="25">
      <c r="A25" t="inlineStr">
        <is>
          <t>ANNA DOHAWU PAPUA</t>
        </is>
      </c>
      <c r="B25" t="inlineStr">
        <is>
          <t>Kota Jayapura</t>
        </is>
      </c>
      <c r="C25" t="inlineStr">
        <is>
          <t>082238956999</t>
        </is>
      </c>
      <c r="D25" t="inlineStr">
        <is>
          <t>anadop.jyp@gmail.com</t>
        </is>
      </c>
      <c r="E25" t="inlineStr">
        <is>
          <t>https://lpjk.pu.go.id/search-badan-usaha-detail/UVMwTU9qWFgwcWZtN2prM3crTWtGZz09</t>
        </is>
      </c>
      <c r="F25" t="n">
        <v>1</v>
      </c>
      <c r="G25" t="inlineStr">
        <is>
          <t>BG002</t>
        </is>
      </c>
      <c r="H25" t="inlineStr">
        <is>
          <t>8 Desember 2014</t>
        </is>
      </c>
      <c r="I25" s="2" t="n">
        <v>46263</v>
      </c>
      <c r="J25" t="inlineStr">
        <is>
          <t>Disetujui</t>
        </is>
      </c>
      <c r="K25" t="n">
        <v>60</v>
      </c>
      <c r="L25" t="inlineStr">
        <is>
          <t>29 Agustus 2026</t>
        </is>
      </c>
      <c r="M25" t="inlineStr">
        <is>
          <t>Konstruksi Gedung Perkantoran</t>
        </is>
      </c>
      <c r="N25" t="inlineStr">
        <is>
          <t>K</t>
        </is>
      </c>
      <c r="O25" t="inlineStr">
        <is>
          <t>20230828</t>
        </is>
      </c>
      <c r="P25" t="inlineStr">
        <is>
          <t>Papua</t>
        </is>
      </c>
      <c r="Q25" t="inlineStr"/>
    </row>
    <row r="26">
      <c r="A26" t="inlineStr">
        <is>
          <t>ANUGERAH PRIMA SELARAS</t>
        </is>
      </c>
      <c r="B26" t="inlineStr">
        <is>
          <t>Kota Adm. Jakarta Barat</t>
        </is>
      </c>
      <c r="C26" t="inlineStr">
        <is>
          <t>0215301194</t>
        </is>
      </c>
      <c r="D26" t="inlineStr">
        <is>
          <t>anugerahprimaselaras@gmail.com</t>
        </is>
      </c>
      <c r="E26" t="inlineStr">
        <is>
          <t>https://lpjk.pu.go.id/search-badan-usaha-detail/ZnYvb3VPditkRFZ4OXIzOTdYZm9QUT09</t>
        </is>
      </c>
      <c r="F26" t="n">
        <v>1</v>
      </c>
      <c r="G26" t="inlineStr">
        <is>
          <t>BG002</t>
        </is>
      </c>
      <c r="H26" t="inlineStr">
        <is>
          <t>11 Desember 2011</t>
        </is>
      </c>
      <c r="I26" s="2" t="n">
        <v>46263</v>
      </c>
      <c r="J26" t="inlineStr">
        <is>
          <t>Disetujui</t>
        </is>
      </c>
      <c r="K26" t="n">
        <v>60</v>
      </c>
      <c r="L26" t="inlineStr">
        <is>
          <t>29 Agustus 2026</t>
        </is>
      </c>
      <c r="M26" t="inlineStr">
        <is>
          <t>Konstruksi Gedung Perkantoran</t>
        </is>
      </c>
      <c r="N26" t="inlineStr">
        <is>
          <t>K</t>
        </is>
      </c>
      <c r="O26" t="inlineStr">
        <is>
          <t>20230802</t>
        </is>
      </c>
      <c r="P26" t="inlineStr">
        <is>
          <t>DKI Jakarta</t>
        </is>
      </c>
      <c r="Q26" t="inlineStr"/>
    </row>
    <row r="27">
      <c r="A27" t="inlineStr">
        <is>
          <t>AQILA JAYA MULIA</t>
        </is>
      </c>
      <c r="B27" t="inlineStr">
        <is>
          <t>Kab. Pati</t>
        </is>
      </c>
      <c r="C27" t="inlineStr">
        <is>
          <t>081325187876</t>
        </is>
      </c>
      <c r="D27" t="inlineStr">
        <is>
          <t>ekokhairul85@gmail.com</t>
        </is>
      </c>
      <c r="E27" t="inlineStr">
        <is>
          <t>https://lpjk.pu.go.id/search-badan-usaha-detail/UFdZZHJ1N2sram0rc3lYazhxMEtFQT09</t>
        </is>
      </c>
      <c r="F27" t="n">
        <v>1</v>
      </c>
      <c r="G27" t="inlineStr">
        <is>
          <t>BS001</t>
        </is>
      </c>
      <c r="H27" t="inlineStr">
        <is>
          <t>29 Juni 2020</t>
        </is>
      </c>
      <c r="I27" s="2" t="n">
        <v>46263</v>
      </c>
      <c r="J27" t="inlineStr">
        <is>
          <t>Disetujui</t>
        </is>
      </c>
      <c r="K27" t="n">
        <v>60</v>
      </c>
      <c r="L27" t="inlineStr">
        <is>
          <t>29 Agustus 2026</t>
        </is>
      </c>
      <c r="M27" t="inlineStr">
        <is>
          <t>Konstruksi Bangunan Sipil Jalan</t>
        </is>
      </c>
      <c r="N27" t="inlineStr">
        <is>
          <t>K</t>
        </is>
      </c>
      <c r="O27" t="inlineStr">
        <is>
          <t>20230829</t>
        </is>
      </c>
      <c r="P27" t="inlineStr">
        <is>
          <t>Jawa Tengah</t>
        </is>
      </c>
      <c r="Q27" t="inlineStr"/>
    </row>
    <row r="28">
      <c r="A28" t="inlineStr">
        <is>
          <t>ARI SAPUTRA MANDIRI</t>
        </is>
      </c>
      <c r="B28" t="inlineStr">
        <is>
          <t>Kab. Kutai Kartanegara</t>
        </is>
      </c>
      <c r="C28" t="inlineStr">
        <is>
          <t>08125582461</t>
        </is>
      </c>
      <c r="D28" t="inlineStr">
        <is>
          <t>cv.arisaputramandiri2020@gmail.com</t>
        </is>
      </c>
      <c r="E28" t="inlineStr">
        <is>
          <t>https://lpjk.pu.go.id/search-badan-usaha-detail/c0krNVk5TlI2TEx0WndFTk9pV090QT09</t>
        </is>
      </c>
      <c r="F28" t="n">
        <v>1</v>
      </c>
      <c r="G28" t="inlineStr">
        <is>
          <t>BS001</t>
        </is>
      </c>
      <c r="H28" t="inlineStr">
        <is>
          <t>16 Januari 2023</t>
        </is>
      </c>
      <c r="I28" s="2" t="n">
        <v>46263</v>
      </c>
      <c r="J28" t="inlineStr">
        <is>
          <t>Disetujui</t>
        </is>
      </c>
      <c r="K28" t="n">
        <v>60</v>
      </c>
      <c r="L28" t="inlineStr">
        <is>
          <t>29 Agustus 2026</t>
        </is>
      </c>
      <c r="M28" t="inlineStr">
        <is>
          <t>Konstruksi Bangunan Sipil Jalan</t>
        </is>
      </c>
      <c r="N28" t="inlineStr">
        <is>
          <t>K</t>
        </is>
      </c>
      <c r="O28" t="inlineStr">
        <is>
          <t>20230814</t>
        </is>
      </c>
      <c r="P28" t="inlineStr">
        <is>
          <t>Kalimantan Timur</t>
        </is>
      </c>
      <c r="Q28" t="inlineStr"/>
    </row>
    <row r="29">
      <c r="A29" t="inlineStr">
        <is>
          <t>ASSA INDO TEKNIKA</t>
        </is>
      </c>
      <c r="B29" t="inlineStr">
        <is>
          <t>Kab. Kotabaru</t>
        </is>
      </c>
      <c r="C29" t="inlineStr">
        <is>
          <t>085248680745</t>
        </is>
      </c>
      <c r="D29" t="inlineStr">
        <is>
          <t>assagroup.official@gmail.com</t>
        </is>
      </c>
      <c r="E29" t="inlineStr">
        <is>
          <t>https://lpjk.pu.go.id/search-badan-usaha-detail/Ly9ISE1SVytSM2lBNVhPaUVweENkUT09</t>
        </is>
      </c>
      <c r="F29" t="n">
        <v>3</v>
      </c>
      <c r="G29" t="inlineStr">
        <is>
          <t>RK001, RK002, RK003</t>
        </is>
      </c>
      <c r="H29" t="inlineStr">
        <is>
          <t>13 April 2016</t>
        </is>
      </c>
      <c r="I29" s="2" t="n">
        <v>46263</v>
      </c>
      <c r="J29" t="inlineStr">
        <is>
          <t>Disetujui, Pencabutan</t>
        </is>
      </c>
      <c r="K29" t="n">
        <v>60</v>
      </c>
      <c r="L29" t="inlineStr">
        <is>
          <t>29 Agustus 2026</t>
        </is>
      </c>
      <c r="M29" t="inlineStr">
        <is>
          <t>Jasa Rekayasa Konstruksi Bangunan Gedung Hunian dan Non Hunian, Jasa Rekayasa Pekerjaan Teknik Sipil Sumber Daya Air, Jasa Rekayasa Pekerjaan Teknik Sipil Transportasi</t>
        </is>
      </c>
      <c r="N29" t="inlineStr">
        <is>
          <t>K</t>
        </is>
      </c>
      <c r="O29" t="inlineStr">
        <is>
          <t>20230725</t>
        </is>
      </c>
      <c r="P29" t="inlineStr">
        <is>
          <t>Kalimantan Selatan</t>
        </is>
      </c>
      <c r="Q29" t="inlineStr"/>
    </row>
    <row r="30">
      <c r="A30" t="inlineStr">
        <is>
          <t>AULIYA UTAMA</t>
        </is>
      </c>
      <c r="B30" t="inlineStr">
        <is>
          <t>Kab. Kebumen</t>
        </is>
      </c>
      <c r="C30" t="inlineStr">
        <is>
          <t>008122739899</t>
        </is>
      </c>
      <c r="D30" t="inlineStr">
        <is>
          <t>agussutiyono387@gmail.com</t>
        </is>
      </c>
      <c r="E30" t="inlineStr">
        <is>
          <t>https://lpjk.pu.go.id/search-badan-usaha-detail/NCs1OXJiY2VoSzRvaUtFU1dKOURNQT09</t>
        </is>
      </c>
      <c r="F30" t="n">
        <v>1</v>
      </c>
      <c r="G30" t="inlineStr">
        <is>
          <t>BS004</t>
        </is>
      </c>
      <c r="H30" t="inlineStr">
        <is>
          <t>31 Desember 2015</t>
        </is>
      </c>
      <c r="I30" s="2" t="n">
        <v>46263</v>
      </c>
      <c r="J30" t="inlineStr">
        <is>
          <t>Disetujui</t>
        </is>
      </c>
      <c r="K30" t="n">
        <v>60</v>
      </c>
      <c r="L30" t="inlineStr">
        <is>
          <t>29 Agustus 2026</t>
        </is>
      </c>
      <c r="M30" t="inlineStr">
        <is>
          <t>Konstruksi Jaringan Irigasi dan Drainase</t>
        </is>
      </c>
      <c r="N30" t="inlineStr">
        <is>
          <t>K</t>
        </is>
      </c>
      <c r="O30" t="inlineStr">
        <is>
          <t>20230828</t>
        </is>
      </c>
      <c r="P30" t="inlineStr">
        <is>
          <t>Jawa Tengah</t>
        </is>
      </c>
      <c r="Q30" t="inlineStr"/>
    </row>
    <row r="31">
      <c r="A31" t="inlineStr">
        <is>
          <t>AZZA</t>
        </is>
      </c>
      <c r="B31" t="inlineStr">
        <is>
          <t>Kab. Karanganyar</t>
        </is>
      </c>
      <c r="C31" t="inlineStr">
        <is>
          <t>081310762252</t>
        </is>
      </c>
      <c r="D31" t="inlineStr">
        <is>
          <t>azzacv@yahoo.com</t>
        </is>
      </c>
      <c r="E31" t="inlineStr">
        <is>
          <t>https://lpjk.pu.go.id/search-badan-usaha-detail/SXdGZlVBVWUxaC9NM0p2ZTBYL1QvZz09</t>
        </is>
      </c>
      <c r="F31" t="n">
        <v>3</v>
      </c>
      <c r="G31" t="inlineStr">
        <is>
          <t>BG002, BG005, BG009</t>
        </is>
      </c>
      <c r="H31" t="inlineStr">
        <is>
          <t>20 November 2017</t>
        </is>
      </c>
      <c r="I31" s="2" t="n">
        <v>46263</v>
      </c>
      <c r="J31" t="inlineStr">
        <is>
          <t>Disetujui</t>
        </is>
      </c>
      <c r="K31" t="n">
        <v>60</v>
      </c>
      <c r="L31" t="inlineStr">
        <is>
          <t>29 Agustus 2026</t>
        </is>
      </c>
      <c r="M31" t="inlineStr">
        <is>
          <t>Konstruksi Gedung Kesehatan, Konstruksi Gedung Lainnya, Konstruksi Gedung Perkantoran</t>
        </is>
      </c>
      <c r="N31" t="inlineStr">
        <is>
          <t>K</t>
        </is>
      </c>
      <c r="O31" t="inlineStr">
        <is>
          <t>20230824</t>
        </is>
      </c>
      <c r="P31" t="inlineStr">
        <is>
          <t>Jawa Tengah</t>
        </is>
      </c>
      <c r="Q31" t="inlineStr"/>
    </row>
    <row r="32">
      <c r="A32" t="inlineStr">
        <is>
          <t>BADAZA INTI GEMILANG</t>
        </is>
      </c>
      <c r="B32" t="inlineStr">
        <is>
          <t>Kota Adm. Jakarta Selatan</t>
        </is>
      </c>
      <c r="C32" t="inlineStr">
        <is>
          <t>081291133990</t>
        </is>
      </c>
      <c r="D32" t="inlineStr">
        <is>
          <t>ptbadazaintigemilang@gmail.com</t>
        </is>
      </c>
      <c r="E32" t="inlineStr">
        <is>
          <t>https://lpjk.pu.go.id/search-badan-usaha-detail/eDZ2eWFsQlRSOVUvWmFOcDQzWUt5QT09</t>
        </is>
      </c>
      <c r="F32" t="n">
        <v>1</v>
      </c>
      <c r="G32" t="inlineStr">
        <is>
          <t>RK003</t>
        </is>
      </c>
      <c r="H32" t="inlineStr">
        <is>
          <t>24 Oktober 2022</t>
        </is>
      </c>
      <c r="I32" s="2" t="n">
        <v>46263</v>
      </c>
      <c r="J32" t="inlineStr">
        <is>
          <t>Pencabutan</t>
        </is>
      </c>
      <c r="K32" t="n">
        <v>60</v>
      </c>
      <c r="L32" t="inlineStr">
        <is>
          <t>29 Agustus 2026</t>
        </is>
      </c>
      <c r="M32" t="inlineStr">
        <is>
          <t>Jasa Rekayasa Pekerjaan Teknik Sipil Transportasi</t>
        </is>
      </c>
      <c r="N32" t="inlineStr">
        <is>
          <t>K</t>
        </is>
      </c>
      <c r="O32" t="inlineStr">
        <is>
          <t>20230828</t>
        </is>
      </c>
      <c r="P32" t="inlineStr">
        <is>
          <t>DKI Jakarta</t>
        </is>
      </c>
      <c r="Q32" t="inlineStr"/>
    </row>
    <row r="33">
      <c r="A33" t="inlineStr">
        <is>
          <t>BANGUN CAKA</t>
        </is>
      </c>
      <c r="B33" t="inlineStr">
        <is>
          <t>Kota Semarang</t>
        </is>
      </c>
      <c r="C33" t="inlineStr">
        <is>
          <t>02476673504</t>
        </is>
      </c>
      <c r="D33" t="inlineStr">
        <is>
          <t>emataka80@gmail.com</t>
        </is>
      </c>
      <c r="E33" t="inlineStr">
        <is>
          <t>https://lpjk.pu.go.id/search-badan-usaha-detail/RkxoeGJPYm5LTVQ3TXY0bmg3ZlA5dz09</t>
        </is>
      </c>
      <c r="F33" t="n">
        <v>2</v>
      </c>
      <c r="G33" t="inlineStr">
        <is>
          <t>BG009, BS001</t>
        </is>
      </c>
      <c r="H33" t="inlineStr">
        <is>
          <t>14 September 2022</t>
        </is>
      </c>
      <c r="I33" s="2" t="n">
        <v>46263</v>
      </c>
      <c r="J33" t="inlineStr">
        <is>
          <t>Disetujui</t>
        </is>
      </c>
      <c r="K33" t="n">
        <v>60</v>
      </c>
      <c r="L33" t="inlineStr">
        <is>
          <t>29 Agustus 2026</t>
        </is>
      </c>
      <c r="M33" t="inlineStr">
        <is>
          <t>Konstruksi Bangunan Sipil Jalan, Konstruksi Gedung Lainnya</t>
        </is>
      </c>
      <c r="N33" t="inlineStr">
        <is>
          <t>K</t>
        </is>
      </c>
      <c r="O33" t="inlineStr">
        <is>
          <t>20230829</t>
        </is>
      </c>
      <c r="P33" t="inlineStr">
        <is>
          <t>Jawa Tengah</t>
        </is>
      </c>
      <c r="Q33" t="inlineStr"/>
    </row>
    <row r="34">
      <c r="A34" t="inlineStr">
        <is>
          <t>BARATA KARYA</t>
        </is>
      </c>
      <c r="B34" t="inlineStr">
        <is>
          <t>Kab. Maros</t>
        </is>
      </c>
      <c r="C34" t="inlineStr">
        <is>
          <t>082343435546</t>
        </is>
      </c>
      <c r="D34" t="inlineStr">
        <is>
          <t>baratakaryacv@yahoo.com</t>
        </is>
      </c>
      <c r="E34" t="inlineStr">
        <is>
          <t>https://lpjk.pu.go.id/search-badan-usaha-detail/RXpId1ZnZzNETWREaFlpd0lyOXpCUT09</t>
        </is>
      </c>
      <c r="F34" t="n">
        <v>5</v>
      </c>
      <c r="G34" t="inlineStr">
        <is>
          <t>BS001</t>
        </is>
      </c>
      <c r="H34" t="inlineStr">
        <is>
          <t>29 November 2016</t>
        </is>
      </c>
      <c r="I34" s="2" t="n">
        <v>46263</v>
      </c>
      <c r="J34" t="inlineStr">
        <is>
          <t>Disetujui</t>
        </is>
      </c>
      <c r="K34" t="n">
        <v>60</v>
      </c>
      <c r="L34" t="inlineStr">
        <is>
          <t>29 Agustus 2026</t>
        </is>
      </c>
      <c r="M34" t="inlineStr">
        <is>
          <t>Konstruksi Bangunan Sipil Jalan</t>
        </is>
      </c>
      <c r="N34" t="inlineStr">
        <is>
          <t>K</t>
        </is>
      </c>
      <c r="O34" t="inlineStr">
        <is>
          <t>20230823</t>
        </is>
      </c>
      <c r="P34" t="inlineStr">
        <is>
          <t>Sulawesi Selatan</t>
        </is>
      </c>
      <c r="Q34" t="inlineStr"/>
    </row>
    <row r="35">
      <c r="A35" t="inlineStr">
        <is>
          <t>BATULICIN SARANA CONSULTAN</t>
        </is>
      </c>
      <c r="B35" t="inlineStr">
        <is>
          <t>Kab. Tanah Bumbu</t>
        </is>
      </c>
      <c r="C35" t="inlineStr">
        <is>
          <t>08875100342</t>
        </is>
      </c>
      <c r="D35" t="inlineStr">
        <is>
          <t>cv.batulicinsaranaconsultan@gmail.com</t>
        </is>
      </c>
      <c r="E35" t="inlineStr">
        <is>
          <t>https://lpjk.pu.go.id/search-badan-usaha-detail/eGJXdUwzQmVnMFhqdWJSUFpCSGp0UT09</t>
        </is>
      </c>
      <c r="F35" t="n">
        <v>2</v>
      </c>
      <c r="G35" t="inlineStr">
        <is>
          <t>AR002, AR003</t>
        </is>
      </c>
      <c r="H35" t="inlineStr">
        <is>
          <t>6 Maret 2017</t>
        </is>
      </c>
      <c r="I35" s="2" t="n">
        <v>46263</v>
      </c>
      <c r="J35" t="inlineStr">
        <is>
          <t>Disetujui</t>
        </is>
      </c>
      <c r="K35" t="n">
        <v>60</v>
      </c>
      <c r="L35" t="inlineStr">
        <is>
          <t>29 Agustus 2026</t>
        </is>
      </c>
      <c r="M35" t="inlineStr">
        <is>
          <t>Jasa Arsitektural Lainnya, Jasa Desain Interior pada Bangunan Gedung dan Bangunan Sipil</t>
        </is>
      </c>
      <c r="N35" t="inlineStr">
        <is>
          <t>K</t>
        </is>
      </c>
      <c r="O35" t="inlineStr">
        <is>
          <t>20230809</t>
        </is>
      </c>
      <c r="P35" t="inlineStr">
        <is>
          <t>Kalimantan Selatan</t>
        </is>
      </c>
      <c r="Q35" t="inlineStr"/>
    </row>
    <row r="36">
      <c r="A36" t="inlineStr">
        <is>
          <t>BAYU PASUPATI</t>
        </is>
      </c>
      <c r="B36" t="inlineStr">
        <is>
          <t>Kota Denpasar</t>
        </is>
      </c>
      <c r="C36" t="inlineStr">
        <is>
          <t>0811394348</t>
        </is>
      </c>
      <c r="D36" t="inlineStr">
        <is>
          <t>sawiram@yahoo.com</t>
        </is>
      </c>
      <c r="E36" t="inlineStr">
        <is>
          <t>https://lpjk.pu.go.id/search-badan-usaha-detail/SzZMTEMrVDA2dmp4aVRUblBtUk9iQT09</t>
        </is>
      </c>
      <c r="F36" t="n">
        <v>1</v>
      </c>
      <c r="G36" t="inlineStr">
        <is>
          <t>BG005</t>
        </is>
      </c>
      <c r="H36" t="inlineStr">
        <is>
          <t>28 September 2000</t>
        </is>
      </c>
      <c r="I36" s="2" t="n">
        <v>46263</v>
      </c>
      <c r="J36" t="inlineStr">
        <is>
          <t>Disetujui</t>
        </is>
      </c>
      <c r="K36" t="n">
        <v>60</v>
      </c>
      <c r="L36" t="inlineStr">
        <is>
          <t>29 Agustus 2026</t>
        </is>
      </c>
      <c r="M36" t="inlineStr">
        <is>
          <t>Konstruksi Gedung Kesehatan</t>
        </is>
      </c>
      <c r="N36" t="inlineStr">
        <is>
          <t>K</t>
        </is>
      </c>
      <c r="O36" t="inlineStr">
        <is>
          <t>20230816</t>
        </is>
      </c>
      <c r="P36" t="inlineStr">
        <is>
          <t>Bali</t>
        </is>
      </c>
      <c r="Q36" t="inlineStr"/>
    </row>
    <row r="37">
      <c r="A37" t="inlineStr">
        <is>
          <t>BAYUNTORO</t>
        </is>
      </c>
      <c r="B37" t="inlineStr">
        <is>
          <t>Kab. Gunungkidul</t>
        </is>
      </c>
      <c r="C37" t="inlineStr">
        <is>
          <t>081393025958</t>
        </is>
      </c>
      <c r="D37" t="inlineStr">
        <is>
          <t>cvbayuntoro23@gmail.com</t>
        </is>
      </c>
      <c r="E37" t="inlineStr">
        <is>
          <t>https://lpjk.pu.go.id/search-badan-usaha-detail/VSs1eUxmZVgwTFp1MXdEaDcvQU1xdz09</t>
        </is>
      </c>
      <c r="F37" t="n">
        <v>1</v>
      </c>
      <c r="G37" t="inlineStr">
        <is>
          <t>BG006</t>
        </is>
      </c>
      <c r="H37" t="inlineStr">
        <is>
          <t>2 Oktober 2006</t>
        </is>
      </c>
      <c r="I37" s="2" t="n">
        <v>46263</v>
      </c>
      <c r="J37" t="inlineStr">
        <is>
          <t>Disetujui</t>
        </is>
      </c>
      <c r="K37" t="n">
        <v>60</v>
      </c>
      <c r="L37" t="inlineStr">
        <is>
          <t>29 Agustus 2026</t>
        </is>
      </c>
      <c r="M37" t="inlineStr">
        <is>
          <t>Konstruksi Gedung Pendidikan</t>
        </is>
      </c>
      <c r="N37" t="inlineStr">
        <is>
          <t>K</t>
        </is>
      </c>
      <c r="O37" t="inlineStr">
        <is>
          <t>20230823</t>
        </is>
      </c>
      <c r="P37" t="inlineStr">
        <is>
          <t>DI Yogyakarta</t>
        </is>
      </c>
      <c r="Q37" t="inlineStr"/>
    </row>
    <row r="38">
      <c r="A38" t="inlineStr">
        <is>
          <t>BERKAT PAPUA UTAMA</t>
        </is>
      </c>
      <c r="B38" t="inlineStr">
        <is>
          <t>Kab. Mimika</t>
        </is>
      </c>
      <c r="C38" t="inlineStr">
        <is>
          <t>0811492580</t>
        </is>
      </c>
      <c r="D38" t="inlineStr">
        <is>
          <t>bputama.id@gmail.com</t>
        </is>
      </c>
      <c r="E38" t="inlineStr">
        <is>
          <t>https://lpjk.pu.go.id/search-badan-usaha-detail/aGp4THdlQzdjMWQ5MmNnY1ZXUnRXdz09</t>
        </is>
      </c>
      <c r="F38" t="n">
        <v>2</v>
      </c>
      <c r="G38" t="inlineStr">
        <is>
          <t>BG009</t>
        </is>
      </c>
      <c r="H38" t="inlineStr">
        <is>
          <t>10 Juni 2023</t>
        </is>
      </c>
      <c r="I38" s="2" t="n">
        <v>46263</v>
      </c>
      <c r="J38" t="inlineStr">
        <is>
          <t>Disetujui</t>
        </is>
      </c>
      <c r="K38" t="n">
        <v>60</v>
      </c>
      <c r="L38" t="inlineStr">
        <is>
          <t>29 Agustus 2026</t>
        </is>
      </c>
      <c r="M38" t="inlineStr">
        <is>
          <t>Konstruksi Gedung Lainnya</t>
        </is>
      </c>
      <c r="N38" t="inlineStr">
        <is>
          <t>K</t>
        </is>
      </c>
      <c r="O38" t="inlineStr">
        <is>
          <t>20230815</t>
        </is>
      </c>
      <c r="P38" t="inlineStr">
        <is>
          <t>Papua</t>
        </is>
      </c>
      <c r="Q38" t="inlineStr"/>
    </row>
    <row r="39">
      <c r="A39" t="inlineStr">
        <is>
          <t>BERKAT WANINGGAP</t>
        </is>
      </c>
      <c r="B39" t="inlineStr">
        <is>
          <t>Kab. Merauke</t>
        </is>
      </c>
      <c r="C39" t="inlineStr">
        <is>
          <t>081319571017</t>
        </is>
      </c>
      <c r="D39" t="inlineStr">
        <is>
          <t>waninggap21@gmail.com</t>
        </is>
      </c>
      <c r="E39" t="inlineStr">
        <is>
          <t>https://lpjk.pu.go.id/search-badan-usaha-detail/WS96NFF1dEt6MWhDbEJoR1ptR0FVUT09</t>
        </is>
      </c>
      <c r="F39" t="n">
        <v>2</v>
      </c>
      <c r="G39" t="inlineStr">
        <is>
          <t>BS001</t>
        </is>
      </c>
      <c r="H39" t="inlineStr">
        <is>
          <t>16 Januari 2019</t>
        </is>
      </c>
      <c r="I39" s="2" t="n">
        <v>46263</v>
      </c>
      <c r="J39" t="inlineStr">
        <is>
          <t>Disetujui</t>
        </is>
      </c>
      <c r="K39" t="n">
        <v>60</v>
      </c>
      <c r="L39" t="inlineStr">
        <is>
          <t>29 Agustus 2026</t>
        </is>
      </c>
      <c r="M39" t="inlineStr">
        <is>
          <t>Konstruksi Bangunan Sipil Jalan</t>
        </is>
      </c>
      <c r="N39" t="inlineStr">
        <is>
          <t>K</t>
        </is>
      </c>
      <c r="O39" t="inlineStr">
        <is>
          <t>20230826</t>
        </is>
      </c>
      <c r="P39" t="inlineStr">
        <is>
          <t>Papua Selatan</t>
        </is>
      </c>
      <c r="Q39" t="inlineStr"/>
    </row>
    <row r="40">
      <c r="A40" t="inlineStr">
        <is>
          <t>BRILLIANT</t>
        </is>
      </c>
      <c r="B40" t="inlineStr">
        <is>
          <t>Kab. Sintang</t>
        </is>
      </c>
      <c r="C40" t="inlineStr">
        <is>
          <t>081256816040</t>
        </is>
      </c>
      <c r="D40" t="inlineStr">
        <is>
          <t>cv.brilliant0504@gmail.com</t>
        </is>
      </c>
      <c r="E40" t="inlineStr">
        <is>
          <t>https://lpjk.pu.go.id/search-badan-usaha-detail/MHBHMDV3R2R6SEZBd01VWmhFc2xFZz09</t>
        </is>
      </c>
      <c r="F40" t="n">
        <v>1</v>
      </c>
      <c r="G40" t="inlineStr">
        <is>
          <t>BG002</t>
        </is>
      </c>
      <c r="H40" t="inlineStr">
        <is>
          <t>23 November 2017</t>
        </is>
      </c>
      <c r="I40" s="2" t="n">
        <v>46263</v>
      </c>
      <c r="J40" t="inlineStr">
        <is>
          <t>Disetujui</t>
        </is>
      </c>
      <c r="K40" t="n">
        <v>60</v>
      </c>
      <c r="L40" t="inlineStr">
        <is>
          <t>29 Agustus 2026</t>
        </is>
      </c>
      <c r="M40" t="inlineStr">
        <is>
          <t>Konstruksi Gedung Perkantoran</t>
        </is>
      </c>
      <c r="N40" t="inlineStr">
        <is>
          <t>K</t>
        </is>
      </c>
      <c r="O40" t="inlineStr">
        <is>
          <t>20230820</t>
        </is>
      </c>
      <c r="P40" t="inlineStr">
        <is>
          <t>Kalimantan Barat</t>
        </is>
      </c>
      <c r="Q40" t="inlineStr"/>
    </row>
    <row r="41">
      <c r="A41" t="inlineStr">
        <is>
          <t>BUANA PERKASA</t>
        </is>
      </c>
      <c r="B41" t="inlineStr">
        <is>
          <t>Kab. Pasuruan</t>
        </is>
      </c>
      <c r="C41" t="inlineStr">
        <is>
          <t>081358689533</t>
        </is>
      </c>
      <c r="D41" t="inlineStr">
        <is>
          <t>cv_bp@yahoo.com</t>
        </is>
      </c>
      <c r="E41" t="inlineStr">
        <is>
          <t>https://lpjk.pu.go.id/search-badan-usaha-detail/ZzZteVVDZmNkZGpEQWthZVF0ZG9pdz09</t>
        </is>
      </c>
      <c r="F41" t="n">
        <v>1</v>
      </c>
      <c r="G41" t="inlineStr">
        <is>
          <t>BG006</t>
        </is>
      </c>
      <c r="H41" t="inlineStr">
        <is>
          <t>6 Oktober 2003</t>
        </is>
      </c>
      <c r="I41" s="2" t="n">
        <v>46263</v>
      </c>
      <c r="J41" t="inlineStr">
        <is>
          <t>Disetujui</t>
        </is>
      </c>
      <c r="K41" t="n">
        <v>60</v>
      </c>
      <c r="L41" t="inlineStr">
        <is>
          <t>29 Agustus 2026</t>
        </is>
      </c>
      <c r="M41" t="inlineStr">
        <is>
          <t>Konstruksi Gedung Pendidikan</t>
        </is>
      </c>
      <c r="N41" t="inlineStr">
        <is>
          <t>K</t>
        </is>
      </c>
      <c r="O41" t="inlineStr">
        <is>
          <t>20230824</t>
        </is>
      </c>
      <c r="P41" t="inlineStr">
        <is>
          <t>Jawa Timur</t>
        </is>
      </c>
      <c r="Q41" t="inlineStr"/>
    </row>
    <row r="42">
      <c r="A42" t="inlineStr">
        <is>
          <t>BUMI MAKMUR</t>
        </is>
      </c>
      <c r="B42" t="inlineStr">
        <is>
          <t>Kab. Nganjuk</t>
        </is>
      </c>
      <c r="C42" t="inlineStr">
        <is>
          <t>082331375188</t>
        </is>
      </c>
      <c r="D42" t="inlineStr">
        <is>
          <t>cvbumimakmur@yahoo.co.id</t>
        </is>
      </c>
      <c r="E42" t="inlineStr">
        <is>
          <t>https://lpjk.pu.go.id/search-badan-usaha-detail/UUJqVTZ2VXhFRzFqSGkxcDBLUU9BZz09</t>
        </is>
      </c>
      <c r="F42" t="n">
        <v>5</v>
      </c>
      <c r="G42" t="inlineStr">
        <is>
          <t>BG002, BG004, BG005, BG006, BG009</t>
        </is>
      </c>
      <c r="H42" t="inlineStr">
        <is>
          <t>29 November 2005</t>
        </is>
      </c>
      <c r="I42" s="2" t="n">
        <v>46263</v>
      </c>
      <c r="J42" t="inlineStr">
        <is>
          <t>Disetujui</t>
        </is>
      </c>
      <c r="K42" t="n">
        <v>60</v>
      </c>
      <c r="L42" t="inlineStr">
        <is>
          <t>29 Agustus 2026</t>
        </is>
      </c>
      <c r="M42" t="inlineStr">
        <is>
          <t>Konstruksi Gedung Kesehatan, Konstruksi Gedung Lainnya, Konstruksi Gedung Pendidikan, Konstruksi Gedung Perbelanjaan, Konstruksi Gedung Perkantoran</t>
        </is>
      </c>
      <c r="N42" t="inlineStr">
        <is>
          <t>K</t>
        </is>
      </c>
      <c r="O42" t="inlineStr">
        <is>
          <t>20230818, 20230821</t>
        </is>
      </c>
      <c r="P42" t="inlineStr">
        <is>
          <t>Jawa Timur</t>
        </is>
      </c>
      <c r="Q42" t="inlineStr"/>
    </row>
    <row r="43">
      <c r="A43" t="inlineStr">
        <is>
          <t>CAHAYA ANGGRA WIGUNA</t>
        </is>
      </c>
      <c r="B43" t="inlineStr">
        <is>
          <t>Kab. Bandung</t>
        </is>
      </c>
      <c r="C43" t="inlineStr">
        <is>
          <t>082128691800</t>
        </is>
      </c>
      <c r="D43" t="inlineStr">
        <is>
          <t>cvcawbdg@gmail.com</t>
        </is>
      </c>
      <c r="E43" t="inlineStr">
        <is>
          <t>https://lpjk.pu.go.id/search-badan-usaha-detail/TWtHeGpNZXFNZnlGNWRJNWZnNG9Fdz09</t>
        </is>
      </c>
      <c r="F43" t="n">
        <v>1</v>
      </c>
      <c r="G43" t="inlineStr">
        <is>
          <t>BS001</t>
        </is>
      </c>
      <c r="H43" t="inlineStr">
        <is>
          <t>23 Desember 2014</t>
        </is>
      </c>
      <c r="I43" s="2" t="n">
        <v>46263</v>
      </c>
      <c r="J43" t="inlineStr">
        <is>
          <t>Disetujui</t>
        </is>
      </c>
      <c r="K43" t="n">
        <v>60</v>
      </c>
      <c r="L43" t="inlineStr">
        <is>
          <t>29 Agustus 2026</t>
        </is>
      </c>
      <c r="M43" t="inlineStr">
        <is>
          <t>Konstruksi Bangunan Sipil Jalan</t>
        </is>
      </c>
      <c r="N43" t="inlineStr">
        <is>
          <t>K</t>
        </is>
      </c>
      <c r="O43" t="inlineStr">
        <is>
          <t>20230829</t>
        </is>
      </c>
      <c r="P43" t="inlineStr">
        <is>
          <t>Jawa Barat</t>
        </is>
      </c>
      <c r="Q43" t="inlineStr"/>
    </row>
    <row r="44">
      <c r="A44" t="inlineStr">
        <is>
          <t>CERDAS PERSADA MANDIRI</t>
        </is>
      </c>
      <c r="B44" t="inlineStr">
        <is>
          <t>Kota Medan</t>
        </is>
      </c>
      <c r="C44" t="inlineStr">
        <is>
          <t>082210551055</t>
        </is>
      </c>
      <c r="D44" t="inlineStr">
        <is>
          <t>cerdaspersadamandiri123@gmail.com</t>
        </is>
      </c>
      <c r="E44" t="inlineStr">
        <is>
          <t>https://lpjk.pu.go.id/search-badan-usaha-detail/UlduazYrUzQ1STk3b1RtWEdqWmwvUT09</t>
        </is>
      </c>
      <c r="F44" t="n">
        <v>1</v>
      </c>
      <c r="G44" t="inlineStr">
        <is>
          <t>BS001</t>
        </is>
      </c>
      <c r="H44" t="inlineStr">
        <is>
          <t>24 Agustus 2018</t>
        </is>
      </c>
      <c r="I44" s="2" t="n">
        <v>46263</v>
      </c>
      <c r="J44" t="inlineStr">
        <is>
          <t>Pembekuan</t>
        </is>
      </c>
      <c r="K44" t="n">
        <v>60</v>
      </c>
      <c r="L44" t="inlineStr">
        <is>
          <t>29 Agustus 2026</t>
        </is>
      </c>
      <c r="M44" t="inlineStr">
        <is>
          <t>Konstruksi Bangunan Sipil Jalan</t>
        </is>
      </c>
      <c r="N44" t="inlineStr">
        <is>
          <t>M</t>
        </is>
      </c>
      <c r="O44" t="inlineStr">
        <is>
          <t>20230828</t>
        </is>
      </c>
      <c r="P44" t="inlineStr">
        <is>
          <t>Sumatera Utara</t>
        </is>
      </c>
      <c r="Q44" t="inlineStr"/>
    </row>
    <row r="45">
      <c r="A45" t="inlineStr">
        <is>
          <t>CIPTA ANUGRAH</t>
        </is>
      </c>
      <c r="B45" t="inlineStr">
        <is>
          <t>Kota Pontianak</t>
        </is>
      </c>
      <c r="C45" t="inlineStr">
        <is>
          <t>081256636899</t>
        </is>
      </c>
      <c r="D45" t="inlineStr">
        <is>
          <t>cipta.anugrah18@gmail.com</t>
        </is>
      </c>
      <c r="E45" t="inlineStr">
        <is>
          <t>https://lpjk.pu.go.id/search-badan-usaha-detail/Vmk0VUluU1Bid1VzSDdKRDd6cmh4QT09</t>
        </is>
      </c>
      <c r="F45" t="n">
        <v>1</v>
      </c>
      <c r="G45" t="inlineStr">
        <is>
          <t>BG009</t>
        </is>
      </c>
      <c r="H45" t="inlineStr">
        <is>
          <t>16 Juli 2008</t>
        </is>
      </c>
      <c r="I45" s="2" t="n">
        <v>46263</v>
      </c>
      <c r="J45" t="inlineStr">
        <is>
          <t>Disetujui</t>
        </is>
      </c>
      <c r="K45" t="n">
        <v>60</v>
      </c>
      <c r="L45" t="inlineStr">
        <is>
          <t>29 Agustus 2026</t>
        </is>
      </c>
      <c r="M45" t="inlineStr">
        <is>
          <t>Konstruksi Gedung Lainnya</t>
        </is>
      </c>
      <c r="N45" t="inlineStr">
        <is>
          <t>K</t>
        </is>
      </c>
      <c r="O45" t="inlineStr">
        <is>
          <t>20230824</t>
        </is>
      </c>
      <c r="P45" t="inlineStr">
        <is>
          <t>Kalimantan Barat</t>
        </is>
      </c>
      <c r="Q45" t="inlineStr"/>
    </row>
    <row r="46">
      <c r="A46" t="inlineStr">
        <is>
          <t>CIPTA KANA KONSTRUKSI</t>
        </is>
      </c>
      <c r="B46" t="inlineStr">
        <is>
          <t>Kab. Pidie Jaya</t>
        </is>
      </c>
      <c r="C46" t="inlineStr">
        <is>
          <t>085262539697</t>
        </is>
      </c>
      <c r="D46" t="inlineStr">
        <is>
          <t>cipta.kanakonstruksi@gmail.com</t>
        </is>
      </c>
      <c r="E46" t="inlineStr">
        <is>
          <t>https://lpjk.pu.go.id/search-badan-usaha-detail/MXNWZDdvVUdYTHVxMjVJOHBtRUEvQT09</t>
        </is>
      </c>
      <c r="F46" t="n">
        <v>2</v>
      </c>
      <c r="G46" t="inlineStr">
        <is>
          <t>BG006, BG009</t>
        </is>
      </c>
      <c r="H46" t="inlineStr">
        <is>
          <t>7 Maret 2023</t>
        </is>
      </c>
      <c r="I46" s="2" t="n">
        <v>46263</v>
      </c>
      <c r="J46" t="inlineStr">
        <is>
          <t>Disetujui</t>
        </is>
      </c>
      <c r="K46" t="n">
        <v>60</v>
      </c>
      <c r="L46" t="inlineStr">
        <is>
          <t>29 Agustus 2026</t>
        </is>
      </c>
      <c r="M46" t="inlineStr">
        <is>
          <t>Konstruksi Gedung Lainnya, Konstruksi Gedung Pendidikan</t>
        </is>
      </c>
      <c r="N46" t="inlineStr">
        <is>
          <t>K</t>
        </is>
      </c>
      <c r="O46" t="inlineStr">
        <is>
          <t>20230828</t>
        </is>
      </c>
      <c r="P46" t="inlineStr">
        <is>
          <t>Aceh</t>
        </is>
      </c>
      <c r="Q46" t="inlineStr"/>
    </row>
    <row r="47">
      <c r="A47" t="inlineStr">
        <is>
          <t>CIPTA KARYA NUSANTARA</t>
        </is>
      </c>
      <c r="B47" t="inlineStr">
        <is>
          <t>Kota Medan</t>
        </is>
      </c>
      <c r="C47" t="inlineStr">
        <is>
          <t>085311511270</t>
        </is>
      </c>
      <c r="D47" t="inlineStr">
        <is>
          <t>ciptakaryanusantara04@gmail.com</t>
        </is>
      </c>
      <c r="E47" t="inlineStr">
        <is>
          <t>https://lpjk.pu.go.id/search-badan-usaha-detail/Y2wxbnJSNXdHajdCUHdXQzNFNVJBdz09</t>
        </is>
      </c>
      <c r="F47" t="n">
        <v>1</v>
      </c>
      <c r="G47" t="inlineStr">
        <is>
          <t>PB009</t>
        </is>
      </c>
      <c r="H47" t="inlineStr">
        <is>
          <t>27 Mei 2015</t>
        </is>
      </c>
      <c r="I47" s="2" t="n">
        <v>46263</v>
      </c>
      <c r="J47" t="inlineStr">
        <is>
          <t>Pembekuan</t>
        </is>
      </c>
      <c r="K47" t="n">
        <v>60</v>
      </c>
      <c r="L47" t="inlineStr">
        <is>
          <t>29 Agustus 2026</t>
        </is>
      </c>
      <c r="M47" t="inlineStr">
        <is>
          <t>Pembersihan dan Perapihan Bangunan Gedung dan/atau Bangunan Sipil</t>
        </is>
      </c>
      <c r="N47" t="inlineStr">
        <is>
          <t>Spesialis</t>
        </is>
      </c>
      <c r="O47" t="inlineStr">
        <is>
          <t>20230821</t>
        </is>
      </c>
      <c r="P47" t="inlineStr">
        <is>
          <t>Sumatera Utara</t>
        </is>
      </c>
      <c r="Q47" t="inlineStr"/>
    </row>
    <row r="48">
      <c r="A48" t="inlineStr">
        <is>
          <t>CIPTA KONSTRUKSI SEJAHTERA</t>
        </is>
      </c>
      <c r="B48" t="inlineStr">
        <is>
          <t>Kota Makassar</t>
        </is>
      </c>
      <c r="C48" t="inlineStr">
        <is>
          <t>082348830065</t>
        </is>
      </c>
      <c r="D48" t="inlineStr">
        <is>
          <t>cipta.konstruksindomks@gmail.com</t>
        </is>
      </c>
      <c r="E48" t="inlineStr">
        <is>
          <t>https://lpjk.pu.go.id/search-badan-usaha-detail/VGs3ZlBya2R2T2l2c1dya2VwZW1RQT09</t>
        </is>
      </c>
      <c r="F48" t="n">
        <v>1</v>
      </c>
      <c r="G48" t="inlineStr">
        <is>
          <t>BG001</t>
        </is>
      </c>
      <c r="H48" t="inlineStr">
        <is>
          <t>3 Agustus 2023</t>
        </is>
      </c>
      <c r="I48" s="2" t="n">
        <v>46263</v>
      </c>
      <c r="J48" t="inlineStr">
        <is>
          <t>Pencabutan</t>
        </is>
      </c>
      <c r="K48" t="n">
        <v>60</v>
      </c>
      <c r="L48" t="inlineStr">
        <is>
          <t>29 Agustus 2026</t>
        </is>
      </c>
      <c r="M48" t="inlineStr">
        <is>
          <t>Konstruksi Gedung Hunian</t>
        </is>
      </c>
      <c r="N48" t="inlineStr">
        <is>
          <t>K</t>
        </is>
      </c>
      <c r="O48" t="inlineStr">
        <is>
          <t>20230825</t>
        </is>
      </c>
      <c r="P48" t="inlineStr">
        <is>
          <t>Sulawesi Selatan</t>
        </is>
      </c>
      <c r="Q48" t="inlineStr"/>
    </row>
    <row r="49">
      <c r="A49" t="inlineStr">
        <is>
          <t>CIPTA PERSADA MANDIRI</t>
        </is>
      </c>
      <c r="B49" t="inlineStr">
        <is>
          <t>Kota Langsa</t>
        </is>
      </c>
      <c r="C49" t="inlineStr">
        <is>
          <t>082161605174</t>
        </is>
      </c>
      <c r="D49" t="inlineStr">
        <is>
          <t>cvciptapersadamandiri23@gmail.com</t>
        </is>
      </c>
      <c r="E49" t="inlineStr">
        <is>
          <t>https://lpjk.pu.go.id/search-badan-usaha-detail/c3dWNzJLTkVYU0JYQzZMc1BZKytZdz09</t>
        </is>
      </c>
      <c r="F49" t="n">
        <v>1</v>
      </c>
      <c r="G49" t="inlineStr">
        <is>
          <t>BG001</t>
        </is>
      </c>
      <c r="H49" t="inlineStr">
        <is>
          <t>15 Mei 2023</t>
        </is>
      </c>
      <c r="I49" s="2" t="n">
        <v>46263</v>
      </c>
      <c r="J49" t="inlineStr">
        <is>
          <t>Disetujui</t>
        </is>
      </c>
      <c r="K49" t="n">
        <v>60</v>
      </c>
      <c r="L49" t="inlineStr">
        <is>
          <t>29 Agustus 2026</t>
        </is>
      </c>
      <c r="M49" t="inlineStr">
        <is>
          <t>Konstruksi Gedung Hunian</t>
        </is>
      </c>
      <c r="N49" t="inlineStr">
        <is>
          <t>K</t>
        </is>
      </c>
      <c r="O49" t="inlineStr">
        <is>
          <t>20230820</t>
        </is>
      </c>
      <c r="P49" t="inlineStr">
        <is>
          <t>Aceh</t>
        </is>
      </c>
      <c r="Q49" t="inlineStr"/>
    </row>
    <row r="50">
      <c r="A50" t="inlineStr">
        <is>
          <t>CIPTA TEKNIK UTAMA</t>
        </is>
      </c>
      <c r="B50" t="inlineStr">
        <is>
          <t>Kota Adm. Jakarta Utara</t>
        </is>
      </c>
      <c r="C50" t="inlineStr">
        <is>
          <t>0216530794</t>
        </is>
      </c>
      <c r="D50" t="inlineStr">
        <is>
          <t>admin@ctu-indonesia.com</t>
        </is>
      </c>
      <c r="E50" t="inlineStr">
        <is>
          <t>https://lpjk.pu.go.id/search-badan-usaha-detail/bFFtejNkaXkzQzJvNkVSUjdGQkhSZz09</t>
        </is>
      </c>
      <c r="F50" t="n">
        <v>1</v>
      </c>
      <c r="G50" t="inlineStr">
        <is>
          <t>IN012</t>
        </is>
      </c>
      <c r="H50" t="inlineStr">
        <is>
          <t>27 Januari 2015</t>
        </is>
      </c>
      <c r="I50" s="2" t="n">
        <v>46263</v>
      </c>
      <c r="J50" t="inlineStr">
        <is>
          <t>Pembekuan</t>
        </is>
      </c>
      <c r="K50" t="n">
        <v>60</v>
      </c>
      <c r="L50" t="inlineStr">
        <is>
          <t>29 Agustus 2026</t>
        </is>
      </c>
      <c r="M50" t="inlineStr">
        <is>
          <t>Instalasi Sinyal dan Telekomunikasi Kereta Api</t>
        </is>
      </c>
      <c r="N50" t="inlineStr">
        <is>
          <t>Spesialis</t>
        </is>
      </c>
      <c r="O50" t="inlineStr">
        <is>
          <t>20230828</t>
        </is>
      </c>
      <c r="P50" t="inlineStr">
        <is>
          <t>DKI Jakarta</t>
        </is>
      </c>
      <c r="Q50" t="inlineStr"/>
    </row>
    <row r="51">
      <c r="A51" t="inlineStr">
        <is>
          <t>CITRA KHARISMA MEMBANGUN</t>
        </is>
      </c>
      <c r="B51" t="inlineStr">
        <is>
          <t>Kota Palu</t>
        </is>
      </c>
      <c r="C51" t="inlineStr">
        <is>
          <t>081241681977</t>
        </is>
      </c>
      <c r="D51" t="inlineStr">
        <is>
          <t>citrakharismamembangun@gmail.com</t>
        </is>
      </c>
      <c r="E51" t="inlineStr">
        <is>
          <t>https://lpjk.pu.go.id/search-badan-usaha-detail/bEtxaXhxK3NkT0lVNDhzbVo5Nzd1UT09</t>
        </is>
      </c>
      <c r="F51" t="n">
        <v>1</v>
      </c>
      <c r="G51" t="inlineStr">
        <is>
          <t>BG001</t>
        </is>
      </c>
      <c r="H51" t="inlineStr">
        <is>
          <t>3 Maret 2023</t>
        </is>
      </c>
      <c r="I51" s="2" t="n">
        <v>46263</v>
      </c>
      <c r="J51" t="inlineStr">
        <is>
          <t>Disetujui</t>
        </is>
      </c>
      <c r="K51" t="n">
        <v>60</v>
      </c>
      <c r="L51" t="inlineStr">
        <is>
          <t>29 Agustus 2026</t>
        </is>
      </c>
      <c r="M51" t="inlineStr">
        <is>
          <t>Konstruksi Gedung Hunian</t>
        </is>
      </c>
      <c r="N51" t="inlineStr">
        <is>
          <t>K</t>
        </is>
      </c>
      <c r="O51" t="inlineStr">
        <is>
          <t>20230807</t>
        </is>
      </c>
      <c r="P51" t="inlineStr">
        <is>
          <t>Sulawesi Tengah</t>
        </is>
      </c>
      <c r="Q51" t="inlineStr"/>
    </row>
    <row r="52">
      <c r="A52" t="inlineStr">
        <is>
          <t>CITRA MANDIRI</t>
        </is>
      </c>
      <c r="B52" t="inlineStr">
        <is>
          <t>Kab. Lampung Timur</t>
        </is>
      </c>
      <c r="C52" t="inlineStr">
        <is>
          <t>085279343888</t>
        </is>
      </c>
      <c r="D52" t="inlineStr">
        <is>
          <t>mandiricitra12@yahoo.co.id</t>
        </is>
      </c>
      <c r="E52" t="inlineStr">
        <is>
          <t>https://lpjk.pu.go.id/search-badan-usaha-detail/akxDZ1VtbnUxYWsrMk9QQTc4ZUVIUT09</t>
        </is>
      </c>
      <c r="F52" t="n">
        <v>1</v>
      </c>
      <c r="G52" t="inlineStr">
        <is>
          <t>BS001</t>
        </is>
      </c>
      <c r="H52" t="inlineStr">
        <is>
          <t>13 Mei 2000</t>
        </is>
      </c>
      <c r="I52" s="2" t="n">
        <v>46263</v>
      </c>
      <c r="J52" t="inlineStr">
        <is>
          <t>Disetujui</t>
        </is>
      </c>
      <c r="K52" t="n">
        <v>60</v>
      </c>
      <c r="L52" t="inlineStr">
        <is>
          <t>29 Agustus 2026</t>
        </is>
      </c>
      <c r="M52" t="inlineStr">
        <is>
          <t>Konstruksi Bangunan Sipil Jalan</t>
        </is>
      </c>
      <c r="N52" t="inlineStr">
        <is>
          <t>K</t>
        </is>
      </c>
      <c r="O52" t="inlineStr">
        <is>
          <t>20230828</t>
        </is>
      </c>
      <c r="P52" t="inlineStr">
        <is>
          <t>Lampung</t>
        </is>
      </c>
      <c r="Q52" t="inlineStr"/>
    </row>
    <row r="53">
      <c r="A53" t="inlineStr">
        <is>
          <t>CITRA UDAYS INFINITY</t>
        </is>
      </c>
      <c r="B53" t="inlineStr">
        <is>
          <t>Kab. Indramayu</t>
        </is>
      </c>
      <c r="C53" t="inlineStr">
        <is>
          <t>08122363863</t>
        </is>
      </c>
      <c r="D53" t="inlineStr">
        <is>
          <t>citra.udaysinfinity22@gmail.com</t>
        </is>
      </c>
      <c r="E53" t="inlineStr">
        <is>
          <t>https://lpjk.pu.go.id/search-badan-usaha-detail/eXZUMlJwcy95RjhRc2hRV1ZETnJ1UT09</t>
        </is>
      </c>
      <c r="F53" t="n">
        <v>1</v>
      </c>
      <c r="G53" t="inlineStr">
        <is>
          <t>BG009</t>
        </is>
      </c>
      <c r="H53" t="inlineStr">
        <is>
          <t>3 Maret 2023</t>
        </is>
      </c>
      <c r="I53" s="2" t="n">
        <v>46263</v>
      </c>
      <c r="J53" t="inlineStr">
        <is>
          <t>Pencabutan</t>
        </is>
      </c>
      <c r="K53" t="n">
        <v>60</v>
      </c>
      <c r="L53" t="inlineStr">
        <is>
          <t>29 Agustus 2026</t>
        </is>
      </c>
      <c r="M53" t="inlineStr">
        <is>
          <t>Konstruksi Gedung Lainnya</t>
        </is>
      </c>
      <c r="N53" t="inlineStr">
        <is>
          <t>K</t>
        </is>
      </c>
      <c r="O53" t="inlineStr">
        <is>
          <t>20230118</t>
        </is>
      </c>
      <c r="P53" t="inlineStr">
        <is>
          <t>Jawa Barat</t>
        </is>
      </c>
      <c r="Q53" t="inlineStr"/>
    </row>
    <row r="54">
      <c r="A54" t="inlineStr">
        <is>
          <t>CV. MITRA KONSTRUKSI</t>
        </is>
      </c>
      <c r="B54" t="inlineStr">
        <is>
          <t>Kab. Kepulauan Sangihe</t>
        </is>
      </c>
      <c r="C54" t="inlineStr">
        <is>
          <t>082189667777</t>
        </is>
      </c>
      <c r="D54" t="inlineStr">
        <is>
          <t>mitrakonstruksi.cv@gmail.com</t>
        </is>
      </c>
      <c r="E54" t="inlineStr">
        <is>
          <t>https://lpjk.pu.go.id/search-badan-usaha-detail/QVhYLzNxdi9LNkU2QURIekhScHVRQT09</t>
        </is>
      </c>
      <c r="F54" t="n">
        <v>2</v>
      </c>
      <c r="G54" t="inlineStr">
        <is>
          <t>BG004</t>
        </is>
      </c>
      <c r="H54" t="inlineStr">
        <is>
          <t>14 Februari 2014</t>
        </is>
      </c>
      <c r="I54" s="2" t="n">
        <v>46263</v>
      </c>
      <c r="J54" t="inlineStr">
        <is>
          <t>Disetujui</t>
        </is>
      </c>
      <c r="K54" t="n">
        <v>60</v>
      </c>
      <c r="L54" t="inlineStr">
        <is>
          <t>29 Agustus 2026</t>
        </is>
      </c>
      <c r="M54" t="inlineStr">
        <is>
          <t>Konstruksi Gedung Perbelanjaan</t>
        </is>
      </c>
      <c r="N54" t="inlineStr">
        <is>
          <t>K</t>
        </is>
      </c>
      <c r="O54" t="inlineStr">
        <is>
          <t>20230826</t>
        </is>
      </c>
      <c r="P54" t="inlineStr">
        <is>
          <t>Sulawesi Utara</t>
        </is>
      </c>
      <c r="Q54" t="inlineStr"/>
    </row>
    <row r="55">
      <c r="A55" t="inlineStr">
        <is>
          <t>DELAPAN SEMBILAN ENERGI</t>
        </is>
      </c>
      <c r="B55" t="inlineStr">
        <is>
          <t>Kab. Banggai</t>
        </is>
      </c>
      <c r="C55" t="inlineStr">
        <is>
          <t>082194565653</t>
        </is>
      </c>
      <c r="D55" t="inlineStr">
        <is>
          <t>delapansembilanenergi89@gmail.com</t>
        </is>
      </c>
      <c r="E55" t="inlineStr">
        <is>
          <t>https://lpjk.pu.go.id/search-badan-usaha-detail/OUpEUXdCQnZkMVFkODFXcGtWL01ldz09</t>
        </is>
      </c>
      <c r="F55" t="n">
        <v>2</v>
      </c>
      <c r="G55" t="inlineStr">
        <is>
          <t>BS001</t>
        </is>
      </c>
      <c r="H55" t="inlineStr">
        <is>
          <t>23 Januari 2020</t>
        </is>
      </c>
      <c r="I55" s="2" t="n">
        <v>46263</v>
      </c>
      <c r="J55" t="inlineStr">
        <is>
          <t>Disetujui</t>
        </is>
      </c>
      <c r="K55" t="n">
        <v>60</v>
      </c>
      <c r="L55" t="inlineStr">
        <is>
          <t>29 Agustus 2026</t>
        </is>
      </c>
      <c r="M55" t="inlineStr">
        <is>
          <t>Konstruksi Bangunan Sipil Jalan</t>
        </is>
      </c>
      <c r="N55" t="inlineStr">
        <is>
          <t>K</t>
        </is>
      </c>
      <c r="O55" t="inlineStr">
        <is>
          <t>20230829</t>
        </is>
      </c>
      <c r="P55" t="inlineStr">
        <is>
          <t>Sulawesi Tengah</t>
        </is>
      </c>
      <c r="Q55" t="inlineStr"/>
    </row>
    <row r="56">
      <c r="A56" t="inlineStr">
        <is>
          <t>DELIMA PERTAMA NUSANTARA</t>
        </is>
      </c>
      <c r="B56" t="inlineStr">
        <is>
          <t>Kota Medan</t>
        </is>
      </c>
      <c r="C56" t="inlineStr">
        <is>
          <t>081360535444</t>
        </is>
      </c>
      <c r="D56" t="inlineStr">
        <is>
          <t>cv.delimapertamanusantara@gmail.com</t>
        </is>
      </c>
      <c r="E56" t="inlineStr">
        <is>
          <t>https://lpjk.pu.go.id/search-badan-usaha-detail/RDJPbkNVN2hjL1FtZ3YxZ2NUc0c0QT09</t>
        </is>
      </c>
      <c r="F56" t="n">
        <v>2</v>
      </c>
      <c r="G56" t="inlineStr">
        <is>
          <t>BS001</t>
        </is>
      </c>
      <c r="H56" t="inlineStr">
        <is>
          <t>16 Juli 2023</t>
        </is>
      </c>
      <c r="I56" s="2" t="n">
        <v>46263</v>
      </c>
      <c r="J56" t="inlineStr">
        <is>
          <t>Disetujui</t>
        </is>
      </c>
      <c r="K56" t="n">
        <v>60</v>
      </c>
      <c r="L56" t="inlineStr">
        <is>
          <t>29 Agustus 2026</t>
        </is>
      </c>
      <c r="M56" t="inlineStr">
        <is>
          <t>Konstruksi Bangunan Sipil Jalan</t>
        </is>
      </c>
      <c r="N56" t="inlineStr">
        <is>
          <t>K</t>
        </is>
      </c>
      <c r="O56" t="inlineStr">
        <is>
          <t>20230829</t>
        </is>
      </c>
      <c r="P56" t="inlineStr">
        <is>
          <t>Sumatera Utara</t>
        </is>
      </c>
      <c r="Q56" t="inlineStr"/>
    </row>
    <row r="57">
      <c r="A57" t="inlineStr">
        <is>
          <t>DHANI KARYA CONSULINDO</t>
        </is>
      </c>
      <c r="B57" t="inlineStr">
        <is>
          <t>Kab. Sorong</t>
        </is>
      </c>
      <c r="C57" t="inlineStr">
        <is>
          <t>08114897759</t>
        </is>
      </c>
      <c r="D57" t="inlineStr">
        <is>
          <t>harcons.consulindo@gmail.com</t>
        </is>
      </c>
      <c r="E57" t="inlineStr">
        <is>
          <t>https://lpjk.pu.go.id/search-badan-usaha-detail/OE9QQWdTRWVmdjNTYVpjNGxNWWhnQT09</t>
        </is>
      </c>
      <c r="F57" t="n">
        <v>3</v>
      </c>
      <c r="G57" t="inlineStr">
        <is>
          <t>RK001, RK002</t>
        </is>
      </c>
      <c r="H57" t="inlineStr">
        <is>
          <t>11 Januari 2019</t>
        </is>
      </c>
      <c r="I57" s="2" t="n">
        <v>46263</v>
      </c>
      <c r="J57" t="inlineStr">
        <is>
          <t>Disetujui</t>
        </is>
      </c>
      <c r="K57" t="n">
        <v>60</v>
      </c>
      <c r="L57" t="inlineStr">
        <is>
          <t>29 Agustus 2026</t>
        </is>
      </c>
      <c r="M57" t="inlineStr">
        <is>
          <t>Jasa Rekayasa Konstruksi Bangunan Gedung Hunian dan Non Hunian, Jasa Rekayasa Pekerjaan Teknik Sipil Sumber Daya Air</t>
        </is>
      </c>
      <c r="N57" t="inlineStr">
        <is>
          <t>K</t>
        </is>
      </c>
      <c r="O57" t="inlineStr">
        <is>
          <t>20230821, 20230824</t>
        </is>
      </c>
      <c r="P57" t="inlineStr">
        <is>
          <t>Papua Barat</t>
        </is>
      </c>
      <c r="Q57" t="inlineStr"/>
    </row>
    <row r="58">
      <c r="A58" t="inlineStr">
        <is>
          <t>DIAN PARAMITHA</t>
        </is>
      </c>
      <c r="B58" t="inlineStr">
        <is>
          <t>Kab. Banyumas</t>
        </is>
      </c>
      <c r="C58" t="inlineStr">
        <is>
          <t>085113415353</t>
        </is>
      </c>
      <c r="D58" t="inlineStr">
        <is>
          <t>dianparamitha.cv@gmail.com</t>
        </is>
      </c>
      <c r="E58" t="inlineStr">
        <is>
          <t>https://lpjk.pu.go.id/search-badan-usaha-detail/ZXpDNmZiWjh1a2pmeGIvRVJJeS9EUT09</t>
        </is>
      </c>
      <c r="F58" t="n">
        <v>1</v>
      </c>
      <c r="G58" t="inlineStr">
        <is>
          <t>BG006</t>
        </is>
      </c>
      <c r="H58" t="inlineStr">
        <is>
          <t>29 Juli 1992</t>
        </is>
      </c>
      <c r="I58" s="2" t="n">
        <v>46263</v>
      </c>
      <c r="J58" t="inlineStr">
        <is>
          <t>Disetujui</t>
        </is>
      </c>
      <c r="K58" t="n">
        <v>60</v>
      </c>
      <c r="L58" t="inlineStr">
        <is>
          <t>29 Agustus 2026</t>
        </is>
      </c>
      <c r="M58" t="inlineStr">
        <is>
          <t>Konstruksi Gedung Pendidikan</t>
        </is>
      </c>
      <c r="N58" t="inlineStr">
        <is>
          <t>K</t>
        </is>
      </c>
      <c r="O58" t="inlineStr">
        <is>
          <t>20230828</t>
        </is>
      </c>
      <c r="P58" t="inlineStr">
        <is>
          <t>Jawa Tengah</t>
        </is>
      </c>
      <c r="Q58" t="inlineStr"/>
    </row>
    <row r="59">
      <c r="A59" t="inlineStr">
        <is>
          <t>DINI JAYA</t>
        </is>
      </c>
      <c r="B59" t="inlineStr">
        <is>
          <t>Kab. Ciamis</t>
        </is>
      </c>
      <c r="C59" t="inlineStr">
        <is>
          <t>081323544701</t>
        </is>
      </c>
      <c r="D59" t="inlineStr">
        <is>
          <t>dinijaya94@yahoo.co.id</t>
        </is>
      </c>
      <c r="E59" t="inlineStr">
        <is>
          <t>https://lpjk.pu.go.id/search-badan-usaha-detail/TUk5MWJGT1RpZmhJNGhmellGODZiQT09</t>
        </is>
      </c>
      <c r="F59" t="n">
        <v>3</v>
      </c>
      <c r="G59" t="inlineStr">
        <is>
          <t>BG005, BS004, BS005</t>
        </is>
      </c>
      <c r="H59" t="inlineStr">
        <is>
          <t>1 November 1994</t>
        </is>
      </c>
      <c r="I59" s="2" t="n">
        <v>46263</v>
      </c>
      <c r="J59" t="inlineStr">
        <is>
          <t>Disetujui</t>
        </is>
      </c>
      <c r="K59" t="n">
        <v>60</v>
      </c>
      <c r="L59" t="inlineStr">
        <is>
          <t>29 Agustus 2026</t>
        </is>
      </c>
      <c r="M59" t="inlineStr">
        <is>
          <t>Konstruksi Bangunan Sipil Pengolahan Air Bersih, Konstruksi Gedung Kesehatan, Konstruksi Jaringan Irigasi dan Drainase</t>
        </is>
      </c>
      <c r="N59" t="inlineStr">
        <is>
          <t>K</t>
        </is>
      </c>
      <c r="O59" t="inlineStr">
        <is>
          <t>20230825</t>
        </is>
      </c>
      <c r="P59" t="inlineStr">
        <is>
          <t>Jawa Barat</t>
        </is>
      </c>
      <c r="Q59" t="inlineStr"/>
    </row>
    <row r="60">
      <c r="A60" t="inlineStr">
        <is>
          <t>DUA SAUDARA</t>
        </is>
      </c>
      <c r="B60" t="inlineStr">
        <is>
          <t>Kab. Batang</t>
        </is>
      </c>
      <c r="C60" t="inlineStr">
        <is>
          <t>082325299516</t>
        </is>
      </c>
      <c r="D60" t="inlineStr">
        <is>
          <t>cvduasaudara707@gmail.com</t>
        </is>
      </c>
      <c r="E60" t="inlineStr">
        <is>
          <t>https://lpjk.pu.go.id/search-badan-usaha-detail/c0pNaUgxUUFPblRGL05la1ZiUmdoQT09</t>
        </is>
      </c>
      <c r="F60" t="n">
        <v>1</v>
      </c>
      <c r="G60" t="inlineStr">
        <is>
          <t>BS004</t>
        </is>
      </c>
      <c r="H60" t="inlineStr">
        <is>
          <t>28 Agustus 2017</t>
        </is>
      </c>
      <c r="I60" s="2" t="n">
        <v>46263</v>
      </c>
      <c r="J60" t="inlineStr">
        <is>
          <t>Disetujui</t>
        </is>
      </c>
      <c r="K60" t="n">
        <v>60</v>
      </c>
      <c r="L60" t="inlineStr">
        <is>
          <t>29 Agustus 2026</t>
        </is>
      </c>
      <c r="M60" t="inlineStr">
        <is>
          <t>Konstruksi Jaringan Irigasi dan Drainase</t>
        </is>
      </c>
      <c r="N60" t="inlineStr">
        <is>
          <t>K</t>
        </is>
      </c>
      <c r="O60" t="inlineStr">
        <is>
          <t>20230824</t>
        </is>
      </c>
      <c r="P60" t="inlineStr">
        <is>
          <t>Jawa Tengah</t>
        </is>
      </c>
      <c r="Q60" t="inlineStr"/>
    </row>
    <row r="61">
      <c r="A61" t="inlineStr">
        <is>
          <t>DUA TIGA EMPAT</t>
        </is>
      </c>
      <c r="B61" t="inlineStr">
        <is>
          <t>Kota Ternate</t>
        </is>
      </c>
      <c r="C61" t="inlineStr">
        <is>
          <t>081243000919</t>
        </is>
      </c>
      <c r="D61" t="inlineStr">
        <is>
          <t>duatigaempatcv2018@gmail.com</t>
        </is>
      </c>
      <c r="E61" t="inlineStr">
        <is>
          <t>https://lpjk.pu.go.id/search-badan-usaha-detail/a24wbW0zbjlHdWt2enV4SXFPV0JXZz09</t>
        </is>
      </c>
      <c r="F61" t="n">
        <v>1</v>
      </c>
      <c r="G61" t="inlineStr">
        <is>
          <t>BS002</t>
        </is>
      </c>
      <c r="H61" t="inlineStr">
        <is>
          <t>20 Februari 1999</t>
        </is>
      </c>
      <c r="I61" s="2" t="n">
        <v>46263</v>
      </c>
      <c r="J61" t="inlineStr">
        <is>
          <t>Disetujui</t>
        </is>
      </c>
      <c r="K61" t="n">
        <v>60</v>
      </c>
      <c r="L61" t="inlineStr">
        <is>
          <t>29 Agustus 2026</t>
        </is>
      </c>
      <c r="M61" t="inlineStr">
        <is>
          <t>Bangunan Sipil Jembatan, Jalan Layang, Fly Over, dan Underpass</t>
        </is>
      </c>
      <c r="N61" t="inlineStr">
        <is>
          <t>K</t>
        </is>
      </c>
      <c r="O61" t="inlineStr">
        <is>
          <t>20230821</t>
        </is>
      </c>
      <c r="P61" t="inlineStr">
        <is>
          <t>Maluku Utara</t>
        </is>
      </c>
      <c r="Q61" t="inlineStr"/>
    </row>
    <row r="62">
      <c r="A62" t="inlineStr">
        <is>
          <t>DULANG TEKNIK</t>
        </is>
      </c>
      <c r="B62" t="inlineStr">
        <is>
          <t>Kota Tanjung Pinang</t>
        </is>
      </c>
      <c r="C62" t="inlineStr">
        <is>
          <t>082286691399</t>
        </is>
      </c>
      <c r="D62" t="inlineStr">
        <is>
          <t>dulang_teknik@yahoo.com</t>
        </is>
      </c>
      <c r="E62" t="inlineStr">
        <is>
          <t>https://lpjk.pu.go.id/search-badan-usaha-detail/MFAxdUZDdnBkdW1NdE9wZUxBaTFyQT09</t>
        </is>
      </c>
      <c r="F62" t="n">
        <v>3</v>
      </c>
      <c r="G62" t="inlineStr">
        <is>
          <t>RK001, RK002, RK003</t>
        </is>
      </c>
      <c r="H62" t="inlineStr">
        <is>
          <t>11 Januari 2005</t>
        </is>
      </c>
      <c r="I62" s="2" t="n">
        <v>46263</v>
      </c>
      <c r="J62" t="inlineStr">
        <is>
          <t>Permohonan Perpanjangan</t>
        </is>
      </c>
      <c r="K62" t="n">
        <v>60</v>
      </c>
      <c r="L62" t="inlineStr">
        <is>
          <t>29 Agustus 2026</t>
        </is>
      </c>
      <c r="M62" t="inlineStr">
        <is>
          <t>Jasa Rekayasa Konstruksi Bangunan Gedung Hunian dan Non Hunian, Jasa Rekayasa Pekerjaan Teknik Sipil Sumber Daya Air, Jasa Rekayasa Pekerjaan Teknik Sipil Transportasi</t>
        </is>
      </c>
      <c r="N62" t="inlineStr">
        <is>
          <t>K</t>
        </is>
      </c>
      <c r="O62" t="inlineStr">
        <is>
          <t>20230809</t>
        </is>
      </c>
      <c r="P62" t="inlineStr">
        <is>
          <t>Kepulauan Riau</t>
        </is>
      </c>
      <c r="Q62" t="inlineStr"/>
    </row>
    <row r="63">
      <c r="A63" t="inlineStr">
        <is>
          <t>EKSPANINDO PRIMA MULTIMEDIA</t>
        </is>
      </c>
      <c r="B63" t="inlineStr">
        <is>
          <t>Kota Bandung</t>
        </is>
      </c>
      <c r="C63" t="inlineStr">
        <is>
          <t>081312866258</t>
        </is>
      </c>
      <c r="D63" t="inlineStr">
        <is>
          <t>ekspanindo@eksprim.co.id</t>
        </is>
      </c>
      <c r="E63" t="inlineStr">
        <is>
          <t>https://lpjk.pu.go.id/search-badan-usaha-detail/Sy9rcXNGU2E3QVE4NzUwemk5OG51UT09</t>
        </is>
      </c>
      <c r="F63" t="n">
        <v>1</v>
      </c>
      <c r="G63" t="inlineStr">
        <is>
          <t>BS009</t>
        </is>
      </c>
      <c r="H63" t="inlineStr">
        <is>
          <t>20 September 2006</t>
        </is>
      </c>
      <c r="I63" s="2" t="n">
        <v>46263</v>
      </c>
      <c r="J63" t="inlineStr">
        <is>
          <t>Pencabutan</t>
        </is>
      </c>
      <c r="K63" t="n">
        <v>60</v>
      </c>
      <c r="L63" t="inlineStr">
        <is>
          <t>29 Agustus 2026</t>
        </is>
      </c>
      <c r="M63" t="inlineStr">
        <is>
          <t>Konstruksi Sentral Telekomunikasi</t>
        </is>
      </c>
      <c r="N63" t="inlineStr">
        <is>
          <t>M</t>
        </is>
      </c>
      <c r="O63" t="inlineStr">
        <is>
          <t>20230825</t>
        </is>
      </c>
      <c r="P63" t="inlineStr">
        <is>
          <t>Jawa Barat</t>
        </is>
      </c>
      <c r="Q63" t="inlineStr"/>
    </row>
    <row r="64">
      <c r="A64" t="inlineStr">
        <is>
          <t>ELANG PANTAI KONTRUKSI</t>
        </is>
      </c>
      <c r="B64" t="inlineStr">
        <is>
          <t>Kota Langsa</t>
        </is>
      </c>
      <c r="C64" t="inlineStr">
        <is>
          <t>081375782915</t>
        </is>
      </c>
      <c r="D64" t="inlineStr">
        <is>
          <t>elangpantaikonstruksi@gmail.com</t>
        </is>
      </c>
      <c r="E64" t="inlineStr">
        <is>
          <t>https://lpjk.pu.go.id/search-badan-usaha-detail/dVc0NWxoV2dTdkp1Rm5YdllScllrQT09</t>
        </is>
      </c>
      <c r="F64" t="n">
        <v>2</v>
      </c>
      <c r="G64" t="inlineStr">
        <is>
          <t>BS001</t>
        </is>
      </c>
      <c r="H64" t="inlineStr">
        <is>
          <t>24 Oktober 2001</t>
        </is>
      </c>
      <c r="I64" s="2" t="n">
        <v>46263</v>
      </c>
      <c r="J64" t="inlineStr">
        <is>
          <t>Disetujui</t>
        </is>
      </c>
      <c r="K64" t="n">
        <v>60</v>
      </c>
      <c r="L64" t="inlineStr">
        <is>
          <t>29 Agustus 2026</t>
        </is>
      </c>
      <c r="M64" t="inlineStr">
        <is>
          <t>Konstruksi Bangunan Sipil Jalan</t>
        </is>
      </c>
      <c r="N64" t="inlineStr">
        <is>
          <t>K</t>
        </is>
      </c>
      <c r="O64" t="inlineStr">
        <is>
          <t>20230810</t>
        </is>
      </c>
      <c r="P64" t="inlineStr">
        <is>
          <t>Aceh</t>
        </is>
      </c>
      <c r="Q64" t="inlineStr"/>
    </row>
    <row r="65">
      <c r="A65" t="inlineStr">
        <is>
          <t>ELFA</t>
        </is>
      </c>
      <c r="B65" t="inlineStr">
        <is>
          <t>Kab. Sampang</t>
        </is>
      </c>
      <c r="C65" t="inlineStr">
        <is>
          <t>-</t>
        </is>
      </c>
      <c r="D65" t="inlineStr">
        <is>
          <t>cv.elva23@gmail.com</t>
        </is>
      </c>
      <c r="E65" t="inlineStr">
        <is>
          <t>https://lpjk.pu.go.id/search-badan-usaha-detail/NGplY1BsY0NxckcveDNKSDIrdVFlQT09</t>
        </is>
      </c>
      <c r="F65" t="n">
        <v>2</v>
      </c>
      <c r="G65" t="inlineStr">
        <is>
          <t>BG001, BG009</t>
        </is>
      </c>
      <c r="H65" t="inlineStr">
        <is>
          <t>22 Maret 2018</t>
        </is>
      </c>
      <c r="I65" s="2" t="n">
        <v>46263</v>
      </c>
      <c r="J65" t="inlineStr">
        <is>
          <t>Disetujui</t>
        </is>
      </c>
      <c r="K65" t="n">
        <v>60</v>
      </c>
      <c r="L65" t="inlineStr">
        <is>
          <t>29 Agustus 2026</t>
        </is>
      </c>
      <c r="M65" t="inlineStr">
        <is>
          <t>Konstruksi Gedung Hunian, Konstruksi Gedung Lainnya</t>
        </is>
      </c>
      <c r="N65" t="inlineStr">
        <is>
          <t>K</t>
        </is>
      </c>
      <c r="O65" t="inlineStr">
        <is>
          <t>20230821, 20230824</t>
        </is>
      </c>
      <c r="P65" t="inlineStr">
        <is>
          <t>Jawa Timur</t>
        </is>
      </c>
      <c r="Q65" t="inlineStr"/>
    </row>
    <row r="66">
      <c r="A66" t="inlineStr">
        <is>
          <t>EMPAT BINTANG PAPUA</t>
        </is>
      </c>
      <c r="B66" t="inlineStr">
        <is>
          <t>Kab. Merauke</t>
        </is>
      </c>
      <c r="C66" t="inlineStr">
        <is>
          <t>082199966325</t>
        </is>
      </c>
      <c r="D66" t="inlineStr">
        <is>
          <t>empatbintangp@gmail.com</t>
        </is>
      </c>
      <c r="E66" t="inlineStr">
        <is>
          <t>https://lpjk.pu.go.id/search-badan-usaha-detail/NGYwek1JYjM2M1VxREg0VUtMWlh3UT09</t>
        </is>
      </c>
      <c r="F66" t="n">
        <v>1</v>
      </c>
      <c r="G66" t="inlineStr">
        <is>
          <t>BS005</t>
        </is>
      </c>
      <c r="H66" t="inlineStr">
        <is>
          <t>25 Januari 2016</t>
        </is>
      </c>
      <c r="I66" s="2" t="n">
        <v>46263</v>
      </c>
      <c r="J66" t="inlineStr">
        <is>
          <t>Disetujui</t>
        </is>
      </c>
      <c r="K66" t="n">
        <v>60</v>
      </c>
      <c r="L66" t="inlineStr">
        <is>
          <t>29 Agustus 2026</t>
        </is>
      </c>
      <c r="M66" t="inlineStr">
        <is>
          <t>Konstruksi Bangunan Sipil Pengolahan Air Bersih</t>
        </is>
      </c>
      <c r="N66" t="inlineStr">
        <is>
          <t>K</t>
        </is>
      </c>
      <c r="O66" t="inlineStr">
        <is>
          <t>20230828</t>
        </is>
      </c>
      <c r="P66" t="inlineStr">
        <is>
          <t>Papua Selatan</t>
        </is>
      </c>
      <c r="Q66" t="inlineStr"/>
    </row>
    <row r="67">
      <c r="A67" t="inlineStr">
        <is>
          <t>ESA SURYA ARCAPADA</t>
        </is>
      </c>
      <c r="B67" t="inlineStr">
        <is>
          <t>Kab. Malang</t>
        </is>
      </c>
      <c r="C67" t="inlineStr">
        <is>
          <t>08123252303</t>
        </is>
      </c>
      <c r="D67" t="inlineStr">
        <is>
          <t>pt.esasuryaarcapada@gmail.com</t>
        </is>
      </c>
      <c r="E67" t="inlineStr">
        <is>
          <t>https://lpjk.pu.go.id/search-badan-usaha-detail/ZzlKeTRFd2FKNXRFdWhteXh5MXRHdz09</t>
        </is>
      </c>
      <c r="F67" t="n">
        <v>2</v>
      </c>
      <c r="G67" t="inlineStr">
        <is>
          <t>BG005, BG008</t>
        </is>
      </c>
      <c r="H67" t="inlineStr">
        <is>
          <t>23 Maret 2011</t>
        </is>
      </c>
      <c r="I67" s="2" t="n">
        <v>46263</v>
      </c>
      <c r="J67" t="inlineStr">
        <is>
          <t>Disetujui, Pencabutan</t>
        </is>
      </c>
      <c r="K67" t="n">
        <v>60</v>
      </c>
      <c r="L67" t="inlineStr">
        <is>
          <t>29 Agustus 2026</t>
        </is>
      </c>
      <c r="M67" t="inlineStr">
        <is>
          <t>Konstruksi Gedung Kesehatan, Konstruksi Gedung Tempat Hiburan dan Olahraga</t>
        </is>
      </c>
      <c r="N67" t="inlineStr">
        <is>
          <t>K</t>
        </is>
      </c>
      <c r="O67" t="inlineStr">
        <is>
          <t>20230825</t>
        </is>
      </c>
      <c r="P67" t="inlineStr">
        <is>
          <t>Jawa Timur</t>
        </is>
      </c>
      <c r="Q67" t="inlineStr"/>
    </row>
    <row r="68">
      <c r="A68" t="inlineStr">
        <is>
          <t>FADIYA KENCANA</t>
        </is>
      </c>
      <c r="B68" t="inlineStr">
        <is>
          <t>Kota Surakarta</t>
        </is>
      </c>
      <c r="C68" t="inlineStr">
        <is>
          <t>085229456333</t>
        </is>
      </c>
      <c r="D68" t="inlineStr">
        <is>
          <t>Grahatama@ymail.com</t>
        </is>
      </c>
      <c r="E68" t="inlineStr">
        <is>
          <t>https://lpjk.pu.go.id/search-badan-usaha-detail/d1FjdGpRcDJnbFYvTDZPbnFKZzUyWUYxazFMNVluTDB1ZTlsSDZxK0RSOD0</t>
        </is>
      </c>
      <c r="F68" t="n">
        <v>3</v>
      </c>
      <c r="G68" t="inlineStr">
        <is>
          <t>BG009</t>
        </is>
      </c>
      <c r="H68" t="inlineStr">
        <is>
          <t>20 Februari 2008</t>
        </is>
      </c>
      <c r="I68" s="2" t="n">
        <v>46263</v>
      </c>
      <c r="J68" t="inlineStr">
        <is>
          <t>Disetujui</t>
        </is>
      </c>
      <c r="K68" t="n">
        <v>60</v>
      </c>
      <c r="L68" t="inlineStr">
        <is>
          <t>29 Agustus 2026</t>
        </is>
      </c>
      <c r="M68" t="inlineStr">
        <is>
          <t>Konstruksi Gedung Lainnya</t>
        </is>
      </c>
      <c r="N68" t="inlineStr">
        <is>
          <t>K</t>
        </is>
      </c>
      <c r="O68" t="inlineStr">
        <is>
          <t>20230821</t>
        </is>
      </c>
      <c r="P68" t="inlineStr">
        <is>
          <t>Jawa Tengah</t>
        </is>
      </c>
      <c r="Q68" t="inlineStr"/>
    </row>
    <row r="69">
      <c r="A69" t="inlineStr">
        <is>
          <t>FADLLI ROBBII</t>
        </is>
      </c>
      <c r="B69" t="inlineStr">
        <is>
          <t>Kab. Cianjur</t>
        </is>
      </c>
      <c r="C69" t="inlineStr">
        <is>
          <t>089633014045</t>
        </is>
      </c>
      <c r="D69" t="inlineStr">
        <is>
          <t>cv.fadllirabbii@gmail.com</t>
        </is>
      </c>
      <c r="E69" t="inlineStr">
        <is>
          <t>https://lpjk.pu.go.id/search-badan-usaha-detail/elFHRElVVmdTdTNHbW5NL1kxSklsdz09</t>
        </is>
      </c>
      <c r="F69" t="n">
        <v>1</v>
      </c>
      <c r="G69" t="inlineStr">
        <is>
          <t>BG006</t>
        </is>
      </c>
      <c r="H69" t="inlineStr">
        <is>
          <t>18 April 2022</t>
        </is>
      </c>
      <c r="I69" s="2" t="n">
        <v>46263</v>
      </c>
      <c r="J69" t="inlineStr">
        <is>
          <t>Pencabutan</t>
        </is>
      </c>
      <c r="K69" t="n">
        <v>60</v>
      </c>
      <c r="L69" t="inlineStr">
        <is>
          <t>29 Agustus 2026</t>
        </is>
      </c>
      <c r="M69" t="inlineStr">
        <is>
          <t>Konstruksi Gedung Pendidikan</t>
        </is>
      </c>
      <c r="N69" t="inlineStr">
        <is>
          <t>K</t>
        </is>
      </c>
      <c r="O69" t="inlineStr">
        <is>
          <t>20230829</t>
        </is>
      </c>
      <c r="P69" t="inlineStr">
        <is>
          <t>Jawa Barat</t>
        </is>
      </c>
      <c r="Q69" t="inlineStr"/>
    </row>
    <row r="70">
      <c r="A70" t="inlineStr">
        <is>
          <t>GARDA</t>
        </is>
      </c>
      <c r="B70" t="inlineStr">
        <is>
          <t>Kota Jambi</t>
        </is>
      </c>
      <c r="C70" t="inlineStr">
        <is>
          <t>08127879133</t>
        </is>
      </c>
      <c r="D70" t="inlineStr">
        <is>
          <t>gardacv01@gmail.com</t>
        </is>
      </c>
      <c r="E70" t="inlineStr">
        <is>
          <t>https://lpjk.pu.go.id/search-badan-usaha-detail/L0FnTlpjU0RJY21HWDl3R0RKLzFiQT09</t>
        </is>
      </c>
      <c r="F70" t="n">
        <v>4</v>
      </c>
      <c r="G70" t="inlineStr">
        <is>
          <t>BG006, BG009, BS001, BS010</t>
        </is>
      </c>
      <c r="H70" t="inlineStr">
        <is>
          <t>23 Juni 2008</t>
        </is>
      </c>
      <c r="I70" s="2" t="n">
        <v>46263</v>
      </c>
      <c r="J70" t="inlineStr">
        <is>
          <t>Disetujui</t>
        </is>
      </c>
      <c r="K70" t="n">
        <v>60</v>
      </c>
      <c r="L70" t="inlineStr">
        <is>
          <t>29 Agustus 2026</t>
        </is>
      </c>
      <c r="M70" t="inlineStr">
        <is>
          <t>Konstruksi Bangunan Prasarana Sumber Daya Air, Konstruksi Bangunan Sipil Jalan, Konstruksi Gedung Lainnya, Konstruksi Gedung Pendidikan</t>
        </is>
      </c>
      <c r="N70" t="inlineStr">
        <is>
          <t>K</t>
        </is>
      </c>
      <c r="O70" t="inlineStr">
        <is>
          <t>20230309, 20230821</t>
        </is>
      </c>
      <c r="P70" t="inlineStr">
        <is>
          <t>Jambi</t>
        </is>
      </c>
      <c r="Q70" t="inlineStr"/>
    </row>
    <row r="71">
      <c r="A71" t="inlineStr">
        <is>
          <t>GARDA PERKASA</t>
        </is>
      </c>
      <c r="B71" t="inlineStr">
        <is>
          <t>Kab. Tulungagung</t>
        </is>
      </c>
      <c r="C71" t="inlineStr">
        <is>
          <t>081217866484</t>
        </is>
      </c>
      <c r="D71" t="inlineStr">
        <is>
          <t>gardaperkasa.cv@gmail.com</t>
        </is>
      </c>
      <c r="E71" t="inlineStr">
        <is>
          <t>https://lpjk.pu.go.id/search-badan-usaha-detail/UXJsSE1wZ1J1SzltdWR4L0RSKzU2QT09</t>
        </is>
      </c>
      <c r="F71" t="n">
        <v>6</v>
      </c>
      <c r="G71" t="inlineStr">
        <is>
          <t>BG002, BG004, BG005, BG006</t>
        </is>
      </c>
      <c r="H71" t="inlineStr">
        <is>
          <t>20 Februari 2002</t>
        </is>
      </c>
      <c r="I71" s="2" t="n">
        <v>46263</v>
      </c>
      <c r="J71" t="inlineStr">
        <is>
          <t>Disetujui</t>
        </is>
      </c>
      <c r="K71" t="n">
        <v>60</v>
      </c>
      <c r="L71" t="inlineStr">
        <is>
          <t>29 Agustus 2026</t>
        </is>
      </c>
      <c r="M71" t="inlineStr">
        <is>
          <t>Konstruksi Gedung Kesehatan, Konstruksi Gedung Pendidikan, Konstruksi Gedung Perbelanjaan, Konstruksi Gedung Perkantoran</t>
        </is>
      </c>
      <c r="N71" t="inlineStr">
        <is>
          <t>K</t>
        </is>
      </c>
      <c r="O71" t="inlineStr">
        <is>
          <t>20230825</t>
        </is>
      </c>
      <c r="P71" t="inlineStr">
        <is>
          <t>Jawa Timur</t>
        </is>
      </c>
      <c r="Q71" t="inlineStr"/>
    </row>
    <row r="72">
      <c r="A72" t="inlineStr">
        <is>
          <t>GATRA CONSULTANT</t>
        </is>
      </c>
      <c r="B72" t="inlineStr">
        <is>
          <t>Kota Pekanbaru</t>
        </is>
      </c>
      <c r="C72" t="inlineStr">
        <is>
          <t>0811756907</t>
        </is>
      </c>
      <c r="D72" t="inlineStr">
        <is>
          <t>gatracons@gmail.com</t>
        </is>
      </c>
      <c r="E72" t="inlineStr">
        <is>
          <t>https://lpjk.pu.go.id/search-badan-usaha-detail/c2FtUUpiMUhBUHlLa3Q2YmVLdkJBQT09</t>
        </is>
      </c>
      <c r="F72" t="n">
        <v>2</v>
      </c>
      <c r="G72" t="inlineStr">
        <is>
          <t>RK001, RK002</t>
        </is>
      </c>
      <c r="H72" t="inlineStr">
        <is>
          <t>7 Desember 2011</t>
        </is>
      </c>
      <c r="I72" s="2" t="n">
        <v>46263</v>
      </c>
      <c r="J72" t="inlineStr">
        <is>
          <t>Pencabutan</t>
        </is>
      </c>
      <c r="K72" t="n">
        <v>60</v>
      </c>
      <c r="L72" t="inlineStr">
        <is>
          <t>29 Agustus 2026</t>
        </is>
      </c>
      <c r="M72" t="inlineStr">
        <is>
          <t>Jasa Rekayasa Konstruksi Bangunan Gedung Hunian dan Non Hunian, Jasa Rekayasa Pekerjaan Teknik Sipil Sumber Daya Air</t>
        </is>
      </c>
      <c r="N72" t="inlineStr">
        <is>
          <t>K</t>
        </is>
      </c>
      <c r="O72" t="inlineStr">
        <is>
          <t>20230512</t>
        </is>
      </c>
      <c r="P72" t="inlineStr">
        <is>
          <t>Riau</t>
        </is>
      </c>
      <c r="Q72" t="inlineStr"/>
    </row>
    <row r="73">
      <c r="A73" t="inlineStr">
        <is>
          <t>GEONUSA AMERTA NURAGA</t>
        </is>
      </c>
      <c r="B73" t="inlineStr">
        <is>
          <t>Kota Bandung</t>
        </is>
      </c>
      <c r="C73" t="inlineStr">
        <is>
          <t>082117042889</t>
        </is>
      </c>
      <c r="D73" t="inlineStr">
        <is>
          <t>geonusaamerta.nuraga@gmail.com</t>
        </is>
      </c>
      <c r="E73" t="inlineStr">
        <is>
          <t>https://lpjk.pu.go.id/search-badan-usaha-detail/b0h4VTBmcnZVNktoSnFmYU1WR1Bydz09</t>
        </is>
      </c>
      <c r="F73" t="n">
        <v>3</v>
      </c>
      <c r="G73" t="inlineStr">
        <is>
          <t>AR001, AR002, AR003</t>
        </is>
      </c>
      <c r="H73" t="inlineStr">
        <is>
          <t>17 Februari 2023</t>
        </is>
      </c>
      <c r="I73" s="2" t="n">
        <v>46263</v>
      </c>
      <c r="J73" t="inlineStr">
        <is>
          <t>Disetujui</t>
        </is>
      </c>
      <c r="K73" t="n">
        <v>60</v>
      </c>
      <c r="L73" t="inlineStr">
        <is>
          <t>29 Agustus 2026</t>
        </is>
      </c>
      <c r="M73" t="inlineStr">
        <is>
          <t>Jasa Arsitektural Bangunan Gedung Hunian dan Non Hunian, Jasa Arsitektural Lainnya, Jasa Desain Interior pada Bangunan Gedung dan Bangunan Sipil</t>
        </is>
      </c>
      <c r="N73" t="inlineStr">
        <is>
          <t>K</t>
        </is>
      </c>
      <c r="O73" t="inlineStr">
        <is>
          <t>20230816</t>
        </is>
      </c>
      <c r="P73" t="inlineStr">
        <is>
          <t>Jawa Barat</t>
        </is>
      </c>
      <c r="Q73" t="inlineStr"/>
    </row>
    <row r="74">
      <c r="A74" t="inlineStr">
        <is>
          <t>GITA PRATAMA LESTARI</t>
        </is>
      </c>
      <c r="B74" t="inlineStr">
        <is>
          <t>Kab. Ciamis</t>
        </is>
      </c>
      <c r="C74" t="inlineStr">
        <is>
          <t>082218652158</t>
        </is>
      </c>
      <c r="D74" t="inlineStr">
        <is>
          <t>pt.gplestari@gmail.com</t>
        </is>
      </c>
      <c r="E74" t="inlineStr">
        <is>
          <t>https://lpjk.pu.go.id/search-badan-usaha-detail/MWk5eTZyekhBZmlRSHNrTUs3M3pOUT09</t>
        </is>
      </c>
      <c r="F74" t="n">
        <v>1</v>
      </c>
      <c r="G74" t="inlineStr">
        <is>
          <t>BS001</t>
        </is>
      </c>
      <c r="H74" t="inlineStr">
        <is>
          <t>27 Juli 2023</t>
        </is>
      </c>
      <c r="I74" s="2" t="n">
        <v>46263</v>
      </c>
      <c r="J74" t="inlineStr">
        <is>
          <t>Disetujui</t>
        </is>
      </c>
      <c r="K74" t="n">
        <v>60</v>
      </c>
      <c r="L74" t="inlineStr">
        <is>
          <t>29 Agustus 2026</t>
        </is>
      </c>
      <c r="M74" t="inlineStr">
        <is>
          <t>Konstruksi Bangunan Sipil Jalan</t>
        </is>
      </c>
      <c r="N74" t="inlineStr">
        <is>
          <t>K</t>
        </is>
      </c>
      <c r="O74" t="inlineStr">
        <is>
          <t>20230824</t>
        </is>
      </c>
      <c r="P74" t="inlineStr">
        <is>
          <t>Jawa Barat</t>
        </is>
      </c>
      <c r="Q74" t="inlineStr"/>
    </row>
    <row r="75">
      <c r="A75" t="inlineStr">
        <is>
          <t>GRAHA RAHARJA</t>
        </is>
      </c>
      <c r="B75" t="inlineStr">
        <is>
          <t>Kab. Lamongan</t>
        </is>
      </c>
      <c r="C75" t="inlineStr">
        <is>
          <t>081339305098</t>
        </is>
      </c>
      <c r="D75" t="inlineStr">
        <is>
          <t>graharaharja10@gmail.com</t>
        </is>
      </c>
      <c r="E75" t="inlineStr">
        <is>
          <t>https://lpjk.pu.go.id/search-badan-usaha-detail/VUQzMkR5VXpqTkhQRVJndDJNcWVMUT09</t>
        </is>
      </c>
      <c r="F75" t="n">
        <v>1</v>
      </c>
      <c r="G75" t="inlineStr">
        <is>
          <t>BS005</t>
        </is>
      </c>
      <c r="H75" t="inlineStr">
        <is>
          <t>21 Maret 2016</t>
        </is>
      </c>
      <c r="I75" s="2" t="n">
        <v>46263</v>
      </c>
      <c r="J75" t="inlineStr">
        <is>
          <t>Disetujui</t>
        </is>
      </c>
      <c r="K75" t="n">
        <v>60</v>
      </c>
      <c r="L75" t="inlineStr">
        <is>
          <t>29 Agustus 2026</t>
        </is>
      </c>
      <c r="M75" t="inlineStr">
        <is>
          <t>Konstruksi Bangunan Sipil Pengolahan Air Bersih</t>
        </is>
      </c>
      <c r="N75" t="inlineStr">
        <is>
          <t>K</t>
        </is>
      </c>
      <c r="O75" t="inlineStr">
        <is>
          <t>20230823</t>
        </is>
      </c>
      <c r="P75" t="inlineStr">
        <is>
          <t>Jawa Timur</t>
        </is>
      </c>
      <c r="Q75" t="inlineStr"/>
    </row>
    <row r="76">
      <c r="A76" t="inlineStr">
        <is>
          <t>GRINATA KARYA</t>
        </is>
      </c>
      <c r="B76" t="inlineStr">
        <is>
          <t>Kab. Gresik</t>
        </is>
      </c>
      <c r="C76" t="inlineStr">
        <is>
          <t>082142121111</t>
        </is>
      </c>
      <c r="D76" t="inlineStr">
        <is>
          <t>cv.grinatakarya@gmail.com</t>
        </is>
      </c>
      <c r="E76" t="inlineStr">
        <is>
          <t>https://lpjk.pu.go.id/search-badan-usaha-detail/WDVvLzNvMmNmS3k2SVZrZjFWRysvZz09</t>
        </is>
      </c>
      <c r="F76" t="n">
        <v>2</v>
      </c>
      <c r="G76" t="inlineStr">
        <is>
          <t>BG005, BG006</t>
        </is>
      </c>
      <c r="H76" t="inlineStr">
        <is>
          <t>17 November 2022</t>
        </is>
      </c>
      <c r="I76" s="2" t="n">
        <v>46263</v>
      </c>
      <c r="J76" t="inlineStr">
        <is>
          <t>Pencabutan</t>
        </is>
      </c>
      <c r="K76" t="n">
        <v>60</v>
      </c>
      <c r="L76" t="inlineStr">
        <is>
          <t>29 Agustus 2026</t>
        </is>
      </c>
      <c r="M76" t="inlineStr">
        <is>
          <t>Konstruksi Gedung Kesehatan, Konstruksi Gedung Pendidikan</t>
        </is>
      </c>
      <c r="N76" t="inlineStr">
        <is>
          <t>K</t>
        </is>
      </c>
      <c r="O76" t="inlineStr">
        <is>
          <t>20230818, 20230820</t>
        </is>
      </c>
      <c r="P76" t="inlineStr">
        <is>
          <t>Jawa Timur</t>
        </is>
      </c>
      <c r="Q76" t="inlineStr"/>
    </row>
    <row r="77">
      <c r="A77" t="inlineStr">
        <is>
          <t>GUNUNG UDIK</t>
        </is>
      </c>
      <c r="B77" t="inlineStr">
        <is>
          <t>Kota Bandar Lampung</t>
        </is>
      </c>
      <c r="C77" t="inlineStr">
        <is>
          <t>085829701682</t>
        </is>
      </c>
      <c r="D77" t="inlineStr">
        <is>
          <t>cvgunungudik@gmail.com</t>
        </is>
      </c>
      <c r="E77" t="inlineStr">
        <is>
          <t>https://lpjk.pu.go.id/search-badan-usaha-detail/Y2M1aWpucUIrMm1zT1NPcEx1QWllQT09</t>
        </is>
      </c>
      <c r="F77" t="n">
        <v>2</v>
      </c>
      <c r="G77" t="inlineStr">
        <is>
          <t>BS001, BS002</t>
        </is>
      </c>
      <c r="H77" t="inlineStr">
        <is>
          <t>7 Agustus 1997</t>
        </is>
      </c>
      <c r="I77" s="2" t="n">
        <v>46263</v>
      </c>
      <c r="J77" t="inlineStr">
        <is>
          <t>Disetujui</t>
        </is>
      </c>
      <c r="K77" t="n">
        <v>60</v>
      </c>
      <c r="L77" t="inlineStr">
        <is>
          <t>29 Agustus 2026</t>
        </is>
      </c>
      <c r="M77" t="inlineStr">
        <is>
          <t>Bangunan Sipil Jembatan, Jalan Layang, Fly Over, dan Underpass, Konstruksi Bangunan Sipil Jalan</t>
        </is>
      </c>
      <c r="N77" t="inlineStr">
        <is>
          <t>K</t>
        </is>
      </c>
      <c r="O77" t="inlineStr">
        <is>
          <t>20230822</t>
        </is>
      </c>
      <c r="P77" t="inlineStr">
        <is>
          <t>Lampung</t>
        </is>
      </c>
      <c r="Q77" t="inlineStr"/>
    </row>
    <row r="78">
      <c r="A78" t="inlineStr">
        <is>
          <t>HARAPAN BARU TEKNIK</t>
        </is>
      </c>
      <c r="B78" t="inlineStr">
        <is>
          <t>Kota Banjarmasin</t>
        </is>
      </c>
      <c r="C78" t="inlineStr">
        <is>
          <t>085332523252</t>
        </is>
      </c>
      <c r="D78" t="inlineStr">
        <is>
          <t>harapanbaruteknik.bjm@gmail.com</t>
        </is>
      </c>
      <c r="E78" t="inlineStr">
        <is>
          <t>https://lpjk.pu.go.id/search-badan-usaha-detail/SjIvTWk1dU55VUdKd3hFL1BmZjEwdz09</t>
        </is>
      </c>
      <c r="F78" t="n">
        <v>4</v>
      </c>
      <c r="G78" t="inlineStr">
        <is>
          <t>BG005, BG006, BG009, BS004</t>
        </is>
      </c>
      <c r="H78" t="inlineStr">
        <is>
          <t>31 Mei 2016</t>
        </is>
      </c>
      <c r="I78" s="2" t="n">
        <v>46263</v>
      </c>
      <c r="J78" t="inlineStr">
        <is>
          <t>Disetujui</t>
        </is>
      </c>
      <c r="K78" t="n">
        <v>60</v>
      </c>
      <c r="L78" t="inlineStr">
        <is>
          <t>29 Agustus 2026</t>
        </is>
      </c>
      <c r="M78" t="inlineStr">
        <is>
          <t>Konstruksi Gedung Kesehatan, Konstruksi Gedung Lainnya, Konstruksi Gedung Pendidikan, Konstruksi Jaringan Irigasi dan Drainase</t>
        </is>
      </c>
      <c r="N78" t="inlineStr">
        <is>
          <t>K</t>
        </is>
      </c>
      <c r="O78" t="inlineStr">
        <is>
          <t>20230810, 20230823</t>
        </is>
      </c>
      <c r="P78" t="inlineStr">
        <is>
          <t>Kalimantan Selatan</t>
        </is>
      </c>
      <c r="Q78" t="inlineStr"/>
    </row>
    <row r="79">
      <c r="A79" t="inlineStr">
        <is>
          <t>HIKMAH</t>
        </is>
      </c>
      <c r="B79" t="inlineStr">
        <is>
          <t>Kab. Banggai</t>
        </is>
      </c>
      <c r="C79" t="inlineStr">
        <is>
          <t>082292946251</t>
        </is>
      </c>
      <c r="D79" t="inlineStr">
        <is>
          <t>nhana1008@gmail.com</t>
        </is>
      </c>
      <c r="E79" t="inlineStr">
        <is>
          <t>https://lpjk.pu.go.id/search-badan-usaha-detail/SW9oTXlkWnh4NHlodDYzZGNQTFFzUT09</t>
        </is>
      </c>
      <c r="F79" t="n">
        <v>1</v>
      </c>
      <c r="G79" t="inlineStr">
        <is>
          <t>BG006</t>
        </is>
      </c>
      <c r="H79" t="inlineStr">
        <is>
          <t>8 Maret 1983</t>
        </is>
      </c>
      <c r="I79" s="2" t="n">
        <v>46263</v>
      </c>
      <c r="J79" t="inlineStr">
        <is>
          <t>Disetujui</t>
        </is>
      </c>
      <c r="K79" t="n">
        <v>60</v>
      </c>
      <c r="L79" t="inlineStr">
        <is>
          <t>29 Agustus 2026</t>
        </is>
      </c>
      <c r="M79" t="inlineStr">
        <is>
          <t>Konstruksi Gedung Pendidikan</t>
        </is>
      </c>
      <c r="N79" t="inlineStr">
        <is>
          <t>K</t>
        </is>
      </c>
      <c r="O79" t="inlineStr">
        <is>
          <t>20230830</t>
        </is>
      </c>
      <c r="P79" t="inlineStr">
        <is>
          <t>Sulawesi Tengah</t>
        </is>
      </c>
      <c r="Q79" t="inlineStr"/>
    </row>
    <row r="80">
      <c r="A80" t="inlineStr">
        <is>
          <t>HORISON KARYA</t>
        </is>
      </c>
      <c r="B80" t="inlineStr">
        <is>
          <t>Kab. Banyuwangi</t>
        </is>
      </c>
      <c r="C80" t="inlineStr">
        <is>
          <t>081359566182</t>
        </is>
      </c>
      <c r="D80" t="inlineStr">
        <is>
          <t>horisonkarya@gmail.com</t>
        </is>
      </c>
      <c r="E80" t="inlineStr">
        <is>
          <t>https://lpjk.pu.go.id/search-badan-usaha-detail/VVQ3ME1BeDQ1TlVQdDlzb3Q0QUJhUT09</t>
        </is>
      </c>
      <c r="F80" t="n">
        <v>1</v>
      </c>
      <c r="G80" t="inlineStr">
        <is>
          <t>BG006</t>
        </is>
      </c>
      <c r="H80" t="inlineStr">
        <is>
          <t>9 April 2008</t>
        </is>
      </c>
      <c r="I80" s="2" t="n">
        <v>46263</v>
      </c>
      <c r="J80" t="inlineStr">
        <is>
          <t>Pencabutan</t>
        </is>
      </c>
      <c r="K80" t="n">
        <v>60</v>
      </c>
      <c r="L80" t="inlineStr">
        <is>
          <t>29 Agustus 2026</t>
        </is>
      </c>
      <c r="M80" t="inlineStr">
        <is>
          <t>Konstruksi Gedung Pendidikan</t>
        </is>
      </c>
      <c r="N80" t="inlineStr">
        <is>
          <t>K</t>
        </is>
      </c>
      <c r="O80" t="inlineStr">
        <is>
          <t>20230823</t>
        </is>
      </c>
      <c r="P80" t="inlineStr">
        <is>
          <t>Jawa Timur</t>
        </is>
      </c>
      <c r="Q80" t="inlineStr"/>
    </row>
    <row r="81">
      <c r="A81" t="inlineStr">
        <is>
          <t>ILHAM JAYA ABADI</t>
        </is>
      </c>
      <c r="B81" t="inlineStr">
        <is>
          <t>Kota Makassar</t>
        </is>
      </c>
      <c r="C81" t="inlineStr">
        <is>
          <t>081241013203</t>
        </is>
      </c>
      <c r="D81" t="inlineStr">
        <is>
          <t>ilham_muhammad0358@yahoo.com</t>
        </is>
      </c>
      <c r="E81" t="inlineStr">
        <is>
          <t>https://lpjk.pu.go.id/search-badan-usaha-detail/S08rWm90a21oVEFYOFBMaDlQQm44dz09</t>
        </is>
      </c>
      <c r="F81" t="n">
        <v>3</v>
      </c>
      <c r="G81" t="inlineStr">
        <is>
          <t>BS001, BS004, BS005</t>
        </is>
      </c>
      <c r="H81" t="inlineStr">
        <is>
          <t>16 Oktober 2014</t>
        </is>
      </c>
      <c r="I81" s="2" t="n">
        <v>46263</v>
      </c>
      <c r="J81" t="inlineStr">
        <is>
          <t>Disetujui</t>
        </is>
      </c>
      <c r="K81" t="n">
        <v>60</v>
      </c>
      <c r="L81" t="inlineStr">
        <is>
          <t>29 Agustus 2026</t>
        </is>
      </c>
      <c r="M81" t="inlineStr">
        <is>
          <t>Konstruksi Bangunan Sipil Jalan, Konstruksi Bangunan Sipil Pengolahan Air Bersih, Konstruksi Jaringan Irigasi dan Drainase</t>
        </is>
      </c>
      <c r="N81" t="inlineStr">
        <is>
          <t>K</t>
        </is>
      </c>
      <c r="O81" t="inlineStr">
        <is>
          <t>20230816, 20230825</t>
        </is>
      </c>
      <c r="P81" t="inlineStr">
        <is>
          <t>Sulawesi Selatan</t>
        </is>
      </c>
      <c r="Q81" t="inlineStr"/>
    </row>
    <row r="82">
      <c r="A82" t="inlineStr">
        <is>
          <t>ILHAM JAYA KONSTRUKSI</t>
        </is>
      </c>
      <c r="B82" t="inlineStr">
        <is>
          <t>Kab. Soppeng</t>
        </is>
      </c>
      <c r="C82" t="inlineStr">
        <is>
          <t>081342260667</t>
        </is>
      </c>
      <c r="D82" t="inlineStr">
        <is>
          <t>ilhamjayakonstruksi@yahoo.com</t>
        </is>
      </c>
      <c r="E82" t="inlineStr">
        <is>
          <t>https://lpjk.pu.go.id/search-badan-usaha-detail/NXNnVWk5WFFKaWEwU3ZLNnl4TkhMQT09</t>
        </is>
      </c>
      <c r="F82" t="n">
        <v>1</v>
      </c>
      <c r="G82" t="inlineStr">
        <is>
          <t>BS004</t>
        </is>
      </c>
      <c r="H82" t="inlineStr">
        <is>
          <t>13 Februari 1993</t>
        </is>
      </c>
      <c r="I82" s="2" t="n">
        <v>46263</v>
      </c>
      <c r="J82" t="inlineStr">
        <is>
          <t>Disetujui</t>
        </is>
      </c>
      <c r="K82" t="n">
        <v>60</v>
      </c>
      <c r="L82" t="inlineStr">
        <is>
          <t>29 Agustus 2026</t>
        </is>
      </c>
      <c r="M82" t="inlineStr">
        <is>
          <t>Konstruksi Jaringan Irigasi dan Drainase</t>
        </is>
      </c>
      <c r="N82" t="inlineStr">
        <is>
          <t>K</t>
        </is>
      </c>
      <c r="O82" t="inlineStr">
        <is>
          <t>20230819</t>
        </is>
      </c>
      <c r="P82" t="inlineStr">
        <is>
          <t>Sulawesi Selatan</t>
        </is>
      </c>
      <c r="Q82" t="inlineStr"/>
    </row>
    <row r="83">
      <c r="A83" t="inlineStr">
        <is>
          <t>INDAH CONSTRUKSI</t>
        </is>
      </c>
      <c r="B83" t="inlineStr">
        <is>
          <t>Kab. Agam</t>
        </is>
      </c>
      <c r="C83" t="inlineStr">
        <is>
          <t>0752647244</t>
        </is>
      </c>
      <c r="D83" t="inlineStr">
        <is>
          <t>cvindahconstruksi@gmail.com</t>
        </is>
      </c>
      <c r="E83" t="inlineStr">
        <is>
          <t>https://lpjk.pu.go.id/search-badan-usaha-detail/OTE0cmx5c0NZVW1rdkw4bzNoTE93UT09</t>
        </is>
      </c>
      <c r="F83" t="n">
        <v>2</v>
      </c>
      <c r="G83" t="inlineStr">
        <is>
          <t>BS001, BS004</t>
        </is>
      </c>
      <c r="H83" t="inlineStr">
        <is>
          <t>1 September 1993</t>
        </is>
      </c>
      <c r="I83" s="2" t="n">
        <v>46263</v>
      </c>
      <c r="J83" t="inlineStr">
        <is>
          <t>Disetujui</t>
        </is>
      </c>
      <c r="K83" t="n">
        <v>60</v>
      </c>
      <c r="L83" t="inlineStr">
        <is>
          <t>29 Agustus 2026</t>
        </is>
      </c>
      <c r="M83" t="inlineStr">
        <is>
          <t>Konstruksi Bangunan Sipil Jalan, Konstruksi Jaringan Irigasi dan Drainase</t>
        </is>
      </c>
      <c r="N83" t="inlineStr">
        <is>
          <t>K</t>
        </is>
      </c>
      <c r="O83" t="inlineStr">
        <is>
          <t>20230828</t>
        </is>
      </c>
      <c r="P83" t="inlineStr">
        <is>
          <t>Sumatera Barat</t>
        </is>
      </c>
      <c r="Q83" t="inlineStr"/>
    </row>
    <row r="84">
      <c r="A84" t="inlineStr">
        <is>
          <t>INDAH JAYA KONSTRUKSI</t>
        </is>
      </c>
      <c r="B84" t="inlineStr">
        <is>
          <t>Kota Pontianak</t>
        </is>
      </c>
      <c r="C84" t="inlineStr">
        <is>
          <t>081345277376</t>
        </is>
      </c>
      <c r="D84" t="inlineStr">
        <is>
          <t>cv.ijk20@gmail.com</t>
        </is>
      </c>
      <c r="E84" t="inlineStr">
        <is>
          <t>https://lpjk.pu.go.id/search-badan-usaha-detail/MXhyYVJzbHQxZmdtSkxQYmk0UytWZz09</t>
        </is>
      </c>
      <c r="F84" t="n">
        <v>4</v>
      </c>
      <c r="G84" t="inlineStr">
        <is>
          <t>BG005, BG006, BG009, BS001</t>
        </is>
      </c>
      <c r="H84" t="inlineStr">
        <is>
          <t>24 September 2020</t>
        </is>
      </c>
      <c r="I84" s="2" t="n">
        <v>46263</v>
      </c>
      <c r="J84" t="inlineStr">
        <is>
          <t>Disetujui</t>
        </is>
      </c>
      <c r="K84" t="n">
        <v>60</v>
      </c>
      <c r="L84" t="inlineStr">
        <is>
          <t>29 Agustus 2026</t>
        </is>
      </c>
      <c r="M84" t="inlineStr">
        <is>
          <t>Konstruksi Bangunan Sipil Jalan, Konstruksi Gedung Kesehatan, Konstruksi Gedung Lainnya, Konstruksi Gedung Pendidikan</t>
        </is>
      </c>
      <c r="N84" t="inlineStr">
        <is>
          <t>K</t>
        </is>
      </c>
      <c r="O84" t="inlineStr">
        <is>
          <t>20230828, 20230829</t>
        </is>
      </c>
      <c r="P84" t="inlineStr">
        <is>
          <t>Kalimantan Barat</t>
        </is>
      </c>
      <c r="Q84" t="inlineStr"/>
    </row>
    <row r="85">
      <c r="A85" t="inlineStr">
        <is>
          <t>INTEGRITAS PERKASA KONSTRUKSI</t>
        </is>
      </c>
      <c r="B85" t="inlineStr">
        <is>
          <t>Kota Adm. Jakarta Barat</t>
        </is>
      </c>
      <c r="C85" t="inlineStr">
        <is>
          <t>02129020190</t>
        </is>
      </c>
      <c r="D85" t="inlineStr">
        <is>
          <t>legal@idipk.com</t>
        </is>
      </c>
      <c r="E85" t="inlineStr">
        <is>
          <t>https://lpjk.pu.go.id/search-badan-usaha-detail/RGxBQmhaTTB2alVhOUJwMmN2QTcwdz09</t>
        </is>
      </c>
      <c r="F85" t="n">
        <v>1</v>
      </c>
      <c r="G85" t="inlineStr">
        <is>
          <t>BS001</t>
        </is>
      </c>
      <c r="H85" t="inlineStr">
        <is>
          <t>13 September 2017</t>
        </is>
      </c>
      <c r="I85" s="2" t="n">
        <v>46263</v>
      </c>
      <c r="J85" t="inlineStr">
        <is>
          <t>Disetujui</t>
        </is>
      </c>
      <c r="K85" t="n">
        <v>60</v>
      </c>
      <c r="L85" t="inlineStr">
        <is>
          <t>29 Agustus 2026</t>
        </is>
      </c>
      <c r="M85" t="inlineStr">
        <is>
          <t>Konstruksi Bangunan Sipil Jalan</t>
        </is>
      </c>
      <c r="N85" t="inlineStr">
        <is>
          <t>B</t>
        </is>
      </c>
      <c r="O85" t="inlineStr">
        <is>
          <t>20230828</t>
        </is>
      </c>
      <c r="P85" t="inlineStr">
        <is>
          <t>DKI Jakarta</t>
        </is>
      </c>
      <c r="Q85" t="inlineStr"/>
    </row>
    <row r="86">
      <c r="A86" t="inlineStr">
        <is>
          <t>INTI MEGAH MANDIRI</t>
        </is>
      </c>
      <c r="B86" t="inlineStr">
        <is>
          <t>Kota Semarang</t>
        </is>
      </c>
      <c r="C86" t="inlineStr">
        <is>
          <t>02476430648</t>
        </is>
      </c>
      <c r="D86" t="inlineStr">
        <is>
          <t>intimegahmandiri@gmail.com</t>
        </is>
      </c>
      <c r="E86" t="inlineStr">
        <is>
          <t>https://lpjk.pu.go.id/search-badan-usaha-detail/eVVTb0xKWURST3RlbmgxUUs5cGk4Zz09</t>
        </is>
      </c>
      <c r="F86" t="n">
        <v>2</v>
      </c>
      <c r="G86" t="inlineStr">
        <is>
          <t>BG001</t>
        </is>
      </c>
      <c r="H86" t="inlineStr">
        <is>
          <t>22 Juni 2012</t>
        </is>
      </c>
      <c r="I86" s="2" t="n">
        <v>46263</v>
      </c>
      <c r="J86" t="inlineStr">
        <is>
          <t>Disetujui</t>
        </is>
      </c>
      <c r="K86" t="n">
        <v>60</v>
      </c>
      <c r="L86" t="inlineStr">
        <is>
          <t>29 Agustus 2026</t>
        </is>
      </c>
      <c r="M86" t="inlineStr">
        <is>
          <t>Konstruksi Gedung Hunian</t>
        </is>
      </c>
      <c r="N86" t="inlineStr">
        <is>
          <t>K</t>
        </is>
      </c>
      <c r="O86" t="inlineStr">
        <is>
          <t>20230823</t>
        </is>
      </c>
      <c r="P86" t="inlineStr">
        <is>
          <t>Jawa Tengah</t>
        </is>
      </c>
      <c r="Q86" t="inlineStr"/>
    </row>
    <row r="87">
      <c r="A87" t="inlineStr">
        <is>
          <t>KALINDO</t>
        </is>
      </c>
      <c r="B87" t="inlineStr">
        <is>
          <t>Kota Surabaya</t>
        </is>
      </c>
      <c r="C87" t="inlineStr">
        <is>
          <t>081332642262</t>
        </is>
      </c>
      <c r="D87" t="inlineStr">
        <is>
          <t>kalindo.contractor@gmail.com</t>
        </is>
      </c>
      <c r="E87" t="inlineStr">
        <is>
          <t>https://lpjk.pu.go.id/search-badan-usaha-detail/Q3Q3V3E1Z2xQVXgwQjdGRnZac01ZQT09</t>
        </is>
      </c>
      <c r="F87" t="n">
        <v>1</v>
      </c>
      <c r="G87" t="inlineStr">
        <is>
          <t>BG005</t>
        </is>
      </c>
      <c r="H87" t="inlineStr">
        <is>
          <t>30 Oktober 1995</t>
        </is>
      </c>
      <c r="I87" s="2" t="n">
        <v>46263</v>
      </c>
      <c r="J87" t="inlineStr">
        <is>
          <t>Disetujui</t>
        </is>
      </c>
      <c r="K87" t="n">
        <v>60</v>
      </c>
      <c r="L87" t="inlineStr">
        <is>
          <t>29 Agustus 2026</t>
        </is>
      </c>
      <c r="M87" t="inlineStr">
        <is>
          <t>Konstruksi Gedung Kesehatan</t>
        </is>
      </c>
      <c r="N87" t="inlineStr">
        <is>
          <t>K</t>
        </is>
      </c>
      <c r="O87" t="inlineStr">
        <is>
          <t>20230828</t>
        </is>
      </c>
      <c r="P87" t="inlineStr">
        <is>
          <t>Jawa Timur</t>
        </is>
      </c>
      <c r="Q87" t="inlineStr"/>
    </row>
    <row r="88">
      <c r="A88" t="inlineStr">
        <is>
          <t>KARISMA CITRA GELAM</t>
        </is>
      </c>
      <c r="B88" t="inlineStr">
        <is>
          <t>Kota Serang</t>
        </is>
      </c>
      <c r="C88" t="inlineStr">
        <is>
          <t>087771504030</t>
        </is>
      </c>
      <c r="D88" t="inlineStr">
        <is>
          <t>karismacitragelam2016@gmail.com</t>
        </is>
      </c>
      <c r="E88" t="inlineStr">
        <is>
          <t>https://lpjk.pu.go.id/search-badan-usaha-detail/cXY4WHM1S3lnQnQzNHZUVllTUElpdz09</t>
        </is>
      </c>
      <c r="F88" t="n">
        <v>1</v>
      </c>
      <c r="G88" t="inlineStr">
        <is>
          <t>BG001</t>
        </is>
      </c>
      <c r="H88" t="inlineStr">
        <is>
          <t>25 September 2015</t>
        </is>
      </c>
      <c r="I88" s="2" t="n">
        <v>46263</v>
      </c>
      <c r="J88" t="inlineStr">
        <is>
          <t>Pencabutan</t>
        </is>
      </c>
      <c r="K88" t="n">
        <v>60</v>
      </c>
      <c r="L88" t="inlineStr">
        <is>
          <t>29 Agustus 2026</t>
        </is>
      </c>
      <c r="M88" t="inlineStr">
        <is>
          <t>Konstruksi Gedung Hunian</t>
        </is>
      </c>
      <c r="N88" t="inlineStr">
        <is>
          <t>K</t>
        </is>
      </c>
      <c r="O88" t="inlineStr">
        <is>
          <t>20230822</t>
        </is>
      </c>
      <c r="P88" t="inlineStr">
        <is>
          <t>Banten</t>
        </is>
      </c>
      <c r="Q88" t="inlineStr"/>
    </row>
    <row r="89">
      <c r="A89" t="inlineStr">
        <is>
          <t>KARSA SEJATI</t>
        </is>
      </c>
      <c r="B89" t="inlineStr">
        <is>
          <t>Kab. Lombok Tengah</t>
        </is>
      </c>
      <c r="C89" t="inlineStr">
        <is>
          <t>081775101466</t>
        </is>
      </c>
      <c r="D89" t="inlineStr">
        <is>
          <t>cvkarsasejati@gmail.com</t>
        </is>
      </c>
      <c r="E89" t="inlineStr">
        <is>
          <t>https://lpjk.pu.go.id/search-badan-usaha-detail/TzZlRG5NWEhVL0U4WGEzNHJISzJuUT09</t>
        </is>
      </c>
      <c r="F89" t="n">
        <v>1</v>
      </c>
      <c r="G89" t="inlineStr">
        <is>
          <t>BG009</t>
        </is>
      </c>
      <c r="H89" t="inlineStr">
        <is>
          <t>29 November 2011</t>
        </is>
      </c>
      <c r="I89" s="2" t="n">
        <v>46263</v>
      </c>
      <c r="J89" t="inlineStr">
        <is>
          <t>Disetujui</t>
        </is>
      </c>
      <c r="K89" t="n">
        <v>60</v>
      </c>
      <c r="L89" t="inlineStr">
        <is>
          <t>29 Agustus 2026</t>
        </is>
      </c>
      <c r="M89" t="inlineStr">
        <is>
          <t>Konstruksi Gedung Lainnya</t>
        </is>
      </c>
      <c r="N89" t="inlineStr">
        <is>
          <t>K</t>
        </is>
      </c>
      <c r="O89" t="inlineStr">
        <is>
          <t>20230828</t>
        </is>
      </c>
      <c r="P89" t="inlineStr">
        <is>
          <t>Nusa Tenggara Barat</t>
        </is>
      </c>
      <c r="Q89" t="inlineStr"/>
    </row>
    <row r="90">
      <c r="A90" t="inlineStr">
        <is>
          <t>KARTIKA JAYA KONTRUKSINDO</t>
        </is>
      </c>
      <c r="B90" t="inlineStr">
        <is>
          <t>Kab. Bandung Barat</t>
        </is>
      </c>
      <c r="C90" t="inlineStr">
        <is>
          <t>0226620521</t>
        </is>
      </c>
      <c r="D90" t="inlineStr">
        <is>
          <t>kartikajayakontruksindo@gmail.com</t>
        </is>
      </c>
      <c r="E90" t="inlineStr">
        <is>
          <t>https://lpjk.pu.go.id/search-badan-usaha-detail/NVdZV2wrNVlmR2pqZU90eTNvUGtpQT09</t>
        </is>
      </c>
      <c r="F90" t="n">
        <v>1</v>
      </c>
      <c r="G90" t="inlineStr">
        <is>
          <t>BS001</t>
        </is>
      </c>
      <c r="H90" t="inlineStr">
        <is>
          <t>15 Maret 2016</t>
        </is>
      </c>
      <c r="I90" s="2" t="n">
        <v>46263</v>
      </c>
      <c r="J90" t="inlineStr">
        <is>
          <t>Disetujui</t>
        </is>
      </c>
      <c r="K90" t="n">
        <v>60</v>
      </c>
      <c r="L90" t="inlineStr">
        <is>
          <t>29 Agustus 2026</t>
        </is>
      </c>
      <c r="M90" t="inlineStr">
        <is>
          <t>Konstruksi Bangunan Sipil Jalan</t>
        </is>
      </c>
      <c r="N90" t="inlineStr">
        <is>
          <t>K</t>
        </is>
      </c>
      <c r="O90" t="inlineStr">
        <is>
          <t>20230801</t>
        </is>
      </c>
      <c r="P90" t="inlineStr">
        <is>
          <t>Jawa Barat</t>
        </is>
      </c>
      <c r="Q90" t="inlineStr"/>
    </row>
    <row r="91">
      <c r="A91" t="inlineStr">
        <is>
          <t>KARTIKABHAKTI SARINUSANTARA</t>
        </is>
      </c>
      <c r="B91" t="inlineStr">
        <is>
          <t>Kota Surabaya</t>
        </is>
      </c>
      <c r="C91" t="inlineStr">
        <is>
          <t>0315317360</t>
        </is>
      </c>
      <c r="D91" t="inlineStr">
        <is>
          <t>kartikabhaktisarinusantara@yahoo.com</t>
        </is>
      </c>
      <c r="E91" t="inlineStr">
        <is>
          <t>https://lpjk.pu.go.id/search-badan-usaha-detail/bFZEanNJRnBOSXBqWWNDdkV5ZVJoUT09</t>
        </is>
      </c>
      <c r="F91" t="n">
        <v>1</v>
      </c>
      <c r="G91" t="inlineStr">
        <is>
          <t>BS001</t>
        </is>
      </c>
      <c r="H91" t="inlineStr">
        <is>
          <t>15 Agustus 1992</t>
        </is>
      </c>
      <c r="I91" s="2" t="n">
        <v>46263</v>
      </c>
      <c r="J91" t="inlineStr">
        <is>
          <t>Disetujui</t>
        </is>
      </c>
      <c r="K91" t="n">
        <v>60</v>
      </c>
      <c r="L91" t="inlineStr">
        <is>
          <t>29 Agustus 2026</t>
        </is>
      </c>
      <c r="M91" t="inlineStr">
        <is>
          <t>Konstruksi Bangunan Sipil Jalan</t>
        </is>
      </c>
      <c r="N91" t="inlineStr">
        <is>
          <t>M</t>
        </is>
      </c>
      <c r="O91" t="inlineStr">
        <is>
          <t>20230822</t>
        </is>
      </c>
      <c r="P91" t="inlineStr">
        <is>
          <t>Jawa Timur</t>
        </is>
      </c>
      <c r="Q91" t="inlineStr"/>
    </row>
    <row r="92">
      <c r="A92" t="inlineStr">
        <is>
          <t>KARYA BAHANA GEMILANG</t>
        </is>
      </c>
      <c r="B92" t="inlineStr">
        <is>
          <t>Kab. Tangerang</t>
        </is>
      </c>
      <c r="C92" t="inlineStr">
        <is>
          <t>081311332379</t>
        </is>
      </c>
      <c r="D92" t="inlineStr">
        <is>
          <t>hesto.biz@gmail.com</t>
        </is>
      </c>
      <c r="E92" t="inlineStr">
        <is>
          <t>https://lpjk.pu.go.id/search-badan-usaha-detail/VmE2bFBGUEtSVklYMWRYNmg3Y3VuUT09</t>
        </is>
      </c>
      <c r="F92" t="n">
        <v>1</v>
      </c>
      <c r="G92" t="inlineStr">
        <is>
          <t>BG009</t>
        </is>
      </c>
      <c r="H92" t="inlineStr">
        <is>
          <t>26 Maret 2018</t>
        </is>
      </c>
      <c r="I92" s="2" t="n">
        <v>46263</v>
      </c>
      <c r="J92" t="inlineStr">
        <is>
          <t>Disetujui</t>
        </is>
      </c>
      <c r="K92" t="n">
        <v>60</v>
      </c>
      <c r="L92" t="inlineStr">
        <is>
          <t>29 Agustus 2026</t>
        </is>
      </c>
      <c r="M92" t="inlineStr">
        <is>
          <t>Konstruksi Gedung Lainnya</t>
        </is>
      </c>
      <c r="N92" t="inlineStr">
        <is>
          <t>K</t>
        </is>
      </c>
      <c r="O92" t="inlineStr">
        <is>
          <t>20230827</t>
        </is>
      </c>
      <c r="P92" t="inlineStr">
        <is>
          <t>Banten</t>
        </is>
      </c>
      <c r="Q92" t="inlineStr"/>
    </row>
    <row r="93">
      <c r="A93" t="inlineStr">
        <is>
          <t>KARYA DUA SAUDARA</t>
        </is>
      </c>
      <c r="B93" t="inlineStr">
        <is>
          <t>Kab. Pidie Jaya</t>
        </is>
      </c>
      <c r="C93" t="inlineStr">
        <is>
          <t>082348380109</t>
        </is>
      </c>
      <c r="D93" t="inlineStr">
        <is>
          <t>karya2saudaracv@gmail.com</t>
        </is>
      </c>
      <c r="E93" t="inlineStr">
        <is>
          <t>https://lpjk.pu.go.id/search-badan-usaha-detail/ZnlxU1NoNTVTZ1BsNnZoMW1NZ0xiZz09</t>
        </is>
      </c>
      <c r="F93" t="n">
        <v>3</v>
      </c>
      <c r="G93" t="inlineStr">
        <is>
          <t>BS005, BS006, BS010</t>
        </is>
      </c>
      <c r="H93" t="inlineStr">
        <is>
          <t>16 Juli 2020</t>
        </is>
      </c>
      <c r="I93" s="2" t="n">
        <v>46263</v>
      </c>
      <c r="J93" t="inlineStr">
        <is>
          <t>Pencabutan</t>
        </is>
      </c>
      <c r="K93" t="n">
        <v>60</v>
      </c>
      <c r="L93" t="inlineStr">
        <is>
          <t>29 Agustus 2026</t>
        </is>
      </c>
      <c r="M93" t="inlineStr">
        <is>
          <t>Konstruksi Bangunan Prasarana Sumber Daya Air, Konstruksi Bangunan Sipil Pengolahan Air Bersih, Konstruksi Bangunan Sipil Prasarana dan Sarana Sistem Pengolahan Limbah Padat, Cair, dan Gas</t>
        </is>
      </c>
      <c r="N93" t="inlineStr">
        <is>
          <t>K</t>
        </is>
      </c>
      <c r="O93" t="inlineStr">
        <is>
          <t>20230803, 20230826, 20230827</t>
        </is>
      </c>
      <c r="P93" t="inlineStr">
        <is>
          <t>Aceh</t>
        </is>
      </c>
      <c r="Q93" t="inlineStr"/>
    </row>
    <row r="94">
      <c r="A94" t="inlineStr">
        <is>
          <t>KARYA KENCANA</t>
        </is>
      </c>
      <c r="B94" t="inlineStr">
        <is>
          <t>Kota Mataram</t>
        </is>
      </c>
      <c r="C94" t="inlineStr">
        <is>
          <t>081805753813</t>
        </is>
      </c>
      <c r="D94" t="inlineStr">
        <is>
          <t>oss.karyakencana@gmail.com</t>
        </is>
      </c>
      <c r="E94" t="inlineStr">
        <is>
          <t>https://lpjk.pu.go.id/search-badan-usaha-detail/VTYybk4zS0ZyNU9rUDllT244TzN5UT09</t>
        </is>
      </c>
      <c r="F94" t="n">
        <v>1</v>
      </c>
      <c r="G94" t="inlineStr">
        <is>
          <t>RK004</t>
        </is>
      </c>
      <c r="H94" t="inlineStr">
        <is>
          <t>12 Oktober 1992</t>
        </is>
      </c>
      <c r="I94" s="2" t="n">
        <v>46263</v>
      </c>
      <c r="J94" t="inlineStr">
        <is>
          <t>Disetujui</t>
        </is>
      </c>
      <c r="K94" t="n">
        <v>60</v>
      </c>
      <c r="L94" t="inlineStr">
        <is>
          <t>29 Agustus 2026</t>
        </is>
      </c>
      <c r="M94" t="inlineStr">
        <is>
          <t>Jasa Rekayasa Pekerjaan Mekanikal Dalam Bangunan</t>
        </is>
      </c>
      <c r="N94" t="inlineStr">
        <is>
          <t>K</t>
        </is>
      </c>
      <c r="O94" t="inlineStr">
        <is>
          <t>20230517</t>
        </is>
      </c>
      <c r="P94" t="inlineStr">
        <is>
          <t>Nusa Tenggara Barat</t>
        </is>
      </c>
      <c r="Q94" t="inlineStr"/>
    </row>
    <row r="95">
      <c r="A95" t="inlineStr">
        <is>
          <t>KARYA KITA</t>
        </is>
      </c>
      <c r="B95" t="inlineStr">
        <is>
          <t>Kab. Lombok Timur</t>
        </is>
      </c>
      <c r="C95" t="inlineStr">
        <is>
          <t>081934998977</t>
        </is>
      </c>
      <c r="D95" t="inlineStr">
        <is>
          <t>cvkaryakita70@gmail.com</t>
        </is>
      </c>
      <c r="E95" t="inlineStr">
        <is>
          <t>https://lpjk.pu.go.id/search-badan-usaha-detail/TkgvOEVpL2RzVytKYTFPWjJkMGpZQT09</t>
        </is>
      </c>
      <c r="F95" t="n">
        <v>1</v>
      </c>
      <c r="G95" t="inlineStr">
        <is>
          <t>BG009</t>
        </is>
      </c>
      <c r="H95" t="inlineStr">
        <is>
          <t>14 Juni 2014</t>
        </is>
      </c>
      <c r="I95" s="2" t="n">
        <v>46263</v>
      </c>
      <c r="J95" t="inlineStr">
        <is>
          <t>Disetujui</t>
        </is>
      </c>
      <c r="K95" t="n">
        <v>60</v>
      </c>
      <c r="L95" t="inlineStr">
        <is>
          <t>29 Agustus 2026</t>
        </is>
      </c>
      <c r="M95" t="inlineStr">
        <is>
          <t>Konstruksi Gedung Lainnya</t>
        </is>
      </c>
      <c r="N95" t="inlineStr">
        <is>
          <t>K</t>
        </is>
      </c>
      <c r="O95" t="inlineStr">
        <is>
          <t>20230825</t>
        </is>
      </c>
      <c r="P95" t="inlineStr">
        <is>
          <t>Nusa Tenggara Barat</t>
        </is>
      </c>
      <c r="Q95" t="inlineStr"/>
    </row>
    <row r="96">
      <c r="A96" t="inlineStr">
        <is>
          <t>KARYA NUGRAHA ABADI SEJAHTERA</t>
        </is>
      </c>
      <c r="B96" t="inlineStr">
        <is>
          <t>Kab. Tuban</t>
        </is>
      </c>
      <c r="C96" t="inlineStr">
        <is>
          <t>082244333058</t>
        </is>
      </c>
      <c r="D96" t="inlineStr">
        <is>
          <t>pt.karyanugraha@yahoo.co.id</t>
        </is>
      </c>
      <c r="E96" t="inlineStr">
        <is>
          <t>https://lpjk.pu.go.id/search-badan-usaha-detail/SUxXVDd1Q0ZtNTdvYUlUdGNnT21YZz09</t>
        </is>
      </c>
      <c r="F96" t="n">
        <v>1</v>
      </c>
      <c r="G96" t="inlineStr">
        <is>
          <t>BG004</t>
        </is>
      </c>
      <c r="H96" t="inlineStr">
        <is>
          <t>14 November 2013</t>
        </is>
      </c>
      <c r="I96" s="2" t="n">
        <v>46263</v>
      </c>
      <c r="J96" t="inlineStr">
        <is>
          <t>Pencabutan</t>
        </is>
      </c>
      <c r="K96" t="n">
        <v>60</v>
      </c>
      <c r="L96" t="inlineStr">
        <is>
          <t>29 Agustus 2026</t>
        </is>
      </c>
      <c r="M96" t="inlineStr">
        <is>
          <t>Konstruksi Gedung Perbelanjaan</t>
        </is>
      </c>
      <c r="N96" t="inlineStr">
        <is>
          <t>K</t>
        </is>
      </c>
      <c r="O96" t="inlineStr">
        <is>
          <t>20230828</t>
        </is>
      </c>
      <c r="P96" t="inlineStr">
        <is>
          <t>Jawa Timur</t>
        </is>
      </c>
      <c r="Q96" t="inlineStr"/>
    </row>
    <row r="97">
      <c r="A97" t="inlineStr">
        <is>
          <t>KARYA REVORMA INDOTAMA</t>
        </is>
      </c>
      <c r="B97" t="inlineStr">
        <is>
          <t>Kab. Kutai Timur</t>
        </is>
      </c>
      <c r="C97" t="inlineStr">
        <is>
          <t>083891671423</t>
        </is>
      </c>
      <c r="D97" t="inlineStr">
        <is>
          <t>karya.revormaindotamacv87@gmail.com</t>
        </is>
      </c>
      <c r="E97" t="inlineStr">
        <is>
          <t>https://lpjk.pu.go.id/search-badan-usaha-detail/MFR6SWo4dkRkWUNPRGFEQklPY0pZZz09</t>
        </is>
      </c>
      <c r="F97" t="n">
        <v>1</v>
      </c>
      <c r="G97" t="inlineStr">
        <is>
          <t>BS004</t>
        </is>
      </c>
      <c r="H97" t="inlineStr">
        <is>
          <t>28 Oktober 2019</t>
        </is>
      </c>
      <c r="I97" s="2" t="n">
        <v>46263</v>
      </c>
      <c r="J97" t="inlineStr">
        <is>
          <t>Disetujui</t>
        </is>
      </c>
      <c r="K97" t="n">
        <v>60</v>
      </c>
      <c r="L97" t="inlineStr">
        <is>
          <t>29 Agustus 2026</t>
        </is>
      </c>
      <c r="M97" t="inlineStr">
        <is>
          <t>Konstruksi Jaringan Irigasi dan Drainase</t>
        </is>
      </c>
      <c r="N97" t="inlineStr">
        <is>
          <t>K</t>
        </is>
      </c>
      <c r="O97" t="inlineStr">
        <is>
          <t>20230821</t>
        </is>
      </c>
      <c r="P97" t="inlineStr">
        <is>
          <t>Kalimantan Timur</t>
        </is>
      </c>
      <c r="Q97" t="inlineStr"/>
    </row>
    <row r="98">
      <c r="A98" t="inlineStr">
        <is>
          <t>KOKOH JAYA ABADI</t>
        </is>
      </c>
      <c r="B98" t="inlineStr">
        <is>
          <t>Kota Pontianak</t>
        </is>
      </c>
      <c r="C98" t="inlineStr">
        <is>
          <t>085389961396</t>
        </is>
      </c>
      <c r="D98" t="inlineStr">
        <is>
          <t>cvkokohjayaabadi23@gmail.com</t>
        </is>
      </c>
      <c r="E98" t="inlineStr">
        <is>
          <t>https://lpjk.pu.go.id/search-badan-usaha-detail/a0xDN0lxQkIzQmZ4TlJHVmFsM0liUT09</t>
        </is>
      </c>
      <c r="F98" t="n">
        <v>2</v>
      </c>
      <c r="G98" t="inlineStr">
        <is>
          <t>BG001</t>
        </is>
      </c>
      <c r="H98" t="inlineStr">
        <is>
          <t>28 Maret 2023</t>
        </is>
      </c>
      <c r="I98" s="2" t="n">
        <v>46263</v>
      </c>
      <c r="J98" t="inlineStr">
        <is>
          <t>Disetujui</t>
        </is>
      </c>
      <c r="K98" t="n">
        <v>60</v>
      </c>
      <c r="L98" t="inlineStr">
        <is>
          <t>29 Agustus 2026</t>
        </is>
      </c>
      <c r="M98" t="inlineStr">
        <is>
          <t>Konstruksi Gedung Hunian</t>
        </is>
      </c>
      <c r="N98" t="inlineStr">
        <is>
          <t>K</t>
        </is>
      </c>
      <c r="O98" t="inlineStr">
        <is>
          <t>20230825</t>
        </is>
      </c>
      <c r="P98" t="inlineStr">
        <is>
          <t>Kalimantan Barat</t>
        </is>
      </c>
      <c r="Q98" t="inlineStr"/>
    </row>
    <row r="99">
      <c r="A99" t="inlineStr">
        <is>
          <t>KONSTRUKSI INOVASI JAYA ABADI</t>
        </is>
      </c>
      <c r="B99" t="inlineStr">
        <is>
          <t>Kota Adm. Jakarta Barat</t>
        </is>
      </c>
      <c r="C99" t="inlineStr">
        <is>
          <t>082195922077</t>
        </is>
      </c>
      <c r="D99" t="inlineStr">
        <is>
          <t>konstruksiinovasijayaa@gmail.com</t>
        </is>
      </c>
      <c r="E99" t="inlineStr">
        <is>
          <t>https://lpjk.pu.go.id/search-badan-usaha-detail/Qjk5NTlYTVJ0MzFaMFRoUjQrMTZNdz09</t>
        </is>
      </c>
      <c r="F99" t="n">
        <v>2</v>
      </c>
      <c r="G99" t="inlineStr">
        <is>
          <t>BG002, PL004</t>
        </is>
      </c>
      <c r="H99" t="inlineStr">
        <is>
          <t>1 Januari 2018</t>
        </is>
      </c>
      <c r="I99" s="2" t="n">
        <v>46263</v>
      </c>
      <c r="J99" t="inlineStr">
        <is>
          <t>Pembekuan, Pencabutan</t>
        </is>
      </c>
      <c r="K99" t="n">
        <v>60</v>
      </c>
      <c r="L99" t="inlineStr">
        <is>
          <t>29 Agustus 2026</t>
        </is>
      </c>
      <c r="M99" t="inlineStr">
        <is>
          <t>Konstruksi Gedung Perkantoran, Pekerjaan Tanah</t>
        </is>
      </c>
      <c r="N99" t="inlineStr">
        <is>
          <t>M, Spesialis</t>
        </is>
      </c>
      <c r="O99" t="inlineStr">
        <is>
          <t>20230828, 20230829</t>
        </is>
      </c>
      <c r="P99" t="inlineStr">
        <is>
          <t>DKI Jakarta</t>
        </is>
      </c>
      <c r="Q99" t="inlineStr"/>
    </row>
    <row r="100">
      <c r="A100" t="inlineStr">
        <is>
          <t>LANCAR KARYA UTAMA</t>
        </is>
      </c>
      <c r="B100" t="inlineStr">
        <is>
          <t>Kota Adm. Jakarta Selatan</t>
        </is>
      </c>
      <c r="C100" t="inlineStr">
        <is>
          <t>0215522001</t>
        </is>
      </c>
      <c r="D100" t="inlineStr">
        <is>
          <t>goods.interiordesign@gmail.com</t>
        </is>
      </c>
      <c r="E100" t="inlineStr">
        <is>
          <t>https://lpjk.pu.go.id/search-badan-usaha-detail/TzRUTVZCdERpV3kxUHQrU2tGVStxZz09</t>
        </is>
      </c>
      <c r="F100" t="n">
        <v>3</v>
      </c>
      <c r="G100" t="inlineStr">
        <is>
          <t>BG001, BG004, BG008</t>
        </is>
      </c>
      <c r="H100" t="inlineStr">
        <is>
          <t>10 Agustus 2020</t>
        </is>
      </c>
      <c r="I100" s="2" t="n">
        <v>46263</v>
      </c>
      <c r="J100" t="inlineStr">
        <is>
          <t>Disetujui</t>
        </is>
      </c>
      <c r="K100" t="n">
        <v>60</v>
      </c>
      <c r="L100" t="inlineStr">
        <is>
          <t>29 Agustus 2026</t>
        </is>
      </c>
      <c r="M100" t="inlineStr">
        <is>
          <t>Konstruksi Gedung Hunian, Konstruksi Gedung Perbelanjaan, Konstruksi Gedung Tempat Hiburan dan Olahraga</t>
        </is>
      </c>
      <c r="N100" t="inlineStr">
        <is>
          <t>K</t>
        </is>
      </c>
      <c r="O100" t="inlineStr">
        <is>
          <t>20230822</t>
        </is>
      </c>
      <c r="P100" t="inlineStr">
        <is>
          <t>DKI Jakarta</t>
        </is>
      </c>
      <c r="Q100" t="inlineStr"/>
    </row>
    <row r="101">
      <c r="A101" t="inlineStr">
        <is>
          <t>LEO FERDINAND</t>
        </is>
      </c>
      <c r="B101" t="inlineStr">
        <is>
          <t>Kota Sukabumi</t>
        </is>
      </c>
      <c r="C101" t="inlineStr">
        <is>
          <t>082113745696</t>
        </is>
      </c>
      <c r="D101" t="inlineStr">
        <is>
          <t>ferdinandwatileo@gmail.com</t>
        </is>
      </c>
      <c r="E101" t="inlineStr">
        <is>
          <t>https://lpjk.pu.go.id/search-badan-usaha-detail/ci8xZWZLVzBhQS8zUklzaTdiUlhtUT09</t>
        </is>
      </c>
      <c r="F101" t="n">
        <v>1</v>
      </c>
      <c r="G101" t="inlineStr">
        <is>
          <t>BS004</t>
        </is>
      </c>
      <c r="H101" t="inlineStr">
        <is>
          <t>26 Mei 2006</t>
        </is>
      </c>
      <c r="I101" s="2" t="n">
        <v>46263</v>
      </c>
      <c r="J101" t="inlineStr">
        <is>
          <t>Pencabutan</t>
        </is>
      </c>
      <c r="K101" t="n">
        <v>60</v>
      </c>
      <c r="L101" t="inlineStr">
        <is>
          <t>29 Agustus 2026</t>
        </is>
      </c>
      <c r="M101" t="inlineStr">
        <is>
          <t>Konstruksi Jaringan Irigasi dan Drainase</t>
        </is>
      </c>
      <c r="N101" t="inlineStr">
        <is>
          <t>K</t>
        </is>
      </c>
      <c r="O101" t="inlineStr">
        <is>
          <t>20230824</t>
        </is>
      </c>
      <c r="P101" t="inlineStr">
        <is>
          <t>Jawa Barat</t>
        </is>
      </c>
      <c r="Q101" t="inlineStr"/>
    </row>
    <row r="102">
      <c r="A102" t="inlineStr">
        <is>
          <t>MAHA AKBAR SEJAHTERA</t>
        </is>
      </c>
      <c r="B102" t="inlineStr">
        <is>
          <t>Kota Medan</t>
        </is>
      </c>
      <c r="C102" t="inlineStr">
        <is>
          <t>06142784599</t>
        </is>
      </c>
      <c r="D102" t="inlineStr">
        <is>
          <t>admin@mahasejahtera.com</t>
        </is>
      </c>
      <c r="E102" t="inlineStr">
        <is>
          <t>https://lpjk.pu.go.id/search-badan-usaha-detail/enBJQkRBK0hoWXdEblNOeUxUMThGZz09</t>
        </is>
      </c>
      <c r="F102" t="n">
        <v>1</v>
      </c>
      <c r="G102" t="inlineStr">
        <is>
          <t>IN007</t>
        </is>
      </c>
      <c r="H102" t="inlineStr">
        <is>
          <t>16 Januari 2019</t>
        </is>
      </c>
      <c r="I102" s="2" t="n">
        <v>46263</v>
      </c>
      <c r="J102" t="inlineStr">
        <is>
          <t>Disetujui</t>
        </is>
      </c>
      <c r="K102" t="n">
        <v>60</v>
      </c>
      <c r="L102" t="inlineStr">
        <is>
          <t>29 Agustus 2026</t>
        </is>
      </c>
      <c r="M102" t="inlineStr">
        <is>
          <t>Instalasi Saluran Air (Plambing)</t>
        </is>
      </c>
      <c r="N102" t="inlineStr">
        <is>
          <t>Spesialis</t>
        </is>
      </c>
      <c r="O102" t="inlineStr">
        <is>
          <t>20230828</t>
        </is>
      </c>
      <c r="P102" t="inlineStr">
        <is>
          <t>Sumatera Utara</t>
        </is>
      </c>
      <c r="Q102" t="inlineStr"/>
    </row>
    <row r="103">
      <c r="A103" t="inlineStr">
        <is>
          <t>MAHARDHIKA</t>
        </is>
      </c>
      <c r="B103" t="inlineStr">
        <is>
          <t>Kab. Gresik</t>
        </is>
      </c>
      <c r="C103" t="inlineStr">
        <is>
          <t>03170706140</t>
        </is>
      </c>
      <c r="D103" t="inlineStr">
        <is>
          <t>cvmahardhika53@gmail.com</t>
        </is>
      </c>
      <c r="E103" t="inlineStr">
        <is>
          <t>https://lpjk.pu.go.id/search-badan-usaha-detail/a3FmdERKNXp2RnRhTkdibjducE9Mdz09</t>
        </is>
      </c>
      <c r="F103" t="n">
        <v>2</v>
      </c>
      <c r="G103" t="inlineStr">
        <is>
          <t>BG006</t>
        </is>
      </c>
      <c r="H103" t="inlineStr">
        <is>
          <t>4 Oktober 2011</t>
        </is>
      </c>
      <c r="I103" s="2" t="n">
        <v>46263</v>
      </c>
      <c r="J103" t="inlineStr">
        <is>
          <t>Disetujui</t>
        </is>
      </c>
      <c r="K103" t="n">
        <v>60</v>
      </c>
      <c r="L103" t="inlineStr">
        <is>
          <t>29 Agustus 2026</t>
        </is>
      </c>
      <c r="M103" t="inlineStr">
        <is>
          <t>Konstruksi Gedung Pendidikan</t>
        </is>
      </c>
      <c r="N103" t="inlineStr">
        <is>
          <t>K</t>
        </is>
      </c>
      <c r="O103" t="inlineStr">
        <is>
          <t>20230626</t>
        </is>
      </c>
      <c r="P103" t="inlineStr">
        <is>
          <t>Jawa Timur</t>
        </is>
      </c>
      <c r="Q103" t="inlineStr"/>
    </row>
    <row r="104">
      <c r="A104" t="inlineStr">
        <is>
          <t>MAHARDIKA JAYA TAMA</t>
        </is>
      </c>
      <c r="B104" t="inlineStr">
        <is>
          <t>Kota Tangerang Selatan</t>
        </is>
      </c>
      <c r="C104" t="inlineStr">
        <is>
          <t>0217318605</t>
        </is>
      </c>
      <c r="D104" t="inlineStr">
        <is>
          <t>mahardikajayatama.78@gmail.com</t>
        </is>
      </c>
      <c r="E104" t="inlineStr">
        <is>
          <t>https://lpjk.pu.go.id/search-badan-usaha-detail/YXQ1QWtsZnhmNjlUM3pCRGxabVlXUT09</t>
        </is>
      </c>
      <c r="F104" t="n">
        <v>2</v>
      </c>
      <c r="G104" t="inlineStr">
        <is>
          <t>BS001</t>
        </is>
      </c>
      <c r="H104" t="inlineStr">
        <is>
          <t>18 November 2013</t>
        </is>
      </c>
      <c r="I104" s="2" t="n">
        <v>46263</v>
      </c>
      <c r="J104" t="inlineStr">
        <is>
          <t>Disetujui</t>
        </is>
      </c>
      <c r="K104" t="n">
        <v>60</v>
      </c>
      <c r="L104" t="inlineStr">
        <is>
          <t>29 Agustus 2026</t>
        </is>
      </c>
      <c r="M104" t="inlineStr">
        <is>
          <t>Konstruksi Bangunan Sipil Jalan</t>
        </is>
      </c>
      <c r="N104" t="inlineStr">
        <is>
          <t>K</t>
        </is>
      </c>
      <c r="O104" t="inlineStr">
        <is>
          <t>20230825</t>
        </is>
      </c>
      <c r="P104" t="inlineStr">
        <is>
          <t>Banten</t>
        </is>
      </c>
      <c r="Q104" t="inlineStr"/>
    </row>
    <row r="105">
      <c r="A105" t="inlineStr">
        <is>
          <t>MAHESA KARYA PERSADA</t>
        </is>
      </c>
      <c r="B105" t="inlineStr">
        <is>
          <t>Kota Tangerang Selatan</t>
        </is>
      </c>
      <c r="C105" t="inlineStr">
        <is>
          <t>081286371012</t>
        </is>
      </c>
      <c r="D105" t="inlineStr">
        <is>
          <t>mahesakaryapersada@gmail.com</t>
        </is>
      </c>
      <c r="E105" t="inlineStr">
        <is>
          <t>https://lpjk.pu.go.id/search-badan-usaha-detail/Vm9rTEEyeHI3eStnMUcxNEZXY1hBU3NoV1VmRlg2KzhBMjQ0bjRhRmNvdz0</t>
        </is>
      </c>
      <c r="F105" t="n">
        <v>2</v>
      </c>
      <c r="G105" t="inlineStr">
        <is>
          <t>BS001, BS004</t>
        </is>
      </c>
      <c r="H105" t="inlineStr">
        <is>
          <t>23 Juni 2023</t>
        </is>
      </c>
      <c r="I105" s="2" t="n">
        <v>46263</v>
      </c>
      <c r="J105" t="inlineStr">
        <is>
          <t>Disetujui</t>
        </is>
      </c>
      <c r="K105" t="n">
        <v>60</v>
      </c>
      <c r="L105" t="inlineStr">
        <is>
          <t>29 Agustus 2026</t>
        </is>
      </c>
      <c r="M105" t="inlineStr">
        <is>
          <t>Konstruksi Bangunan Sipil Jalan, Konstruksi Jaringan Irigasi dan Drainase</t>
        </is>
      </c>
      <c r="N105" t="inlineStr">
        <is>
          <t>K</t>
        </is>
      </c>
      <c r="O105" t="inlineStr">
        <is>
          <t>20230825</t>
        </is>
      </c>
      <c r="P105" t="inlineStr">
        <is>
          <t>Banten</t>
        </is>
      </c>
      <c r="Q105" t="inlineStr"/>
    </row>
    <row r="106">
      <c r="A106" t="inlineStr">
        <is>
          <t>MATARAM PUTRA SAKTI</t>
        </is>
      </c>
      <c r="B106" t="inlineStr">
        <is>
          <t>Kota Blitar</t>
        </is>
      </c>
      <c r="C106" t="inlineStr">
        <is>
          <t>08818460429</t>
        </is>
      </c>
      <c r="D106" t="inlineStr">
        <is>
          <t>mataramputrasakti@gmail.com</t>
        </is>
      </c>
      <c r="E106" t="inlineStr">
        <is>
          <t>https://lpjk.pu.go.id/search-badan-usaha-detail/SHZXY3N3aDU0ZlBkU1VNWmhOT1E3QT09</t>
        </is>
      </c>
      <c r="F106" t="n">
        <v>2</v>
      </c>
      <c r="G106" t="inlineStr">
        <is>
          <t>BG004</t>
        </is>
      </c>
      <c r="H106" t="inlineStr">
        <is>
          <t>25 Agustus 2008</t>
        </is>
      </c>
      <c r="I106" s="2" t="n">
        <v>46263</v>
      </c>
      <c r="J106" t="inlineStr">
        <is>
          <t>Disetujui</t>
        </is>
      </c>
      <c r="K106" t="n">
        <v>60</v>
      </c>
      <c r="L106" t="inlineStr">
        <is>
          <t>29 Agustus 2026</t>
        </is>
      </c>
      <c r="M106" t="inlineStr">
        <is>
          <t>Konstruksi Gedung Perbelanjaan</t>
        </is>
      </c>
      <c r="N106" t="inlineStr">
        <is>
          <t>K</t>
        </is>
      </c>
      <c r="O106" t="inlineStr">
        <is>
          <t>N/A</t>
        </is>
      </c>
      <c r="P106" t="inlineStr">
        <is>
          <t>Jawa Timur</t>
        </is>
      </c>
      <c r="Q106" t="inlineStr"/>
    </row>
    <row r="107">
      <c r="A107" t="inlineStr">
        <is>
          <t>MATARIS</t>
        </is>
      </c>
      <c r="B107" t="inlineStr">
        <is>
          <t>Kab. Sumenep</t>
        </is>
      </c>
      <c r="C107" t="inlineStr">
        <is>
          <t>081703209200</t>
        </is>
      </c>
      <c r="D107" t="inlineStr">
        <is>
          <t>cvmataris@gmail.com</t>
        </is>
      </c>
      <c r="E107" t="inlineStr">
        <is>
          <t>https://lpjk.pu.go.id/search-badan-usaha-detail/QlFXcGR5bVVvMjN5bENTZlJrOEVhQT09</t>
        </is>
      </c>
      <c r="F107" t="n">
        <v>3</v>
      </c>
      <c r="G107" t="inlineStr">
        <is>
          <t>BG005, BG006, BG009</t>
        </is>
      </c>
      <c r="H107" t="inlineStr">
        <is>
          <t>6 April 2001</t>
        </is>
      </c>
      <c r="I107" s="2" t="n">
        <v>46263</v>
      </c>
      <c r="J107" t="inlineStr">
        <is>
          <t>Disetujui</t>
        </is>
      </c>
      <c r="K107" t="n">
        <v>60</v>
      </c>
      <c r="L107" t="inlineStr">
        <is>
          <t>29 Agustus 2026</t>
        </is>
      </c>
      <c r="M107" t="inlineStr">
        <is>
          <t>Konstruksi Gedung Kesehatan, Konstruksi Gedung Lainnya, Konstruksi Gedung Pendidikan</t>
        </is>
      </c>
      <c r="N107" t="inlineStr">
        <is>
          <t>K</t>
        </is>
      </c>
      <c r="O107" t="inlineStr">
        <is>
          <t>20230828</t>
        </is>
      </c>
      <c r="P107" t="inlineStr">
        <is>
          <t>Jawa Timur</t>
        </is>
      </c>
      <c r="Q107" t="inlineStr"/>
    </row>
    <row r="108">
      <c r="A108" t="inlineStr">
        <is>
          <t>MAWAR MERAH</t>
        </is>
      </c>
      <c r="B108" t="inlineStr">
        <is>
          <t>Kab. Kudus</t>
        </is>
      </c>
      <c r="C108" t="inlineStr">
        <is>
          <t>08157612703</t>
        </is>
      </c>
      <c r="D108" t="inlineStr">
        <is>
          <t>mawarmerahcv@ymail.com</t>
        </is>
      </c>
      <c r="E108" t="inlineStr">
        <is>
          <t>https://lpjk.pu.go.id/search-badan-usaha-detail/ZVc2NGhDcGJMTVYwd2JqZDdGa1Mvdz09</t>
        </is>
      </c>
      <c r="F108" t="n">
        <v>4</v>
      </c>
      <c r="G108" t="inlineStr">
        <is>
          <t>BG006, BG009, BS001, BS002</t>
        </is>
      </c>
      <c r="H108" t="inlineStr">
        <is>
          <t>23 Juni 2003</t>
        </is>
      </c>
      <c r="I108" s="2" t="n">
        <v>46263</v>
      </c>
      <c r="J108" t="inlineStr">
        <is>
          <t>Disetujui</t>
        </is>
      </c>
      <c r="K108" t="n">
        <v>60</v>
      </c>
      <c r="L108" t="inlineStr">
        <is>
          <t>29 Agustus 2026</t>
        </is>
      </c>
      <c r="M108" t="inlineStr">
        <is>
          <t>Bangunan Sipil Jembatan, Jalan Layang, Fly Over, dan Underpass, Konstruksi Bangunan Sipil Jalan, Konstruksi Gedung Lainnya, Konstruksi Gedung Pendidikan</t>
        </is>
      </c>
      <c r="N108" t="inlineStr">
        <is>
          <t>K</t>
        </is>
      </c>
      <c r="O108" t="inlineStr">
        <is>
          <t>20230828</t>
        </is>
      </c>
      <c r="P108" t="inlineStr">
        <is>
          <t>Jawa Tengah</t>
        </is>
      </c>
      <c r="Q108" t="inlineStr"/>
    </row>
    <row r="109">
      <c r="A109" t="inlineStr">
        <is>
          <t>MEDIA CIPTA PERKASA</t>
        </is>
      </c>
      <c r="B109" t="inlineStr">
        <is>
          <t>Kota Surabaya</t>
        </is>
      </c>
      <c r="C109" t="inlineStr">
        <is>
          <t>0315673911</t>
        </is>
      </c>
      <c r="D109" t="inlineStr">
        <is>
          <t>mediaciptaperkasa@gmail.com</t>
        </is>
      </c>
      <c r="E109" t="inlineStr">
        <is>
          <t>https://lpjk.pu.go.id/search-badan-usaha-detail/c1Z0ZlQyeGlhT3p5d3BnNnUwakxlZz09</t>
        </is>
      </c>
      <c r="F109" t="n">
        <v>2</v>
      </c>
      <c r="G109" t="inlineStr">
        <is>
          <t>BG002, BG003</t>
        </is>
      </c>
      <c r="H109" t="inlineStr">
        <is>
          <t>13 Februari 2003</t>
        </is>
      </c>
      <c r="I109" s="2" t="n">
        <v>46263</v>
      </c>
      <c r="J109" t="inlineStr">
        <is>
          <t>Disetujui</t>
        </is>
      </c>
      <c r="K109" t="n">
        <v>60</v>
      </c>
      <c r="L109" t="inlineStr">
        <is>
          <t>29 Agustus 2026</t>
        </is>
      </c>
      <c r="M109" t="inlineStr">
        <is>
          <t>Konstruksi Gedung Industri, Konstruksi Gedung Perkantoran</t>
        </is>
      </c>
      <c r="N109" t="inlineStr">
        <is>
          <t>M</t>
        </is>
      </c>
      <c r="O109" t="inlineStr">
        <is>
          <t>20230825</t>
        </is>
      </c>
      <c r="P109" t="inlineStr">
        <is>
          <t>Jawa Timur</t>
        </is>
      </c>
      <c r="Q109" t="inlineStr"/>
    </row>
    <row r="110">
      <c r="A110" t="inlineStr">
        <is>
          <t>MEDIA WORLD CITRA</t>
        </is>
      </c>
      <c r="B110" t="inlineStr">
        <is>
          <t>Kota Balikpapan</t>
        </is>
      </c>
      <c r="C110" t="inlineStr">
        <is>
          <t>082154961673</t>
        </is>
      </c>
      <c r="D110" t="inlineStr">
        <is>
          <t>mediaworldcitra@gmail.com</t>
        </is>
      </c>
      <c r="E110" t="inlineStr">
        <is>
          <t>https://lpjk.pu.go.id/search-badan-usaha-detail/L2lpMG5qNjhvZklGcitaeHJOZlZWZz09</t>
        </is>
      </c>
      <c r="F110" t="n">
        <v>4</v>
      </c>
      <c r="G110" t="inlineStr">
        <is>
          <t>BS001, BS004, BS005, BS006</t>
        </is>
      </c>
      <c r="H110" t="inlineStr">
        <is>
          <t>22 Juni 2020</t>
        </is>
      </c>
      <c r="I110" s="2" t="n">
        <v>46263</v>
      </c>
      <c r="J110" t="inlineStr">
        <is>
          <t>Disetujui</t>
        </is>
      </c>
      <c r="K110" t="n">
        <v>60</v>
      </c>
      <c r="L110" t="inlineStr">
        <is>
          <t>29 Agustus 2026</t>
        </is>
      </c>
      <c r="M110" t="inlineStr">
        <is>
          <t>Konstruksi Bangunan Sipil Jalan, Konstruksi Bangunan Sipil Pengolahan Air Bersih, Konstruksi Bangunan Sipil Prasarana dan Sarana Sistem Pengolahan Limbah Padat, Cair, dan Gas, Konstruksi Jaringan Irigasi dan Drainase</t>
        </is>
      </c>
      <c r="N110" t="inlineStr">
        <is>
          <t>K</t>
        </is>
      </c>
      <c r="O110" t="inlineStr">
        <is>
          <t>20230829</t>
        </is>
      </c>
      <c r="P110" t="inlineStr">
        <is>
          <t>Kalimantan Timur</t>
        </is>
      </c>
      <c r="Q110" t="inlineStr"/>
    </row>
    <row r="111">
      <c r="A111" t="inlineStr">
        <is>
          <t>MEKAELTRI BANGUN PERSADA</t>
        </is>
      </c>
      <c r="B111" t="inlineStr">
        <is>
          <t>Kota Adm. Jakarta Selatan</t>
        </is>
      </c>
      <c r="C111" t="inlineStr">
        <is>
          <t>02129631688</t>
        </is>
      </c>
      <c r="D111" t="inlineStr">
        <is>
          <t>mekaeltribangunpersada@gmail.com</t>
        </is>
      </c>
      <c r="E111" t="inlineStr">
        <is>
          <t>https://lpjk.pu.go.id/search-badan-usaha-detail/dHZoWU1yMW1oai9GWmt4SUxkYk9WZz09</t>
        </is>
      </c>
      <c r="F111" t="n">
        <v>2</v>
      </c>
      <c r="G111" t="inlineStr">
        <is>
          <t>BG002, BG009</t>
        </is>
      </c>
      <c r="H111" t="inlineStr">
        <is>
          <t>7 September 2022</t>
        </is>
      </c>
      <c r="I111" s="2" t="n">
        <v>46263</v>
      </c>
      <c r="J111" t="inlineStr">
        <is>
          <t>Disetujui</t>
        </is>
      </c>
      <c r="K111" t="n">
        <v>60</v>
      </c>
      <c r="L111" t="inlineStr">
        <is>
          <t>29 Agustus 2026</t>
        </is>
      </c>
      <c r="M111" t="inlineStr">
        <is>
          <t>Konstruksi Gedung Lainnya, Konstruksi Gedung Perkantoran</t>
        </is>
      </c>
      <c r="N111" t="inlineStr">
        <is>
          <t>K, M</t>
        </is>
      </c>
      <c r="O111" t="inlineStr">
        <is>
          <t>20230829</t>
        </is>
      </c>
      <c r="P111" t="inlineStr">
        <is>
          <t>DKI Jakarta</t>
        </is>
      </c>
      <c r="Q111" t="inlineStr"/>
    </row>
    <row r="112">
      <c r="A112" t="inlineStr">
        <is>
          <t>MILIAN MUTIARA</t>
        </is>
      </c>
      <c r="B112" t="inlineStr">
        <is>
          <t>Kab. Garut</t>
        </is>
      </c>
      <c r="C112" t="inlineStr">
        <is>
          <t>081320961177</t>
        </is>
      </c>
      <c r="D112" t="inlineStr">
        <is>
          <t>sitianggiutari@gmail.com</t>
        </is>
      </c>
      <c r="E112" t="inlineStr">
        <is>
          <t>https://lpjk.pu.go.id/search-badan-usaha-detail/azIrVTlEcUlDUFlmMnRDUW11aEQrZz09</t>
        </is>
      </c>
      <c r="F112" t="n">
        <v>6</v>
      </c>
      <c r="G112" t="inlineStr">
        <is>
          <t>BG002, BG009, BS001</t>
        </is>
      </c>
      <c r="H112" t="inlineStr">
        <is>
          <t>11 Maret 2016</t>
        </is>
      </c>
      <c r="I112" s="2" t="n">
        <v>46263</v>
      </c>
      <c r="J112" t="inlineStr">
        <is>
          <t>Disetujui</t>
        </is>
      </c>
      <c r="K112" t="n">
        <v>60</v>
      </c>
      <c r="L112" t="inlineStr">
        <is>
          <t>29 Agustus 2026</t>
        </is>
      </c>
      <c r="M112" t="inlineStr">
        <is>
          <t>Konstruksi Bangunan Sipil Jalan, Konstruksi Gedung Lainnya, Konstruksi Gedung Perkantoran</t>
        </is>
      </c>
      <c r="N112" t="inlineStr">
        <is>
          <t>K</t>
        </is>
      </c>
      <c r="O112" t="inlineStr">
        <is>
          <t>20230829</t>
        </is>
      </c>
      <c r="P112" t="inlineStr">
        <is>
          <t>Jawa Barat</t>
        </is>
      </c>
      <c r="Q112" t="inlineStr"/>
    </row>
    <row r="113">
      <c r="A113" t="inlineStr">
        <is>
          <t>MITRA ABADI</t>
        </is>
      </c>
      <c r="B113" t="inlineStr">
        <is>
          <t>Kab. Belitung</t>
        </is>
      </c>
      <c r="C113" t="inlineStr">
        <is>
          <t>081995644433</t>
        </is>
      </c>
      <c r="D113" t="inlineStr">
        <is>
          <t>abadi.m3030@gmail.com</t>
        </is>
      </c>
      <c r="E113" t="inlineStr">
        <is>
          <t>https://lpjk.pu.go.id/search-badan-usaha-detail/TGtSWXV2ZlAxKzBNMmEwbTJXM1prdz09</t>
        </is>
      </c>
      <c r="F113" t="n">
        <v>1</v>
      </c>
      <c r="G113" t="inlineStr">
        <is>
          <t>BG005</t>
        </is>
      </c>
      <c r="H113" t="inlineStr">
        <is>
          <t>29 November 2017</t>
        </is>
      </c>
      <c r="I113" s="2" t="n">
        <v>46263</v>
      </c>
      <c r="J113" t="inlineStr">
        <is>
          <t>Disetujui</t>
        </is>
      </c>
      <c r="K113" t="n">
        <v>60</v>
      </c>
      <c r="L113" t="inlineStr">
        <is>
          <t>29 Agustus 2026</t>
        </is>
      </c>
      <c r="M113" t="inlineStr">
        <is>
          <t>Konstruksi Gedung Kesehatan</t>
        </is>
      </c>
      <c r="N113" t="inlineStr">
        <is>
          <t>K</t>
        </is>
      </c>
      <c r="O113" t="inlineStr">
        <is>
          <t>20230829</t>
        </is>
      </c>
      <c r="P113" t="inlineStr">
        <is>
          <t>Kepulauan Bangka Belitung</t>
        </is>
      </c>
      <c r="Q113" t="inlineStr"/>
    </row>
    <row r="114">
      <c r="A114" t="inlineStr">
        <is>
          <t>MITRA KARYA KONSTRUKSI</t>
        </is>
      </c>
      <c r="B114" t="inlineStr">
        <is>
          <t>Kota Batam</t>
        </is>
      </c>
      <c r="C114" t="inlineStr">
        <is>
          <t>081233338181</t>
        </is>
      </c>
      <c r="D114" t="inlineStr">
        <is>
          <t>mitrakaryakonstruksi.pt@gmail.com</t>
        </is>
      </c>
      <c r="E114" t="inlineStr">
        <is>
          <t>https://lpjk.pu.go.id/search-badan-usaha-detail/bmNmbUdHbERDdG5PMUJ1M25SaHR4UT09</t>
        </is>
      </c>
      <c r="F114" t="n">
        <v>1</v>
      </c>
      <c r="G114" t="inlineStr">
        <is>
          <t>BG001</t>
        </is>
      </c>
      <c r="H114" t="inlineStr">
        <is>
          <t>25 Juni 2011</t>
        </is>
      </c>
      <c r="I114" s="2" t="n">
        <v>46263</v>
      </c>
      <c r="J114" t="inlineStr">
        <is>
          <t>Pembekuan</t>
        </is>
      </c>
      <c r="K114" t="n">
        <v>60</v>
      </c>
      <c r="L114" t="inlineStr">
        <is>
          <t>29 Agustus 2026</t>
        </is>
      </c>
      <c r="M114" t="inlineStr">
        <is>
          <t>Konstruksi Gedung Hunian</t>
        </is>
      </c>
      <c r="N114" t="inlineStr">
        <is>
          <t>M</t>
        </is>
      </c>
      <c r="O114" t="inlineStr">
        <is>
          <t>20230826</t>
        </is>
      </c>
      <c r="P114" t="inlineStr">
        <is>
          <t>Kepulauan Riau</t>
        </is>
      </c>
      <c r="Q114" t="inlineStr"/>
    </row>
    <row r="115">
      <c r="A115" t="inlineStr">
        <is>
          <t>MITRA MUDA PRIMA</t>
        </is>
      </c>
      <c r="B115" t="inlineStr">
        <is>
          <t>Kab. Kutai Timur</t>
        </is>
      </c>
      <c r="C115" t="inlineStr">
        <is>
          <t>0541271764</t>
        </is>
      </c>
      <c r="D115" t="inlineStr">
        <is>
          <t>mitramudaprima@gmail.com</t>
        </is>
      </c>
      <c r="E115" t="inlineStr">
        <is>
          <t>https://lpjk.pu.go.id/search-badan-usaha-detail/QnlJb1N5cGJMcC9GYk50K0dCZ1hYdz09</t>
        </is>
      </c>
      <c r="F115" t="n">
        <v>2</v>
      </c>
      <c r="G115" t="inlineStr">
        <is>
          <t>BG002, BS004</t>
        </is>
      </c>
      <c r="H115" t="inlineStr">
        <is>
          <t>13 Agustus 2018</t>
        </is>
      </c>
      <c r="I115" s="2" t="n">
        <v>46263</v>
      </c>
      <c r="J115" t="inlineStr">
        <is>
          <t>Disetujui</t>
        </is>
      </c>
      <c r="K115" t="n">
        <v>60</v>
      </c>
      <c r="L115" t="inlineStr">
        <is>
          <t>29 Agustus 2026</t>
        </is>
      </c>
      <c r="M115" t="inlineStr">
        <is>
          <t>Konstruksi Gedung Perkantoran, Konstruksi Jaringan Irigasi dan Drainase</t>
        </is>
      </c>
      <c r="N115" t="inlineStr">
        <is>
          <t>K</t>
        </is>
      </c>
      <c r="O115" t="inlineStr">
        <is>
          <t>20230829</t>
        </is>
      </c>
      <c r="P115" t="inlineStr">
        <is>
          <t>Kalimantan Timur</t>
        </is>
      </c>
      <c r="Q115" t="inlineStr"/>
    </row>
    <row r="116">
      <c r="A116" t="inlineStr">
        <is>
          <t>MULIA ARINDA</t>
        </is>
      </c>
      <c r="B116" t="inlineStr">
        <is>
          <t>Kab. Tangerang</t>
        </is>
      </c>
      <c r="C116" t="inlineStr">
        <is>
          <t>0215990198</t>
        </is>
      </c>
      <c r="D116" t="inlineStr">
        <is>
          <t>muliaarindacv@yahoo.com</t>
        </is>
      </c>
      <c r="E116" t="inlineStr">
        <is>
          <t>https://lpjk.pu.go.id/search-badan-usaha-detail/ZlNIOUdZMEdZZGg0VmdQV0Q2NU9yZz09</t>
        </is>
      </c>
      <c r="F116" t="n">
        <v>2</v>
      </c>
      <c r="G116" t="inlineStr">
        <is>
          <t>BS001, BS004</t>
        </is>
      </c>
      <c r="H116" t="inlineStr">
        <is>
          <t>12 Oktober 2009</t>
        </is>
      </c>
      <c r="I116" s="2" t="n">
        <v>46263</v>
      </c>
      <c r="J116" t="inlineStr">
        <is>
          <t>Disetujui</t>
        </is>
      </c>
      <c r="K116" t="n">
        <v>60</v>
      </c>
      <c r="L116" t="inlineStr">
        <is>
          <t>29 Agustus 2026</t>
        </is>
      </c>
      <c r="M116" t="inlineStr">
        <is>
          <t>Konstruksi Bangunan Sipil Jalan, Konstruksi Jaringan Irigasi dan Drainase</t>
        </is>
      </c>
      <c r="N116" t="inlineStr">
        <is>
          <t>K</t>
        </is>
      </c>
      <c r="O116" t="inlineStr">
        <is>
          <t>20230828</t>
        </is>
      </c>
      <c r="P116" t="inlineStr">
        <is>
          <t>Banten</t>
        </is>
      </c>
      <c r="Q116" t="inlineStr"/>
    </row>
    <row r="117">
      <c r="A117" t="inlineStr">
        <is>
          <t>MULTI KARYA BALENONG</t>
        </is>
      </c>
      <c r="B117" t="inlineStr">
        <is>
          <t>Kab. Agam</t>
        </is>
      </c>
      <c r="C117" t="inlineStr">
        <is>
          <t>08116688773</t>
        </is>
      </c>
      <c r="D117" t="inlineStr">
        <is>
          <t>chase.balenong@gmail.com</t>
        </is>
      </c>
      <c r="E117" t="inlineStr">
        <is>
          <t>https://lpjk.pu.go.id/search-badan-usaha-detail/UEJLMUVEZlRqOVFLM2s3YmtJdmZIdz09</t>
        </is>
      </c>
      <c r="F117" t="n">
        <v>4</v>
      </c>
      <c r="G117" t="inlineStr">
        <is>
          <t>BG002, BG005, BG006, BG009</t>
        </is>
      </c>
      <c r="H117" t="inlineStr">
        <is>
          <t>19 Februari 2018</t>
        </is>
      </c>
      <c r="I117" s="2" t="n">
        <v>46263</v>
      </c>
      <c r="J117" t="inlineStr">
        <is>
          <t>Disetujui</t>
        </is>
      </c>
      <c r="K117" t="n">
        <v>60</v>
      </c>
      <c r="L117" t="inlineStr">
        <is>
          <t>29 Agustus 2026</t>
        </is>
      </c>
      <c r="M117" t="inlineStr">
        <is>
          <t>Konstruksi Gedung Kesehatan, Konstruksi Gedung Lainnya, Konstruksi Gedung Pendidikan, Konstruksi Gedung Perkantoran</t>
        </is>
      </c>
      <c r="N117" t="inlineStr">
        <is>
          <t>K</t>
        </is>
      </c>
      <c r="O117" t="inlineStr">
        <is>
          <t>20230219, 20230809</t>
        </is>
      </c>
      <c r="P117" t="inlineStr">
        <is>
          <t>Sumatera Barat</t>
        </is>
      </c>
      <c r="Q117" t="inlineStr"/>
    </row>
    <row r="118">
      <c r="A118" t="inlineStr">
        <is>
          <t>MULTI USAHA GROUP</t>
        </is>
      </c>
      <c r="B118" t="inlineStr">
        <is>
          <t>Kab. Aceh Barat</t>
        </is>
      </c>
      <c r="C118" t="inlineStr">
        <is>
          <t>081347259925</t>
        </is>
      </c>
      <c r="D118" t="inlineStr">
        <is>
          <t>multiusahagroup.id@gmail.com</t>
        </is>
      </c>
      <c r="E118" t="inlineStr">
        <is>
          <t>https://lpjk.pu.go.id/search-badan-usaha-detail/c0dFQ3JQTXRXVitnTmVHZm83TGl2dz09</t>
        </is>
      </c>
      <c r="F118" t="n">
        <v>2</v>
      </c>
      <c r="G118" t="inlineStr">
        <is>
          <t>BG009, BS001</t>
        </is>
      </c>
      <c r="H118" t="inlineStr">
        <is>
          <t>27 Oktober 2021</t>
        </is>
      </c>
      <c r="I118" s="2" t="n">
        <v>46263</v>
      </c>
      <c r="J118" t="inlineStr">
        <is>
          <t>Disetujui</t>
        </is>
      </c>
      <c r="K118" t="n">
        <v>60</v>
      </c>
      <c r="L118" t="inlineStr">
        <is>
          <t>29 Agustus 2026</t>
        </is>
      </c>
      <c r="M118" t="inlineStr">
        <is>
          <t>Konstruksi Bangunan Sipil Jalan, Konstruksi Gedung Lainnya</t>
        </is>
      </c>
      <c r="N118" t="inlineStr">
        <is>
          <t>K</t>
        </is>
      </c>
      <c r="O118" t="inlineStr">
        <is>
          <t>20230823, 20230824</t>
        </is>
      </c>
      <c r="P118" t="inlineStr">
        <is>
          <t>Aceh</t>
        </is>
      </c>
      <c r="Q118" t="inlineStr"/>
    </row>
    <row r="119">
      <c r="A119" t="inlineStr">
        <is>
          <t>MULTIPLAN KONSULTAN</t>
        </is>
      </c>
      <c r="B119" t="inlineStr">
        <is>
          <t>Kota Jambi</t>
        </is>
      </c>
      <c r="C119" t="inlineStr">
        <is>
          <t>-</t>
        </is>
      </c>
      <c r="D119" t="inlineStr">
        <is>
          <t>ardityaaulia@gmail.com</t>
        </is>
      </c>
      <c r="E119" t="inlineStr">
        <is>
          <t>https://lpjk.pu.go.id/search-badan-usaha-detail/R0Fsc0hHYmFxUFZJVHZ1cmw3Z2FuQT09</t>
        </is>
      </c>
      <c r="F119" t="n">
        <v>1</v>
      </c>
      <c r="G119" t="inlineStr">
        <is>
          <t>RK001</t>
        </is>
      </c>
      <c r="H119" t="inlineStr">
        <is>
          <t>25 Februari 2020</t>
        </is>
      </c>
      <c r="I119" s="2" t="n">
        <v>46263</v>
      </c>
      <c r="J119" t="inlineStr">
        <is>
          <t>Disetujui</t>
        </is>
      </c>
      <c r="K119" t="n">
        <v>60</v>
      </c>
      <c r="L119" t="inlineStr">
        <is>
          <t>29 Agustus 2026</t>
        </is>
      </c>
      <c r="M119" t="inlineStr">
        <is>
          <t>Jasa Rekayasa Konstruksi Bangunan Gedung Hunian dan Non Hunian</t>
        </is>
      </c>
      <c r="N119" t="inlineStr">
        <is>
          <t>K</t>
        </is>
      </c>
      <c r="O119" t="inlineStr">
        <is>
          <t>20230202</t>
        </is>
      </c>
      <c r="P119" t="inlineStr">
        <is>
          <t>Jambi</t>
        </is>
      </c>
      <c r="Q119" t="inlineStr"/>
    </row>
    <row r="120">
      <c r="A120" t="inlineStr">
        <is>
          <t>NARARYA PRAMESTINDO</t>
        </is>
      </c>
      <c r="B120" t="inlineStr">
        <is>
          <t>Kab. Banyumas</t>
        </is>
      </c>
      <c r="C120" t="inlineStr">
        <is>
          <t>082242343777</t>
        </is>
      </c>
      <c r="D120" t="inlineStr">
        <is>
          <t>nararyapramestindo@gmail.com</t>
        </is>
      </c>
      <c r="E120" t="inlineStr">
        <is>
          <t>https://lpjk.pu.go.id/search-badan-usaha-detail/L3hxNWp5eFEvMU9ndXliQng4emZBZz09</t>
        </is>
      </c>
      <c r="F120" t="n">
        <v>8</v>
      </c>
      <c r="G120" t="inlineStr">
        <is>
          <t>BG001, BG005, BG006, BG009</t>
        </is>
      </c>
      <c r="H120" t="inlineStr">
        <is>
          <t>5 Juli 2023</t>
        </is>
      </c>
      <c r="I120" s="2" t="n">
        <v>46263</v>
      </c>
      <c r="J120" t="inlineStr">
        <is>
          <t>Disetujui</t>
        </is>
      </c>
      <c r="K120" t="n">
        <v>60</v>
      </c>
      <c r="L120" t="inlineStr">
        <is>
          <t>29 Agustus 2026</t>
        </is>
      </c>
      <c r="M120" t="inlineStr">
        <is>
          <t>Konstruksi Gedung Hunian, Konstruksi Gedung Kesehatan, Konstruksi Gedung Lainnya, Konstruksi Gedung Pendidikan</t>
        </is>
      </c>
      <c r="N120" t="inlineStr">
        <is>
          <t>K</t>
        </is>
      </c>
      <c r="O120" t="inlineStr">
        <is>
          <t>20230822</t>
        </is>
      </c>
      <c r="P120" t="inlineStr">
        <is>
          <t>Jawa Tengah</t>
        </is>
      </c>
      <c r="Q120" t="inlineStr"/>
    </row>
    <row r="121">
      <c r="A121" t="inlineStr">
        <is>
          <t>NATURA SINERGI PRATAMA</t>
        </is>
      </c>
      <c r="B121" t="inlineStr">
        <is>
          <t>Kab. Tanah Datar</t>
        </is>
      </c>
      <c r="C121" t="inlineStr">
        <is>
          <t>081363132133</t>
        </is>
      </c>
      <c r="D121" t="inlineStr">
        <is>
          <t>iwan.nsp@gmail.com</t>
        </is>
      </c>
      <c r="E121" t="inlineStr">
        <is>
          <t>https://lpjk.pu.go.id/search-badan-usaha-detail/a3dvcjhFV3BIL2tZWUhid2d6WkFGZz09</t>
        </is>
      </c>
      <c r="F121" t="n">
        <v>1</v>
      </c>
      <c r="G121" t="inlineStr">
        <is>
          <t>BG006</t>
        </is>
      </c>
      <c r="H121" t="inlineStr">
        <is>
          <t>1 Oktober 2007</t>
        </is>
      </c>
      <c r="I121" s="2" t="n">
        <v>46263</v>
      </c>
      <c r="J121" t="inlineStr">
        <is>
          <t>Disetujui</t>
        </is>
      </c>
      <c r="K121" t="n">
        <v>60</v>
      </c>
      <c r="L121" t="inlineStr">
        <is>
          <t>29 Agustus 2026</t>
        </is>
      </c>
      <c r="M121" t="inlineStr">
        <is>
          <t>Konstruksi Gedung Pendidikan</t>
        </is>
      </c>
      <c r="N121" t="inlineStr">
        <is>
          <t>K</t>
        </is>
      </c>
      <c r="O121" t="inlineStr">
        <is>
          <t>20230823</t>
        </is>
      </c>
      <c r="P121" t="inlineStr">
        <is>
          <t>Sumatera Barat</t>
        </is>
      </c>
      <c r="Q121" t="inlineStr"/>
    </row>
    <row r="122">
      <c r="A122" t="inlineStr">
        <is>
          <t>NAURAH UTAMA</t>
        </is>
      </c>
      <c r="B122" t="inlineStr">
        <is>
          <t>Kota Padang Sidempuan</t>
        </is>
      </c>
      <c r="C122" t="inlineStr">
        <is>
          <t>082162960176</t>
        </is>
      </c>
      <c r="D122" t="inlineStr">
        <is>
          <t>cvnaurahutama@gmail.com</t>
        </is>
      </c>
      <c r="E122" t="inlineStr">
        <is>
          <t>https://lpjk.pu.go.id/search-badan-usaha-detail/NllTcnhvK3pZVlZ3VGVINzlDOHJJUT09</t>
        </is>
      </c>
      <c r="F122" t="n">
        <v>2</v>
      </c>
      <c r="G122" t="inlineStr">
        <is>
          <t>BS001, BS004</t>
        </is>
      </c>
      <c r="H122" t="inlineStr">
        <is>
          <t>23 Agustus 2023</t>
        </is>
      </c>
      <c r="I122" s="2" t="n">
        <v>46263</v>
      </c>
      <c r="J122" t="inlineStr">
        <is>
          <t>Disetujui</t>
        </is>
      </c>
      <c r="K122" t="n">
        <v>60</v>
      </c>
      <c r="L122" t="inlineStr">
        <is>
          <t>29 Agustus 2026</t>
        </is>
      </c>
      <c r="M122" t="inlineStr">
        <is>
          <t>Konstruksi Bangunan Sipil Jalan, Konstruksi Jaringan Irigasi dan Drainase</t>
        </is>
      </c>
      <c r="N122" t="inlineStr">
        <is>
          <t>K</t>
        </is>
      </c>
      <c r="O122" t="inlineStr">
        <is>
          <t>20230829</t>
        </is>
      </c>
      <c r="P122" t="inlineStr">
        <is>
          <t>Sumatera Utara</t>
        </is>
      </c>
      <c r="Q122" t="inlineStr"/>
    </row>
    <row r="123">
      <c r="A123" t="inlineStr">
        <is>
          <t>NIAGA SUBATRA KONSTRUKSI</t>
        </is>
      </c>
      <c r="B123" t="inlineStr">
        <is>
          <t>Kota Bau Bau</t>
        </is>
      </c>
      <c r="C123" t="inlineStr">
        <is>
          <t>082271226654</t>
        </is>
      </c>
      <c r="D123" t="inlineStr">
        <is>
          <t>cvniagasubatrakonstruksi@gmail.com</t>
        </is>
      </c>
      <c r="E123" t="inlineStr">
        <is>
          <t>https://lpjk.pu.go.id/search-badan-usaha-detail/bTgreVhsWmI4OFY4YjZQWmJjSTdKZz09</t>
        </is>
      </c>
      <c r="F123" t="n">
        <v>4</v>
      </c>
      <c r="G123" t="inlineStr">
        <is>
          <t>BG001, BG002, BG005, BG006</t>
        </is>
      </c>
      <c r="H123" t="inlineStr">
        <is>
          <t>19 Juni 2023</t>
        </is>
      </c>
      <c r="I123" s="2" t="n">
        <v>46263</v>
      </c>
      <c r="J123" t="inlineStr">
        <is>
          <t>Disetujui</t>
        </is>
      </c>
      <c r="K123" t="n">
        <v>60</v>
      </c>
      <c r="L123" t="inlineStr">
        <is>
          <t>29 Agustus 2026</t>
        </is>
      </c>
      <c r="M123" t="inlineStr">
        <is>
          <t>Konstruksi Gedung Hunian, Konstruksi Gedung Kesehatan, Konstruksi Gedung Pendidikan, Konstruksi Gedung Perkantoran</t>
        </is>
      </c>
      <c r="N123" t="inlineStr">
        <is>
          <t>K</t>
        </is>
      </c>
      <c r="O123" t="inlineStr">
        <is>
          <t>20230829</t>
        </is>
      </c>
      <c r="P123" t="inlineStr">
        <is>
          <t>Sulawesi Tenggara</t>
        </is>
      </c>
      <c r="Q123" t="inlineStr"/>
    </row>
    <row r="124">
      <c r="A124" t="inlineStr">
        <is>
          <t>NUSA TADON ADONARA</t>
        </is>
      </c>
      <c r="B124" t="inlineStr">
        <is>
          <t>Kab. Badung</t>
        </is>
      </c>
      <c r="C124" t="inlineStr">
        <is>
          <t>081338526926</t>
        </is>
      </c>
      <c r="D124" t="inlineStr">
        <is>
          <t>ptnusatadonadonara@gmail.com</t>
        </is>
      </c>
      <c r="E124" t="inlineStr">
        <is>
          <t>https://lpjk.pu.go.id/search-badan-usaha-detail/RWtINGM3TEIydGgwcUdVWEViL1dodz09</t>
        </is>
      </c>
      <c r="F124" t="n">
        <v>4</v>
      </c>
      <c r="G124" t="inlineStr">
        <is>
          <t>BG004, BG005, BG006, BG009</t>
        </is>
      </c>
      <c r="H124" t="inlineStr">
        <is>
          <t>20 Januari 2022</t>
        </is>
      </c>
      <c r="I124" s="2" t="n">
        <v>46263</v>
      </c>
      <c r="J124" t="inlineStr">
        <is>
          <t>Disetujui</t>
        </is>
      </c>
      <c r="K124" t="n">
        <v>60</v>
      </c>
      <c r="L124" t="inlineStr">
        <is>
          <t>29 Agustus 2026</t>
        </is>
      </c>
      <c r="M124" t="inlineStr">
        <is>
          <t>Konstruksi Gedung Kesehatan, Konstruksi Gedung Lainnya, Konstruksi Gedung Pendidikan, Konstruksi Gedung Perbelanjaan</t>
        </is>
      </c>
      <c r="N124" t="inlineStr">
        <is>
          <t>K</t>
        </is>
      </c>
      <c r="O124" t="inlineStr">
        <is>
          <t>20230829, 20230830</t>
        </is>
      </c>
      <c r="P124" t="inlineStr">
        <is>
          <t>Bali</t>
        </is>
      </c>
      <c r="Q124" t="inlineStr"/>
    </row>
    <row r="125">
      <c r="A125" t="inlineStr">
        <is>
          <t>PADATI BOLON</t>
        </is>
      </c>
      <c r="B125" t="inlineStr">
        <is>
          <t>Kab. Dairi</t>
        </is>
      </c>
      <c r="C125" t="inlineStr">
        <is>
          <t>081263945665</t>
        </is>
      </c>
      <c r="D125" t="inlineStr">
        <is>
          <t>andreassimbolon820@yahoo.com</t>
        </is>
      </c>
      <c r="E125" t="inlineStr">
        <is>
          <t>https://lpjk.pu.go.id/search-badan-usaha-detail/NHFLbUZuNVNqa3RkU0lJY0hTOU5WQT09</t>
        </is>
      </c>
      <c r="F125" t="n">
        <v>1</v>
      </c>
      <c r="G125" t="inlineStr">
        <is>
          <t>BG009</t>
        </is>
      </c>
      <c r="H125" t="inlineStr">
        <is>
          <t>19 April 2022</t>
        </is>
      </c>
      <c r="I125" s="2" t="n">
        <v>46263</v>
      </c>
      <c r="J125" t="inlineStr">
        <is>
          <t>Disetujui</t>
        </is>
      </c>
      <c r="K125" t="n">
        <v>60</v>
      </c>
      <c r="L125" t="inlineStr">
        <is>
          <t>29 Agustus 2026</t>
        </is>
      </c>
      <c r="M125" t="inlineStr">
        <is>
          <t>Konstruksi Gedung Lainnya</t>
        </is>
      </c>
      <c r="N125" t="inlineStr">
        <is>
          <t>K</t>
        </is>
      </c>
      <c r="O125" t="inlineStr">
        <is>
          <t>20230829</t>
        </is>
      </c>
      <c r="P125" t="inlineStr">
        <is>
          <t>Sumatera Utara</t>
        </is>
      </c>
      <c r="Q125" t="inlineStr"/>
    </row>
    <row r="126">
      <c r="A126" t="inlineStr">
        <is>
          <t>PARAMARTA MUTIARA KARSA</t>
        </is>
      </c>
      <c r="B126" t="inlineStr">
        <is>
          <t>Kota Adm. Jakarta Barat</t>
        </is>
      </c>
      <c r="C126" t="inlineStr">
        <is>
          <t>081932532137</t>
        </is>
      </c>
      <c r="D126" t="inlineStr">
        <is>
          <t>paramarta.mk@gmail.com</t>
        </is>
      </c>
      <c r="E126" t="inlineStr">
        <is>
          <t>https://lpjk.pu.go.id/search-badan-usaha-detail/YkFFaWRqM245SVV4TS9URHU1NkptUT09</t>
        </is>
      </c>
      <c r="F126" t="n">
        <v>1</v>
      </c>
      <c r="G126" t="inlineStr">
        <is>
          <t>BG009</t>
        </is>
      </c>
      <c r="H126" t="inlineStr">
        <is>
          <t>8 Maret 2023</t>
        </is>
      </c>
      <c r="I126" s="2" t="n">
        <v>46263</v>
      </c>
      <c r="J126" t="inlineStr">
        <is>
          <t>Disetujui</t>
        </is>
      </c>
      <c r="K126" t="n">
        <v>60</v>
      </c>
      <c r="L126" t="inlineStr">
        <is>
          <t>29 Agustus 2026</t>
        </is>
      </c>
      <c r="M126" t="inlineStr">
        <is>
          <t>Konstruksi Gedung Lainnya</t>
        </is>
      </c>
      <c r="N126" t="inlineStr">
        <is>
          <t>K</t>
        </is>
      </c>
      <c r="O126" t="inlineStr">
        <is>
          <t>20230818</t>
        </is>
      </c>
      <c r="P126" t="inlineStr">
        <is>
          <t>DKI Jakarta</t>
        </is>
      </c>
      <c r="Q126" t="inlineStr"/>
    </row>
    <row r="127">
      <c r="A127" t="inlineStr">
        <is>
          <t>PELANGI JAYA ENGINEERING</t>
        </is>
      </c>
      <c r="B127" t="inlineStr">
        <is>
          <t>Kota Bandung</t>
        </is>
      </c>
      <c r="C127" t="inlineStr">
        <is>
          <t>08122340414</t>
        </is>
      </c>
      <c r="D127" t="inlineStr">
        <is>
          <t>pelangijayajayajaya@gmail.com</t>
        </is>
      </c>
      <c r="E127" t="inlineStr">
        <is>
          <t>https://lpjk.pu.go.id/search-badan-usaha-detail/NU5yQVJmemRGd1h2S2hsMlhUalI3UT09</t>
        </is>
      </c>
      <c r="F127" t="n">
        <v>1</v>
      </c>
      <c r="G127" t="inlineStr">
        <is>
          <t>BS010</t>
        </is>
      </c>
      <c r="H127" t="inlineStr">
        <is>
          <t>28 Maret 2023</t>
        </is>
      </c>
      <c r="I127" s="2" t="n">
        <v>46263</v>
      </c>
      <c r="J127" t="inlineStr">
        <is>
          <t>Disetujui</t>
        </is>
      </c>
      <c r="K127" t="n">
        <v>60</v>
      </c>
      <c r="L127" t="inlineStr">
        <is>
          <t>29 Agustus 2026</t>
        </is>
      </c>
      <c r="M127" t="inlineStr">
        <is>
          <t>Konstruksi Bangunan Prasarana Sumber Daya Air</t>
        </is>
      </c>
      <c r="N127" t="inlineStr">
        <is>
          <t>K</t>
        </is>
      </c>
      <c r="O127" t="inlineStr">
        <is>
          <t>20230824</t>
        </is>
      </c>
      <c r="P127" t="inlineStr">
        <is>
          <t>Jawa Barat</t>
        </is>
      </c>
      <c r="Q127" t="inlineStr"/>
    </row>
    <row r="128">
      <c r="A128" t="inlineStr">
        <is>
          <t>PEMBANGUNAN KITA</t>
        </is>
      </c>
      <c r="B128" t="inlineStr">
        <is>
          <t>Kab. Mempawah</t>
        </is>
      </c>
      <c r="C128" t="inlineStr">
        <is>
          <t>-</t>
        </is>
      </c>
      <c r="D128" t="inlineStr">
        <is>
          <t>pembangunankita@yahoo.com</t>
        </is>
      </c>
      <c r="E128" t="inlineStr">
        <is>
          <t>https://lpjk.pu.go.id/search-badan-usaha-detail/bFJDSDJNT3NHOFJDM1dxRG9QWnU0dz09</t>
        </is>
      </c>
      <c r="F128" t="n">
        <v>1</v>
      </c>
      <c r="G128" t="inlineStr">
        <is>
          <t>BG006</t>
        </is>
      </c>
      <c r="H128" t="inlineStr">
        <is>
          <t>12 April 2002</t>
        </is>
      </c>
      <c r="I128" s="2" t="n">
        <v>46263</v>
      </c>
      <c r="J128" t="inlineStr">
        <is>
          <t>Pencabutan</t>
        </is>
      </c>
      <c r="K128" t="n">
        <v>60</v>
      </c>
      <c r="L128" t="inlineStr">
        <is>
          <t>29 Agustus 2026</t>
        </is>
      </c>
      <c r="M128" t="inlineStr">
        <is>
          <t>Konstruksi Gedung Pendidikan</t>
        </is>
      </c>
      <c r="N128" t="inlineStr">
        <is>
          <t>K</t>
        </is>
      </c>
      <c r="O128" t="inlineStr">
        <is>
          <t>20230830</t>
        </is>
      </c>
      <c r="P128" t="inlineStr">
        <is>
          <t>Kalimantan Barat</t>
        </is>
      </c>
      <c r="Q128" t="inlineStr"/>
    </row>
    <row r="129">
      <c r="A129" t="inlineStr">
        <is>
          <t>PERMATA HADI</t>
        </is>
      </c>
      <c r="B129" t="inlineStr">
        <is>
          <t>Kota Padang Sidempuan</t>
        </is>
      </c>
      <c r="C129" t="inlineStr">
        <is>
          <t>082166737356</t>
        </is>
      </c>
      <c r="D129" t="inlineStr">
        <is>
          <t>permatahadicv@yahoo.com</t>
        </is>
      </c>
      <c r="E129" t="inlineStr">
        <is>
          <t>https://lpjk.pu.go.id/search-badan-usaha-detail/QkwrZHpaV3JUMElEOE9LeGM0Z25wQT09</t>
        </is>
      </c>
      <c r="F129" t="n">
        <v>1</v>
      </c>
      <c r="G129" t="inlineStr">
        <is>
          <t>BG005</t>
        </is>
      </c>
      <c r="H129" t="inlineStr">
        <is>
          <t>25 Juni 2007</t>
        </is>
      </c>
      <c r="I129" s="2" t="n">
        <v>46263</v>
      </c>
      <c r="J129" t="inlineStr">
        <is>
          <t>Disetujui</t>
        </is>
      </c>
      <c r="K129" t="n">
        <v>60</v>
      </c>
      <c r="L129" t="inlineStr">
        <is>
          <t>29 Agustus 2026</t>
        </is>
      </c>
      <c r="M129" t="inlineStr">
        <is>
          <t>Konstruksi Gedung Kesehatan</t>
        </is>
      </c>
      <c r="N129" t="inlineStr">
        <is>
          <t>K</t>
        </is>
      </c>
      <c r="O129" t="inlineStr">
        <is>
          <t>20230818</t>
        </is>
      </c>
      <c r="P129" t="inlineStr">
        <is>
          <t>Sumatera Utara</t>
        </is>
      </c>
      <c r="Q129" t="inlineStr"/>
    </row>
    <row r="130">
      <c r="A130" t="inlineStr">
        <is>
          <t>PERMATA JAYA KARYA</t>
        </is>
      </c>
      <c r="B130" t="inlineStr">
        <is>
          <t>Kab. Malinau</t>
        </is>
      </c>
      <c r="C130" t="inlineStr">
        <is>
          <t>085250211107</t>
        </is>
      </c>
      <c r="D130" t="inlineStr">
        <is>
          <t>permatajayakarya@gmail.com</t>
        </is>
      </c>
      <c r="E130" t="inlineStr">
        <is>
          <t>https://lpjk.pu.go.id/search-badan-usaha-detail/azAzMjdOTTB1dW13YnlJeFpiMW8wUT09</t>
        </is>
      </c>
      <c r="F130" t="n">
        <v>1</v>
      </c>
      <c r="G130" t="inlineStr">
        <is>
          <t>BG005</t>
        </is>
      </c>
      <c r="H130" t="inlineStr">
        <is>
          <t>31 Januari 2023</t>
        </is>
      </c>
      <c r="I130" s="2" t="n">
        <v>46263</v>
      </c>
      <c r="J130" t="inlineStr">
        <is>
          <t>Disetujui</t>
        </is>
      </c>
      <c r="K130" t="n">
        <v>60</v>
      </c>
      <c r="L130" t="inlineStr">
        <is>
          <t>29 Agustus 2026</t>
        </is>
      </c>
      <c r="M130" t="inlineStr">
        <is>
          <t>Konstruksi Gedung Kesehatan</t>
        </is>
      </c>
      <c r="N130" t="inlineStr">
        <is>
          <t>K</t>
        </is>
      </c>
      <c r="O130" t="inlineStr">
        <is>
          <t>20230829</t>
        </is>
      </c>
      <c r="P130" t="inlineStr">
        <is>
          <t>Kalimantan Utara</t>
        </is>
      </c>
      <c r="Q130" t="inlineStr"/>
    </row>
    <row r="131">
      <c r="A131" t="inlineStr">
        <is>
          <t>PERMATA KARYA KENCANA</t>
        </is>
      </c>
      <c r="B131" t="inlineStr">
        <is>
          <t>Kota Medan</t>
        </is>
      </c>
      <c r="C131" t="inlineStr">
        <is>
          <t>081363843496</t>
        </is>
      </c>
      <c r="D131" t="inlineStr">
        <is>
          <t>ptpermatakaryakencana@yahoo.co.id</t>
        </is>
      </c>
      <c r="E131" t="inlineStr">
        <is>
          <t>https://lpjk.pu.go.id/search-badan-usaha-detail/MWFDdTRwUHdnc2MrKy94ZlVLTCtEdz09</t>
        </is>
      </c>
      <c r="F131" t="n">
        <v>1</v>
      </c>
      <c r="G131" t="inlineStr">
        <is>
          <t>BS004</t>
        </is>
      </c>
      <c r="H131" t="inlineStr">
        <is>
          <t>21 Maret 2013</t>
        </is>
      </c>
      <c r="I131" s="2" t="n">
        <v>46263</v>
      </c>
      <c r="J131" t="inlineStr">
        <is>
          <t>Disetujui</t>
        </is>
      </c>
      <c r="K131" t="n">
        <v>60</v>
      </c>
      <c r="L131" t="inlineStr">
        <is>
          <t>29 Agustus 2026</t>
        </is>
      </c>
      <c r="M131" t="inlineStr">
        <is>
          <t>Konstruksi Jaringan Irigasi dan Drainase</t>
        </is>
      </c>
      <c r="N131" t="inlineStr">
        <is>
          <t>M</t>
        </is>
      </c>
      <c r="O131" t="inlineStr">
        <is>
          <t>20230828</t>
        </is>
      </c>
      <c r="P131" t="inlineStr">
        <is>
          <t>Sumatera Utara</t>
        </is>
      </c>
      <c r="Q131" t="inlineStr"/>
    </row>
    <row r="132">
      <c r="A132" t="inlineStr">
        <is>
          <t>PETRA JAYA MANDIRI</t>
        </is>
      </c>
      <c r="B132" t="inlineStr">
        <is>
          <t>Kota Banda Aceh</t>
        </is>
      </c>
      <c r="C132" t="inlineStr">
        <is>
          <t>082360854345</t>
        </is>
      </c>
      <c r="D132" t="inlineStr">
        <is>
          <t>cv.petrajaya.007@gmail.com</t>
        </is>
      </c>
      <c r="E132" t="inlineStr">
        <is>
          <t>https://lpjk.pu.go.id/search-badan-usaha-detail/dzh0Wk5iaW1KaWpXU09jR2N6bmpUQT09</t>
        </is>
      </c>
      <c r="F132" t="n">
        <v>2</v>
      </c>
      <c r="G132" t="inlineStr">
        <is>
          <t>BG005, BG006</t>
        </is>
      </c>
      <c r="H132" t="inlineStr">
        <is>
          <t>10 Januari 2017</t>
        </is>
      </c>
      <c r="I132" s="2" t="n">
        <v>46263</v>
      </c>
      <c r="J132" t="inlineStr">
        <is>
          <t>Disetujui</t>
        </is>
      </c>
      <c r="K132" t="n">
        <v>60</v>
      </c>
      <c r="L132" t="inlineStr">
        <is>
          <t>29 Agustus 2026</t>
        </is>
      </c>
      <c r="M132" t="inlineStr">
        <is>
          <t>Konstruksi Gedung Kesehatan, Konstruksi Gedung Pendidikan</t>
        </is>
      </c>
      <c r="N132" t="inlineStr">
        <is>
          <t>K</t>
        </is>
      </c>
      <c r="O132" t="inlineStr">
        <is>
          <t>20230824</t>
        </is>
      </c>
      <c r="P132" t="inlineStr">
        <is>
          <t>Aceh</t>
        </is>
      </c>
      <c r="Q132" t="inlineStr"/>
    </row>
    <row r="133">
      <c r="A133" t="inlineStr">
        <is>
          <t>POS PROPERTI INDONESIA</t>
        </is>
      </c>
      <c r="B133" t="inlineStr">
        <is>
          <t>Kota Bandung</t>
        </is>
      </c>
      <c r="C133" t="inlineStr">
        <is>
          <t>081229875285</t>
        </is>
      </c>
      <c r="D133" t="inlineStr">
        <is>
          <t>dianfermana@posproperti.co.id</t>
        </is>
      </c>
      <c r="E133" t="inlineStr">
        <is>
          <t>https://lpjk.pu.go.id/search-badan-usaha-detail/MWJySDNWUTBDc2w0ajk0S3l5TGZyZz09</t>
        </is>
      </c>
      <c r="F133" t="n">
        <v>1</v>
      </c>
      <c r="G133" t="inlineStr">
        <is>
          <t>BG009</t>
        </is>
      </c>
      <c r="H133" t="inlineStr">
        <is>
          <t>31 Desember 2013</t>
        </is>
      </c>
      <c r="I133" s="2" t="n">
        <v>46263</v>
      </c>
      <c r="J133" t="inlineStr">
        <is>
          <t>Disetujui</t>
        </is>
      </c>
      <c r="K133" t="n">
        <v>60</v>
      </c>
      <c r="L133" t="inlineStr">
        <is>
          <t>29 Agustus 2026</t>
        </is>
      </c>
      <c r="M133" t="inlineStr">
        <is>
          <t>Konstruksi Gedung Lainnya</t>
        </is>
      </c>
      <c r="N133" t="inlineStr">
        <is>
          <t>M</t>
        </is>
      </c>
      <c r="O133" t="inlineStr">
        <is>
          <t>20230330</t>
        </is>
      </c>
      <c r="P133" t="inlineStr">
        <is>
          <t>Jawa Barat</t>
        </is>
      </c>
      <c r="Q133" t="inlineStr"/>
    </row>
    <row r="134">
      <c r="A134" t="inlineStr">
        <is>
          <t>PRAKARSA</t>
        </is>
      </c>
      <c r="B134" t="inlineStr">
        <is>
          <t>Kab. Nunukan</t>
        </is>
      </c>
      <c r="C134" t="inlineStr">
        <is>
          <t>085387877878</t>
        </is>
      </c>
      <c r="D134" t="inlineStr">
        <is>
          <t>ahmadfauzi.pmi@gmail.com</t>
        </is>
      </c>
      <c r="E134" t="inlineStr">
        <is>
          <t>https://lpjk.pu.go.id/search-badan-usaha-detail/VFJXMSsxSVY2dWNpRjZnaHBrS2FRZz09</t>
        </is>
      </c>
      <c r="F134" t="n">
        <v>2</v>
      </c>
      <c r="G134" t="inlineStr">
        <is>
          <t>BG006, BS001</t>
        </is>
      </c>
      <c r="H134" t="inlineStr">
        <is>
          <t>17 November 2008</t>
        </is>
      </c>
      <c r="I134" s="2" t="n">
        <v>46263</v>
      </c>
      <c r="J134" t="inlineStr">
        <is>
          <t>Disetujui</t>
        </is>
      </c>
      <c r="K134" t="n">
        <v>60</v>
      </c>
      <c r="L134" t="inlineStr">
        <is>
          <t>29 Agustus 2026</t>
        </is>
      </c>
      <c r="M134" t="inlineStr">
        <is>
          <t>Konstruksi Bangunan Sipil Jalan, Konstruksi Gedung Pendidikan</t>
        </is>
      </c>
      <c r="N134" t="inlineStr">
        <is>
          <t>K</t>
        </is>
      </c>
      <c r="O134" t="inlineStr">
        <is>
          <t>20230820, 20230823</t>
        </is>
      </c>
      <c r="P134" t="inlineStr">
        <is>
          <t>Kalimantan Utara</t>
        </is>
      </c>
      <c r="Q134" t="inlineStr"/>
    </row>
    <row r="135">
      <c r="A135" t="inlineStr">
        <is>
          <t>PRIMA USAHA BARU GROUP</t>
        </is>
      </c>
      <c r="B135" t="inlineStr">
        <is>
          <t>Kab. Kudus</t>
        </is>
      </c>
      <c r="C135" t="inlineStr">
        <is>
          <t>0816660100</t>
        </is>
      </c>
      <c r="D135" t="inlineStr">
        <is>
          <t>primausahabarugroup@gmail.com</t>
        </is>
      </c>
      <c r="E135" t="inlineStr">
        <is>
          <t>https://lpjk.pu.go.id/search-badan-usaha-detail/bHlxeTdycVhDOHk4OTBZemVya2gxZz09</t>
        </is>
      </c>
      <c r="F135" t="n">
        <v>4</v>
      </c>
      <c r="G135" t="inlineStr">
        <is>
          <t>BG002, BG004, BG005, BG006</t>
        </is>
      </c>
      <c r="H135" t="inlineStr">
        <is>
          <t>5 Februari 2020</t>
        </is>
      </c>
      <c r="I135" s="2" t="n">
        <v>46263</v>
      </c>
      <c r="J135" t="inlineStr">
        <is>
          <t>Disetujui</t>
        </is>
      </c>
      <c r="K135" t="n">
        <v>60</v>
      </c>
      <c r="L135" t="inlineStr">
        <is>
          <t>29 Agustus 2026</t>
        </is>
      </c>
      <c r="M135" t="inlineStr">
        <is>
          <t>Konstruksi Gedung Kesehatan, Konstruksi Gedung Pendidikan, Konstruksi Gedung Perbelanjaan, Konstruksi Gedung Perkantoran</t>
        </is>
      </c>
      <c r="N135" t="inlineStr">
        <is>
          <t>K</t>
        </is>
      </c>
      <c r="O135" t="inlineStr">
        <is>
          <t>20230824</t>
        </is>
      </c>
      <c r="P135" t="inlineStr">
        <is>
          <t>Jawa Tengah</t>
        </is>
      </c>
      <c r="Q135" t="inlineStr"/>
    </row>
    <row r="136">
      <c r="A136" t="inlineStr">
        <is>
          <t>PUJA BUANA INDAH</t>
        </is>
      </c>
      <c r="B136" t="inlineStr">
        <is>
          <t>Kota Bima</t>
        </is>
      </c>
      <c r="C136" t="inlineStr">
        <is>
          <t>0823 3903 9180</t>
        </is>
      </c>
      <c r="D136" t="inlineStr">
        <is>
          <t>buanabima123@gmail.com</t>
        </is>
      </c>
      <c r="E136" t="inlineStr">
        <is>
          <t>https://lpjk.pu.go.id/search-badan-usaha-detail/Sm44WTFVYzNSTm5pVHBMSFpMU1ZjZz09</t>
        </is>
      </c>
      <c r="F136" t="n">
        <v>1</v>
      </c>
      <c r="G136" t="inlineStr">
        <is>
          <t>BS010</t>
        </is>
      </c>
      <c r="H136" t="inlineStr">
        <is>
          <t>1 Agustus 1998</t>
        </is>
      </c>
      <c r="I136" s="2" t="n">
        <v>46263</v>
      </c>
      <c r="J136" t="inlineStr">
        <is>
          <t>Disetujui</t>
        </is>
      </c>
      <c r="K136" t="n">
        <v>60</v>
      </c>
      <c r="L136" t="inlineStr">
        <is>
          <t>29 Agustus 2026</t>
        </is>
      </c>
      <c r="M136" t="inlineStr">
        <is>
          <t>Konstruksi Bangunan Prasarana Sumber Daya Air</t>
        </is>
      </c>
      <c r="N136" t="inlineStr">
        <is>
          <t>K</t>
        </is>
      </c>
      <c r="O136" t="inlineStr">
        <is>
          <t>20230824</t>
        </is>
      </c>
      <c r="P136" t="inlineStr">
        <is>
          <t>Nusa Tenggara Barat</t>
        </is>
      </c>
      <c r="Q136" t="inlineStr"/>
    </row>
    <row r="137">
      <c r="A137" t="inlineStr">
        <is>
          <t>PUTRA ANUGERAH PROPERTINDO</t>
        </is>
      </c>
      <c r="B137" t="inlineStr">
        <is>
          <t>Kota Kendari</t>
        </is>
      </c>
      <c r="C137" t="inlineStr">
        <is>
          <t>081935419225</t>
        </is>
      </c>
      <c r="D137" t="inlineStr">
        <is>
          <t>putraanugerahpropertindo.pt@gmail.com</t>
        </is>
      </c>
      <c r="E137" t="inlineStr">
        <is>
          <t>https://lpjk.pu.go.id/search-badan-usaha-detail/aXVsUTlGMDVMeUdDQWY5STNiaFJoZz09</t>
        </is>
      </c>
      <c r="F137" t="n">
        <v>1</v>
      </c>
      <c r="G137" t="inlineStr">
        <is>
          <t>BG001</t>
        </is>
      </c>
      <c r="H137" t="inlineStr">
        <is>
          <t>29 April 2019</t>
        </is>
      </c>
      <c r="I137" s="2" t="n">
        <v>46263</v>
      </c>
      <c r="J137" t="inlineStr">
        <is>
          <t>Disetujui</t>
        </is>
      </c>
      <c r="K137" t="n">
        <v>60</v>
      </c>
      <c r="L137" t="inlineStr">
        <is>
          <t>29 Agustus 2026</t>
        </is>
      </c>
      <c r="M137" t="inlineStr">
        <is>
          <t>Konstruksi Gedung Hunian</t>
        </is>
      </c>
      <c r="N137" t="inlineStr">
        <is>
          <t>K</t>
        </is>
      </c>
      <c r="O137" t="inlineStr">
        <is>
          <t>20230829</t>
        </is>
      </c>
      <c r="P137" t="inlineStr">
        <is>
          <t>Sulawesi Tenggara</t>
        </is>
      </c>
      <c r="Q137" t="inlineStr"/>
    </row>
    <row r="138">
      <c r="A138" t="inlineStr">
        <is>
          <t>PUTRA BUNGSU</t>
        </is>
      </c>
      <c r="B138" t="inlineStr">
        <is>
          <t>Kab. Aceh Tamiang</t>
        </is>
      </c>
      <c r="C138" t="inlineStr">
        <is>
          <t>0811686060</t>
        </is>
      </c>
      <c r="D138" t="inlineStr">
        <is>
          <t>putrabungsu.tamiang@gmail.com</t>
        </is>
      </c>
      <c r="E138" t="inlineStr">
        <is>
          <t>https://lpjk.pu.go.id/search-badan-usaha-detail/d1NTc0lVOGpzdUVYY3hHS0F0QXJEQT09</t>
        </is>
      </c>
      <c r="F138" t="n">
        <v>7</v>
      </c>
      <c r="G138" t="inlineStr">
        <is>
          <t>BG001, BG005, BG006, BS001, BS002</t>
        </is>
      </c>
      <c r="H138" t="inlineStr">
        <is>
          <t>29 November 2001</t>
        </is>
      </c>
      <c r="I138" s="2" t="n">
        <v>46263</v>
      </c>
      <c r="J138" t="inlineStr">
        <is>
          <t>Pencabutan</t>
        </is>
      </c>
      <c r="K138" t="n">
        <v>60</v>
      </c>
      <c r="L138" t="inlineStr">
        <is>
          <t>29 Agustus 2026</t>
        </is>
      </c>
      <c r="M138" t="inlineStr">
        <is>
          <t>Bangunan Sipil Jembatan, Jalan Layang, Fly Over, dan Underpass, Konstruksi Bangunan Sipil Jalan, Konstruksi Gedung Hunian, Konstruksi Gedung Kesehatan, Konstruksi Gedung Pendidikan</t>
        </is>
      </c>
      <c r="N138" t="inlineStr">
        <is>
          <t>K</t>
        </is>
      </c>
      <c r="O138" t="inlineStr">
        <is>
          <t>20230829</t>
        </is>
      </c>
      <c r="P138" t="inlineStr">
        <is>
          <t>Aceh</t>
        </is>
      </c>
      <c r="Q138" t="inlineStr"/>
    </row>
    <row r="139">
      <c r="A139" t="inlineStr">
        <is>
          <t>PUTRA DEWATA</t>
        </is>
      </c>
      <c r="B139" t="inlineStr">
        <is>
          <t>Kota Blitar</t>
        </is>
      </c>
      <c r="C139" t="inlineStr">
        <is>
          <t>0</t>
        </is>
      </c>
      <c r="D139" t="inlineStr">
        <is>
          <t>putradewata_cv@yahoo.co.id</t>
        </is>
      </c>
      <c r="E139" t="inlineStr">
        <is>
          <t>https://lpjk.pu.go.id/search-badan-usaha-detail/SDkzTHJ6YVFjcm9DamJuWDVaVkNldz09</t>
        </is>
      </c>
      <c r="F139" t="n">
        <v>1</v>
      </c>
      <c r="G139" t="inlineStr">
        <is>
          <t>BS001</t>
        </is>
      </c>
      <c r="H139" t="inlineStr">
        <is>
          <t>10 April 2001</t>
        </is>
      </c>
      <c r="I139" s="2" t="n">
        <v>46263</v>
      </c>
      <c r="J139" t="inlineStr">
        <is>
          <t>Disetujui</t>
        </is>
      </c>
      <c r="K139" t="n">
        <v>60</v>
      </c>
      <c r="L139" t="inlineStr">
        <is>
          <t>29 Agustus 2026</t>
        </is>
      </c>
      <c r="M139" t="inlineStr">
        <is>
          <t>Konstruksi Bangunan Sipil Jalan</t>
        </is>
      </c>
      <c r="N139" t="inlineStr">
        <is>
          <t>K</t>
        </is>
      </c>
      <c r="O139" t="inlineStr">
        <is>
          <t>20230804</t>
        </is>
      </c>
      <c r="P139" t="inlineStr">
        <is>
          <t>Jawa Timur</t>
        </is>
      </c>
      <c r="Q139" t="inlineStr"/>
    </row>
    <row r="140">
      <c r="A140" t="inlineStr">
        <is>
          <t>PUTRA KENCANA PRATAMA</t>
        </is>
      </c>
      <c r="B140" t="inlineStr">
        <is>
          <t>Kota Kendari</t>
        </is>
      </c>
      <c r="C140" t="inlineStr">
        <is>
          <t>0401 ____ ____</t>
        </is>
      </c>
      <c r="D140" t="inlineStr">
        <is>
          <t>8055UL@gmail.com</t>
        </is>
      </c>
      <c r="E140" t="inlineStr">
        <is>
          <t>https://lpjk.pu.go.id/search-badan-usaha-detail/amh3TlZ2UXlLc3dwTmYvbkVzOHdpQT09</t>
        </is>
      </c>
      <c r="F140" t="n">
        <v>1</v>
      </c>
      <c r="G140" t="inlineStr">
        <is>
          <t>BS004</t>
        </is>
      </c>
      <c r="H140" t="inlineStr">
        <is>
          <t>17 September 2003</t>
        </is>
      </c>
      <c r="I140" s="2" t="n">
        <v>46263</v>
      </c>
      <c r="J140" t="inlineStr">
        <is>
          <t>Disetujui</t>
        </is>
      </c>
      <c r="K140" t="n">
        <v>60</v>
      </c>
      <c r="L140" t="inlineStr">
        <is>
          <t>29 Agustus 2026</t>
        </is>
      </c>
      <c r="M140" t="inlineStr">
        <is>
          <t>Konstruksi Jaringan Irigasi dan Drainase</t>
        </is>
      </c>
      <c r="N140" t="inlineStr">
        <is>
          <t>K</t>
        </is>
      </c>
      <c r="O140" t="inlineStr">
        <is>
          <t>20230829</t>
        </is>
      </c>
      <c r="P140" t="inlineStr">
        <is>
          <t>Sulawesi Tenggara</t>
        </is>
      </c>
      <c r="Q140" t="inlineStr"/>
    </row>
    <row r="141">
      <c r="A141" t="inlineStr">
        <is>
          <t>PUTRA MAKMUR 37</t>
        </is>
      </c>
      <c r="B141" t="inlineStr">
        <is>
          <t>Kab. Tanah Bumbu</t>
        </is>
      </c>
      <c r="C141" t="inlineStr">
        <is>
          <t>082152919293</t>
        </is>
      </c>
      <c r="D141" t="inlineStr">
        <is>
          <t>cvputramakmur37@gmail.com</t>
        </is>
      </c>
      <c r="E141" t="inlineStr">
        <is>
          <t>https://lpjk.pu.go.id/search-badan-usaha-detail/Y2J1YVRmMWhpaHFHTUkxV3VadExmdz09</t>
        </is>
      </c>
      <c r="F141" t="n">
        <v>1</v>
      </c>
      <c r="G141" t="inlineStr">
        <is>
          <t>BG006</t>
        </is>
      </c>
      <c r="H141" t="inlineStr">
        <is>
          <t>15 Juni 2023</t>
        </is>
      </c>
      <c r="I141" s="2" t="n">
        <v>46263</v>
      </c>
      <c r="J141" t="inlineStr">
        <is>
          <t>Disetujui</t>
        </is>
      </c>
      <c r="K141" t="n">
        <v>60</v>
      </c>
      <c r="L141" t="inlineStr">
        <is>
          <t>29 Agustus 2026</t>
        </is>
      </c>
      <c r="M141" t="inlineStr">
        <is>
          <t>Konstruksi Gedung Pendidikan</t>
        </is>
      </c>
      <c r="N141" t="inlineStr">
        <is>
          <t>K</t>
        </is>
      </c>
      <c r="O141" t="inlineStr">
        <is>
          <t>20230824</t>
        </is>
      </c>
      <c r="P141" t="inlineStr">
        <is>
          <t>Kalimantan Selatan</t>
        </is>
      </c>
      <c r="Q141" t="inlineStr"/>
    </row>
    <row r="142">
      <c r="A142" t="inlineStr">
        <is>
          <t>PUTRA NATAMA ENGINEERING</t>
        </is>
      </c>
      <c r="B142" t="inlineStr">
        <is>
          <t>Kota Medan</t>
        </is>
      </c>
      <c r="C142" t="inlineStr">
        <is>
          <t>081314075327</t>
        </is>
      </c>
      <c r="D142" t="inlineStr">
        <is>
          <t>putra.natama@ymail.com</t>
        </is>
      </c>
      <c r="E142" t="inlineStr">
        <is>
          <t>https://lpjk.pu.go.id/search-badan-usaha-detail/ZXlpbDdwaW9ZeWUvSzhaRkJWdFNvdz09</t>
        </is>
      </c>
      <c r="F142" t="n">
        <v>1</v>
      </c>
      <c r="G142" t="inlineStr">
        <is>
          <t>BS002</t>
        </is>
      </c>
      <c r="H142" t="inlineStr">
        <is>
          <t>16 Desember 1999</t>
        </is>
      </c>
      <c r="I142" s="2" t="n">
        <v>46263</v>
      </c>
      <c r="J142" t="inlineStr">
        <is>
          <t>Disetujui</t>
        </is>
      </c>
      <c r="K142" t="n">
        <v>60</v>
      </c>
      <c r="L142" t="inlineStr">
        <is>
          <t>29 Agustus 2026</t>
        </is>
      </c>
      <c r="M142" t="inlineStr">
        <is>
          <t>Bangunan Sipil Jembatan, Jalan Layang, Fly Over, dan Underpass</t>
        </is>
      </c>
      <c r="N142" t="inlineStr">
        <is>
          <t>K</t>
        </is>
      </c>
      <c r="O142" t="inlineStr">
        <is>
          <t>20230829</t>
        </is>
      </c>
      <c r="P142" t="inlineStr">
        <is>
          <t>Sumatera Utara</t>
        </is>
      </c>
      <c r="Q142" t="inlineStr"/>
    </row>
    <row r="143">
      <c r="A143" t="inlineStr">
        <is>
          <t>PUTRA SASAK MANDIRI</t>
        </is>
      </c>
      <c r="B143" t="inlineStr">
        <is>
          <t>Kota Tangerang Selatan</t>
        </is>
      </c>
      <c r="C143" t="inlineStr">
        <is>
          <t>085772690921</t>
        </is>
      </c>
      <c r="D143" t="inlineStr">
        <is>
          <t>cv.putrasasakmandiri1@gmail.com</t>
        </is>
      </c>
      <c r="E143" t="inlineStr">
        <is>
          <t>https://lpjk.pu.go.id/search-badan-usaha-detail/Vm9ObUd2RXQvWkREbDlNSGNsbzZMUT09</t>
        </is>
      </c>
      <c r="F143" t="n">
        <v>3</v>
      </c>
      <c r="G143" t="inlineStr">
        <is>
          <t>BG006, BG009, BS001</t>
        </is>
      </c>
      <c r="H143" t="inlineStr">
        <is>
          <t>26 Januari 2015</t>
        </is>
      </c>
      <c r="I143" s="2" t="n">
        <v>46263</v>
      </c>
      <c r="J143" t="inlineStr">
        <is>
          <t>Disetujui</t>
        </is>
      </c>
      <c r="K143" t="n">
        <v>60</v>
      </c>
      <c r="L143" t="inlineStr">
        <is>
          <t>29 Agustus 2026</t>
        </is>
      </c>
      <c r="M143" t="inlineStr">
        <is>
          <t>Konstruksi Bangunan Sipil Jalan, Konstruksi Gedung Lainnya, Konstruksi Gedung Pendidikan</t>
        </is>
      </c>
      <c r="N143" t="inlineStr">
        <is>
          <t>K</t>
        </is>
      </c>
      <c r="O143" t="inlineStr">
        <is>
          <t>20230828, 20230829</t>
        </is>
      </c>
      <c r="P143" t="inlineStr">
        <is>
          <t>Banten</t>
        </is>
      </c>
      <c r="Q143" t="inlineStr"/>
    </row>
    <row r="144">
      <c r="A144" t="inlineStr">
        <is>
          <t>PUTRI PERMATA INDAH</t>
        </is>
      </c>
      <c r="B144" t="inlineStr">
        <is>
          <t>Kab. Sumenep</t>
        </is>
      </c>
      <c r="C144" t="inlineStr">
        <is>
          <t>081939496664</t>
        </is>
      </c>
      <c r="D144" t="inlineStr">
        <is>
          <t>putripermataindah21@gmail.com</t>
        </is>
      </c>
      <c r="E144" t="inlineStr">
        <is>
          <t>https://lpjk.pu.go.id/search-badan-usaha-detail/V1FwYmkwUDBabWx6aUNzUlZNWmNzZz09</t>
        </is>
      </c>
      <c r="F144" t="n">
        <v>5</v>
      </c>
      <c r="G144" t="inlineStr">
        <is>
          <t>BG005, BG006, BG009</t>
        </is>
      </c>
      <c r="H144" t="inlineStr">
        <is>
          <t>23 September 2003</t>
        </is>
      </c>
      <c r="I144" s="2" t="n">
        <v>46263</v>
      </c>
      <c r="J144" t="inlineStr">
        <is>
          <t>Disetujui</t>
        </is>
      </c>
      <c r="K144" t="n">
        <v>60</v>
      </c>
      <c r="L144" t="inlineStr">
        <is>
          <t>29 Agustus 2026</t>
        </is>
      </c>
      <c r="M144" t="inlineStr">
        <is>
          <t>Konstruksi Gedung Kesehatan, Konstruksi Gedung Lainnya, Konstruksi Gedung Pendidikan</t>
        </is>
      </c>
      <c r="N144" t="inlineStr">
        <is>
          <t>K</t>
        </is>
      </c>
      <c r="O144" t="inlineStr">
        <is>
          <t>20230824, 20230829</t>
        </is>
      </c>
      <c r="P144" t="inlineStr">
        <is>
          <t>Jawa Timur</t>
        </is>
      </c>
      <c r="Q144" t="inlineStr"/>
    </row>
    <row r="145">
      <c r="A145" t="inlineStr">
        <is>
          <t>RAFLY FADILLAH</t>
        </is>
      </c>
      <c r="B145" t="inlineStr">
        <is>
          <t>Kab. Cianjur</t>
        </is>
      </c>
      <c r="C145" t="inlineStr">
        <is>
          <t>087870948603</t>
        </is>
      </c>
      <c r="D145" t="inlineStr">
        <is>
          <t>rafly_fadillah@yahoo.com</t>
        </is>
      </c>
      <c r="E145" t="inlineStr">
        <is>
          <t>https://lpjk.pu.go.id/search-badan-usaha-detail/MHk2aDF2TCtPMHNkMGVZTFo4S1lUdz09</t>
        </is>
      </c>
      <c r="F145" t="n">
        <v>2</v>
      </c>
      <c r="G145" t="inlineStr">
        <is>
          <t>BS001, BS005</t>
        </is>
      </c>
      <c r="H145" t="inlineStr">
        <is>
          <t>19 Maret 2013</t>
        </is>
      </c>
      <c r="I145" s="2" t="n">
        <v>46263</v>
      </c>
      <c r="J145" t="inlineStr">
        <is>
          <t>Disetujui</t>
        </is>
      </c>
      <c r="K145" t="n">
        <v>60</v>
      </c>
      <c r="L145" t="inlineStr">
        <is>
          <t>29 Agustus 2026</t>
        </is>
      </c>
      <c r="M145" t="inlineStr">
        <is>
          <t>Konstruksi Bangunan Sipil Jalan, Konstruksi Bangunan Sipil Pengolahan Air Bersih</t>
        </is>
      </c>
      <c r="N145" t="inlineStr">
        <is>
          <t>K</t>
        </is>
      </c>
      <c r="O145" t="inlineStr">
        <is>
          <t>20230829</t>
        </is>
      </c>
      <c r="P145" t="inlineStr">
        <is>
          <t>Jawa Barat</t>
        </is>
      </c>
      <c r="Q145" t="inlineStr"/>
    </row>
    <row r="146">
      <c r="A146" t="inlineStr">
        <is>
          <t>RAHAYU PRIMA PERKASA</t>
        </is>
      </c>
      <c r="B146" t="inlineStr">
        <is>
          <t>Kota Palangkaraya</t>
        </is>
      </c>
      <c r="C146" t="inlineStr">
        <is>
          <t>08125098792</t>
        </is>
      </c>
      <c r="D146" t="inlineStr">
        <is>
          <t>cv.rahayuprimaperkasa@gmail.com</t>
        </is>
      </c>
      <c r="E146" t="inlineStr">
        <is>
          <t>https://lpjk.pu.go.id/search-badan-usaha-detail/ZldBL2lzVzNIQUxWd2dpNmQrcVhvUT09</t>
        </is>
      </c>
      <c r="F146" t="n">
        <v>1</v>
      </c>
      <c r="G146" t="inlineStr">
        <is>
          <t>BS001</t>
        </is>
      </c>
      <c r="H146" t="inlineStr">
        <is>
          <t>21 Juli 2023</t>
        </is>
      </c>
      <c r="I146" s="2" t="n">
        <v>46263</v>
      </c>
      <c r="J146" t="inlineStr">
        <is>
          <t>Disetujui</t>
        </is>
      </c>
      <c r="K146" t="n">
        <v>60</v>
      </c>
      <c r="L146" t="inlineStr">
        <is>
          <t>29 Agustus 2026</t>
        </is>
      </c>
      <c r="M146" t="inlineStr">
        <is>
          <t>Konstruksi Bangunan Sipil Jalan</t>
        </is>
      </c>
      <c r="N146" t="inlineStr">
        <is>
          <t>K</t>
        </is>
      </c>
      <c r="O146" t="inlineStr">
        <is>
          <t>20230811</t>
        </is>
      </c>
      <c r="P146" t="inlineStr">
        <is>
          <t>Kalimantan Tengah</t>
        </is>
      </c>
      <c r="Q146" t="inlineStr"/>
    </row>
    <row r="147">
      <c r="A147" t="inlineStr">
        <is>
          <t>RAHMAT JAYA MANDIRI</t>
        </is>
      </c>
      <c r="B147" t="inlineStr">
        <is>
          <t>Kab. Kolaka</t>
        </is>
      </c>
      <c r="C147" t="inlineStr">
        <is>
          <t>082314580888</t>
        </is>
      </c>
      <c r="D147" t="inlineStr">
        <is>
          <t>cv.rahmatjayamandiri10@gmail.com</t>
        </is>
      </c>
      <c r="E147" t="inlineStr">
        <is>
          <t>https://lpjk.pu.go.id/search-badan-usaha-detail/cFpaUmt6SHR6UEJOa0FLZHl2TVFqdz09</t>
        </is>
      </c>
      <c r="F147" t="n">
        <v>2</v>
      </c>
      <c r="G147" t="inlineStr">
        <is>
          <t>BG009</t>
        </is>
      </c>
      <c r="H147" t="inlineStr">
        <is>
          <t>17 Januari 2019</t>
        </is>
      </c>
      <c r="I147" s="2" t="n">
        <v>46263</v>
      </c>
      <c r="J147" t="inlineStr">
        <is>
          <t>Disetujui</t>
        </is>
      </c>
      <c r="K147" t="n">
        <v>60</v>
      </c>
      <c r="L147" t="inlineStr">
        <is>
          <t>29 Agustus 2026</t>
        </is>
      </c>
      <c r="M147" t="inlineStr">
        <is>
          <t>Konstruksi Gedung Lainnya</t>
        </is>
      </c>
      <c r="N147" t="inlineStr">
        <is>
          <t>K</t>
        </is>
      </c>
      <c r="O147" t="inlineStr">
        <is>
          <t>20230828</t>
        </is>
      </c>
      <c r="P147" t="inlineStr">
        <is>
          <t>Sulawesi Tenggara</t>
        </is>
      </c>
      <c r="Q147" t="inlineStr"/>
    </row>
    <row r="148">
      <c r="A148" t="inlineStr">
        <is>
          <t>RANDUSARI RAYA</t>
        </is>
      </c>
      <c r="B148" t="inlineStr">
        <is>
          <t>Kota Bandung</t>
        </is>
      </c>
      <c r="C148" t="inlineStr">
        <is>
          <t>081394620014</t>
        </is>
      </c>
      <c r="D148" t="inlineStr">
        <is>
          <t>cv.randusariraya@gmail.com</t>
        </is>
      </c>
      <c r="E148" t="inlineStr">
        <is>
          <t>https://lpjk.pu.go.id/search-badan-usaha-detail/MWNXQjgrMUl0bGJJcGc1ZFdaZjBVdz09</t>
        </is>
      </c>
      <c r="F148" t="n">
        <v>1</v>
      </c>
      <c r="G148" t="inlineStr">
        <is>
          <t>BS001</t>
        </is>
      </c>
      <c r="H148" t="inlineStr">
        <is>
          <t>26 April 2004</t>
        </is>
      </c>
      <c r="I148" s="2" t="n">
        <v>46263</v>
      </c>
      <c r="J148" t="inlineStr">
        <is>
          <t>Disetujui</t>
        </is>
      </c>
      <c r="K148" t="n">
        <v>60</v>
      </c>
      <c r="L148" t="inlineStr">
        <is>
          <t>29 Agustus 2026</t>
        </is>
      </c>
      <c r="M148" t="inlineStr">
        <is>
          <t>Konstruksi Bangunan Sipil Jalan</t>
        </is>
      </c>
      <c r="N148" t="inlineStr">
        <is>
          <t>K</t>
        </is>
      </c>
      <c r="O148" t="inlineStr">
        <is>
          <t>20230829</t>
        </is>
      </c>
      <c r="P148" t="inlineStr">
        <is>
          <t>Jawa Barat</t>
        </is>
      </c>
      <c r="Q148" t="inlineStr"/>
    </row>
    <row r="149">
      <c r="A149" t="inlineStr">
        <is>
          <t>RANGGA RAHMAD JAYA</t>
        </is>
      </c>
      <c r="B149" t="inlineStr">
        <is>
          <t>Kab. Badung</t>
        </is>
      </c>
      <c r="C149" t="inlineStr">
        <is>
          <t>087862328460</t>
        </is>
      </c>
      <c r="D149" t="inlineStr">
        <is>
          <t>ranggarahmadjaya.cv@gmail.com</t>
        </is>
      </c>
      <c r="E149" t="inlineStr">
        <is>
          <t>https://lpjk.pu.go.id/search-badan-usaha-detail/bWxjVWVNcjlTc00weEJTdmNTbkJndz09</t>
        </is>
      </c>
      <c r="F149" t="n">
        <v>1</v>
      </c>
      <c r="G149" t="inlineStr">
        <is>
          <t>BG001</t>
        </is>
      </c>
      <c r="H149" t="inlineStr">
        <is>
          <t>3 Oktober 2019</t>
        </is>
      </c>
      <c r="I149" s="2" t="n">
        <v>46263</v>
      </c>
      <c r="J149" t="inlineStr">
        <is>
          <t>Disetujui</t>
        </is>
      </c>
      <c r="K149" t="n">
        <v>60</v>
      </c>
      <c r="L149" t="inlineStr">
        <is>
          <t>29 Agustus 2026</t>
        </is>
      </c>
      <c r="M149" t="inlineStr">
        <is>
          <t>Konstruksi Gedung Hunian</t>
        </is>
      </c>
      <c r="N149" t="inlineStr">
        <is>
          <t>K</t>
        </is>
      </c>
      <c r="O149" t="inlineStr">
        <is>
          <t>20230805</t>
        </is>
      </c>
      <c r="P149" t="inlineStr">
        <is>
          <t>Bali</t>
        </is>
      </c>
      <c r="Q149" t="inlineStr"/>
    </row>
    <row r="150">
      <c r="A150" t="inlineStr">
        <is>
          <t>REYHAN PUTRA MANDIRI</t>
        </is>
      </c>
      <c r="B150" t="inlineStr">
        <is>
          <t>Kab. Indramayu</t>
        </is>
      </c>
      <c r="C150" t="inlineStr">
        <is>
          <t>087835125006</t>
        </is>
      </c>
      <c r="D150" t="inlineStr">
        <is>
          <t>cvrpm1404@gmail.com</t>
        </is>
      </c>
      <c r="E150" t="inlineStr">
        <is>
          <t>https://lpjk.pu.go.id/search-badan-usaha-detail/WW5UMGZhZ0RCWCtSV1RkYVQ4dnJpQT09</t>
        </is>
      </c>
      <c r="F150" t="n">
        <v>1</v>
      </c>
      <c r="G150" t="inlineStr">
        <is>
          <t>BS001</t>
        </is>
      </c>
      <c r="H150" t="inlineStr">
        <is>
          <t>3 Juli 2020</t>
        </is>
      </c>
      <c r="I150" s="2" t="n">
        <v>46263</v>
      </c>
      <c r="J150" t="inlineStr">
        <is>
          <t>Pencabutan</t>
        </is>
      </c>
      <c r="K150" t="n">
        <v>60</v>
      </c>
      <c r="L150" t="inlineStr">
        <is>
          <t>29 Agustus 2026</t>
        </is>
      </c>
      <c r="M150" t="inlineStr">
        <is>
          <t>Konstruksi Bangunan Sipil Jalan</t>
        </is>
      </c>
      <c r="N150" t="inlineStr">
        <is>
          <t>K</t>
        </is>
      </c>
      <c r="O150" t="inlineStr">
        <is>
          <t>20230406</t>
        </is>
      </c>
      <c r="P150" t="inlineStr">
        <is>
          <t>Jawa Barat</t>
        </is>
      </c>
      <c r="Q150" t="inlineStr"/>
    </row>
    <row r="151">
      <c r="A151" t="inlineStr">
        <is>
          <t>RIANZAATAMA</t>
        </is>
      </c>
      <c r="B151" t="inlineStr">
        <is>
          <t>Kota Banjarbaru</t>
        </is>
      </c>
      <c r="C151" t="inlineStr">
        <is>
          <t>081288167436</t>
        </is>
      </c>
      <c r="D151" t="inlineStr">
        <is>
          <t>cv.rianzaatama@gmail.com</t>
        </is>
      </c>
      <c r="E151" t="inlineStr">
        <is>
          <t>https://lpjk.pu.go.id/search-badan-usaha-detail/eTcya0NqWGZhNEVEVllQUkFqdlNyZz09</t>
        </is>
      </c>
      <c r="F151" t="n">
        <v>3</v>
      </c>
      <c r="G151" t="inlineStr">
        <is>
          <t>RK001, RK002, RK003</t>
        </is>
      </c>
      <c r="H151" t="inlineStr">
        <is>
          <t>6 Juli 2023</t>
        </is>
      </c>
      <c r="I151" s="2" t="n">
        <v>46263</v>
      </c>
      <c r="J151" t="inlineStr">
        <is>
          <t>Disetujui</t>
        </is>
      </c>
      <c r="K151" t="n">
        <v>60</v>
      </c>
      <c r="L151" t="inlineStr">
        <is>
          <t>29 Agustus 2026</t>
        </is>
      </c>
      <c r="M151" t="inlineStr">
        <is>
          <t>Jasa Rekayasa Konstruksi Bangunan Gedung Hunian dan Non Hunian, Jasa Rekayasa Pekerjaan Teknik Sipil Sumber Daya Air, Jasa Rekayasa Pekerjaan Teknik Sipil Transportasi</t>
        </is>
      </c>
      <c r="N151" t="inlineStr">
        <is>
          <t>K</t>
        </is>
      </c>
      <c r="O151" t="inlineStr">
        <is>
          <t>20230815</t>
        </is>
      </c>
      <c r="P151" t="inlineStr">
        <is>
          <t>Kalimantan Selatan</t>
        </is>
      </c>
      <c r="Q151" t="inlineStr"/>
    </row>
    <row r="152">
      <c r="A152" t="inlineStr">
        <is>
          <t>RIKA PRATAMA ABADI</t>
        </is>
      </c>
      <c r="B152" t="inlineStr">
        <is>
          <t>Kab. Kubu Raya</t>
        </is>
      </c>
      <c r="C152" t="inlineStr">
        <is>
          <t>082157750380</t>
        </is>
      </c>
      <c r="D152" t="inlineStr">
        <is>
          <t>C_rpa@yahoo.com</t>
        </is>
      </c>
      <c r="E152" t="inlineStr">
        <is>
          <t>https://lpjk.pu.go.id/search-badan-usaha-detail/bWJwcmhzWUhRWU9CYzNFSVNKN1NvZz09</t>
        </is>
      </c>
      <c r="F152" t="n">
        <v>2</v>
      </c>
      <c r="G152" t="inlineStr">
        <is>
          <t>BG006, BG009</t>
        </is>
      </c>
      <c r="H152" t="inlineStr">
        <is>
          <t>17 Oktober 2008</t>
        </is>
      </c>
      <c r="I152" s="2" t="n">
        <v>46263</v>
      </c>
      <c r="J152" t="inlineStr">
        <is>
          <t>Disetujui</t>
        </is>
      </c>
      <c r="K152" t="n">
        <v>60</v>
      </c>
      <c r="L152" t="inlineStr">
        <is>
          <t>29 Agustus 2026</t>
        </is>
      </c>
      <c r="M152" t="inlineStr">
        <is>
          <t>Konstruksi Gedung Lainnya, Konstruksi Gedung Pendidikan</t>
        </is>
      </c>
      <c r="N152" t="inlineStr">
        <is>
          <t>K</t>
        </is>
      </c>
      <c r="O152" t="inlineStr">
        <is>
          <t>20230824</t>
        </is>
      </c>
      <c r="P152" t="inlineStr">
        <is>
          <t>Kalimantan Barat</t>
        </is>
      </c>
      <c r="Q152" t="inlineStr"/>
    </row>
    <row r="153">
      <c r="A153" t="inlineStr">
        <is>
          <t>RINJANI UTAMA ABADI</t>
        </is>
      </c>
      <c r="B153" t="inlineStr">
        <is>
          <t>Kota Bandung</t>
        </is>
      </c>
      <c r="C153" t="inlineStr">
        <is>
          <t>02220686181</t>
        </is>
      </c>
      <c r="D153" t="inlineStr">
        <is>
          <t>ptrinjaniutama@gmail.com</t>
        </is>
      </c>
      <c r="E153" t="inlineStr">
        <is>
          <t>https://lpjk.pu.go.id/search-badan-usaha-detail/bk9lenFXTWRLS3VaZDc5MXZTbld3Zz09</t>
        </is>
      </c>
      <c r="F153" t="n">
        <v>1</v>
      </c>
      <c r="G153" t="inlineStr">
        <is>
          <t>BG002</t>
        </is>
      </c>
      <c r="H153" t="inlineStr">
        <is>
          <t>3 Agustus 2021</t>
        </is>
      </c>
      <c r="I153" s="2" t="n">
        <v>46263</v>
      </c>
      <c r="J153" t="inlineStr">
        <is>
          <t>Disetujui</t>
        </is>
      </c>
      <c r="K153" t="n">
        <v>60</v>
      </c>
      <c r="L153" t="inlineStr">
        <is>
          <t>29 Agustus 2026</t>
        </is>
      </c>
      <c r="M153" t="inlineStr">
        <is>
          <t>Konstruksi Gedung Perkantoran</t>
        </is>
      </c>
      <c r="N153" t="inlineStr">
        <is>
          <t>K</t>
        </is>
      </c>
      <c r="O153" t="inlineStr">
        <is>
          <t>20230829</t>
        </is>
      </c>
      <c r="P153" t="inlineStr">
        <is>
          <t>Jawa Barat</t>
        </is>
      </c>
      <c r="Q153" t="inlineStr"/>
    </row>
    <row r="154">
      <c r="A154" t="inlineStr">
        <is>
          <t>RISASA RAHMAH</t>
        </is>
      </c>
      <c r="B154" t="inlineStr">
        <is>
          <t>Kab. Tangerang</t>
        </is>
      </c>
      <c r="C154" t="inlineStr">
        <is>
          <t>081299329595</t>
        </is>
      </c>
      <c r="D154" t="inlineStr">
        <is>
          <t>cvrisasarahmah@gmail.com</t>
        </is>
      </c>
      <c r="E154" t="inlineStr">
        <is>
          <t>https://lpjk.pu.go.id/search-badan-usaha-detail/S3phWHFFQ2VOL1lUTWVUbERnVWc0UT09</t>
        </is>
      </c>
      <c r="F154" t="n">
        <v>1</v>
      </c>
      <c r="G154" t="inlineStr">
        <is>
          <t>BG006</t>
        </is>
      </c>
      <c r="H154" t="inlineStr">
        <is>
          <t>9 Juni 2003</t>
        </is>
      </c>
      <c r="I154" s="2" t="n">
        <v>46263</v>
      </c>
      <c r="J154" t="inlineStr">
        <is>
          <t>Disetujui</t>
        </is>
      </c>
      <c r="K154" t="n">
        <v>60</v>
      </c>
      <c r="L154" t="inlineStr">
        <is>
          <t>29 Agustus 2026</t>
        </is>
      </c>
      <c r="M154" t="inlineStr">
        <is>
          <t>Konstruksi Gedung Pendidikan</t>
        </is>
      </c>
      <c r="N154" t="inlineStr">
        <is>
          <t>K</t>
        </is>
      </c>
      <c r="O154" t="inlineStr">
        <is>
          <t>20230827</t>
        </is>
      </c>
      <c r="P154" t="inlineStr">
        <is>
          <t>Banten</t>
        </is>
      </c>
      <c r="Q154" t="inlineStr"/>
    </row>
    <row r="155">
      <c r="A155" t="inlineStr">
        <is>
          <t>ROGO TEKNIK</t>
        </is>
      </c>
      <c r="B155" t="inlineStr">
        <is>
          <t>Kab. Indramayu</t>
        </is>
      </c>
      <c r="C155" t="inlineStr">
        <is>
          <t>087828629739</t>
        </is>
      </c>
      <c r="D155" t="inlineStr">
        <is>
          <t>rogoteknik@yahoo.com</t>
        </is>
      </c>
      <c r="E155" t="inlineStr">
        <is>
          <t>https://lpjk.pu.go.id/search-badan-usaha-detail/MmtuMTNmT1JNYWx4MVZFaE8zMnQ0Zz09</t>
        </is>
      </c>
      <c r="F155" t="n">
        <v>2</v>
      </c>
      <c r="G155" t="inlineStr">
        <is>
          <t>BS001, BS004</t>
        </is>
      </c>
      <c r="H155" t="inlineStr">
        <is>
          <t>31 Januari 2000</t>
        </is>
      </c>
      <c r="I155" s="2" t="n">
        <v>46263</v>
      </c>
      <c r="J155" t="inlineStr">
        <is>
          <t>Disetujui</t>
        </is>
      </c>
      <c r="K155" t="n">
        <v>60</v>
      </c>
      <c r="L155" t="inlineStr">
        <is>
          <t>29 Agustus 2026</t>
        </is>
      </c>
      <c r="M155" t="inlineStr">
        <is>
          <t>Konstruksi Bangunan Sipil Jalan, Konstruksi Jaringan Irigasi dan Drainase</t>
        </is>
      </c>
      <c r="N155" t="inlineStr">
        <is>
          <t>K</t>
        </is>
      </c>
      <c r="O155" t="inlineStr">
        <is>
          <t>20230827, 20230828</t>
        </is>
      </c>
      <c r="P155" t="inlineStr">
        <is>
          <t>Jawa Barat</t>
        </is>
      </c>
      <c r="Q155" t="inlineStr"/>
    </row>
    <row r="156">
      <c r="A156" t="inlineStr">
        <is>
          <t>RONA LESTARI</t>
        </is>
      </c>
      <c r="B156" t="inlineStr">
        <is>
          <t>Kota Surabaya</t>
        </is>
      </c>
      <c r="C156" t="inlineStr">
        <is>
          <t>082228303771</t>
        </is>
      </c>
      <c r="D156" t="inlineStr">
        <is>
          <t>ronalestari77@gmail.com</t>
        </is>
      </c>
      <c r="E156" t="inlineStr">
        <is>
          <t>https://lpjk.pu.go.id/search-badan-usaha-detail/RisrLy9PUTFJa2ViVzAxYlFacXNjOHFOL1dqcXcweHM4ZnoxUktrMU1MRT0</t>
        </is>
      </c>
      <c r="F156" t="n">
        <v>3</v>
      </c>
      <c r="G156" t="inlineStr">
        <is>
          <t>AL004, RK001, RK002</t>
        </is>
      </c>
      <c r="H156" t="inlineStr">
        <is>
          <t>23 Maret 2020</t>
        </is>
      </c>
      <c r="I156" s="2" t="n">
        <v>46263</v>
      </c>
      <c r="J156" t="inlineStr">
        <is>
          <t>Disetujui</t>
        </is>
      </c>
      <c r="K156" t="n">
        <v>60</v>
      </c>
      <c r="L156" t="inlineStr">
        <is>
          <t>29 Agustus 2026</t>
        </is>
      </c>
      <c r="M156" t="inlineStr">
        <is>
          <t>Jasa Pengembangan Lingkungan Bangunan dan Lanskap, Jasa Rekayasa Konstruksi Bangunan Gedung Hunian dan Non Hunian, Jasa Rekayasa Pekerjaan Teknik Sipil Sumber Daya Air</t>
        </is>
      </c>
      <c r="N156" t="inlineStr">
        <is>
          <t>K</t>
        </is>
      </c>
      <c r="O156" t="inlineStr">
        <is>
          <t>20230825</t>
        </is>
      </c>
      <c r="P156" t="inlineStr">
        <is>
          <t>Jawa Timur</t>
        </is>
      </c>
      <c r="Q156" t="inlineStr"/>
    </row>
    <row r="157">
      <c r="A157" t="inlineStr">
        <is>
          <t>RONA LESTARI</t>
        </is>
      </c>
      <c r="B157" t="inlineStr">
        <is>
          <t>Kota Surabaya</t>
        </is>
      </c>
      <c r="C157" t="inlineStr">
        <is>
          <t>0318075498</t>
        </is>
      </c>
      <c r="D157" t="inlineStr">
        <is>
          <t>ronalestari77@gmail.com</t>
        </is>
      </c>
      <c r="E157" t="inlineStr">
        <is>
          <t>https://lpjk.pu.go.id/search-badan-usaha-detail/RmM1ZFBZcnl5SzExTDN2bFRmb09PZz09</t>
        </is>
      </c>
      <c r="F157" t="n">
        <v>2</v>
      </c>
      <c r="G157" t="inlineStr">
        <is>
          <t>RK003, RK005</t>
        </is>
      </c>
      <c r="H157" t="inlineStr">
        <is>
          <t>14 April 1993</t>
        </is>
      </c>
      <c r="I157" s="2" t="n">
        <v>46263</v>
      </c>
      <c r="J157" t="inlineStr">
        <is>
          <t>Pencabutan</t>
        </is>
      </c>
      <c r="K157" t="n">
        <v>60</v>
      </c>
      <c r="L157" t="inlineStr">
        <is>
          <t>29 Agustus 2026</t>
        </is>
      </c>
      <c r="M157" t="inlineStr">
        <is>
          <t>Jasa Rekayasa Lainnya, Jasa Rekayasa Pekerjaan Teknik Sipil Transportasi</t>
        </is>
      </c>
      <c r="N157" t="inlineStr">
        <is>
          <t>K</t>
        </is>
      </c>
      <c r="O157" t="inlineStr">
        <is>
          <t>20230825</t>
        </is>
      </c>
      <c r="P157" t="inlineStr">
        <is>
          <t>Jawa Timur</t>
        </is>
      </c>
      <c r="Q157" t="inlineStr"/>
    </row>
    <row r="158">
      <c r="A158" t="inlineStr">
        <is>
          <t>SAGALA JAYA</t>
        </is>
      </c>
      <c r="B158" t="inlineStr">
        <is>
          <t>Kab. Asahan</t>
        </is>
      </c>
      <c r="C158" t="inlineStr">
        <is>
          <t>085362787158</t>
        </is>
      </c>
      <c r="D158" t="inlineStr">
        <is>
          <t>SAGALAJAYA@YAHOO.COM</t>
        </is>
      </c>
      <c r="E158" t="inlineStr">
        <is>
          <t>https://lpjk.pu.go.id/search-badan-usaha-detail/aTVmNWFwWi9CdGNBVkZhUHNRUjRoQT09</t>
        </is>
      </c>
      <c r="F158" t="n">
        <v>1</v>
      </c>
      <c r="G158" t="inlineStr">
        <is>
          <t>BS001</t>
        </is>
      </c>
      <c r="H158" t="inlineStr">
        <is>
          <t>22 Februari 2017</t>
        </is>
      </c>
      <c r="I158" s="2" t="n">
        <v>46263</v>
      </c>
      <c r="J158" t="inlineStr">
        <is>
          <t>Disetujui</t>
        </is>
      </c>
      <c r="K158" t="n">
        <v>60</v>
      </c>
      <c r="L158" t="inlineStr">
        <is>
          <t>29 Agustus 2026</t>
        </is>
      </c>
      <c r="M158" t="inlineStr">
        <is>
          <t>Konstruksi Bangunan Sipil Jalan</t>
        </is>
      </c>
      <c r="N158" t="inlineStr">
        <is>
          <t>K</t>
        </is>
      </c>
      <c r="O158" t="inlineStr">
        <is>
          <t>20230825</t>
        </is>
      </c>
      <c r="P158" t="inlineStr">
        <is>
          <t>Sumatera Utara</t>
        </is>
      </c>
      <c r="Q158" t="inlineStr"/>
    </row>
    <row r="159">
      <c r="A159" t="inlineStr">
        <is>
          <t>SAHABAT MITRA SUPLINDO</t>
        </is>
      </c>
      <c r="B159" t="inlineStr">
        <is>
          <t>Kota Tangerang Selatan</t>
        </is>
      </c>
      <c r="C159" t="inlineStr">
        <is>
          <t>081218524589</t>
        </is>
      </c>
      <c r="D159" t="inlineStr">
        <is>
          <t>sahabatmitrasuplindo57@yahoo.com</t>
        </is>
      </c>
      <c r="E159" t="inlineStr">
        <is>
          <t>https://lpjk.pu.go.id/search-badan-usaha-detail/eGUyUHlaU3VreGpJQ2dCRFhOTVAwQT09</t>
        </is>
      </c>
      <c r="F159" t="n">
        <v>1</v>
      </c>
      <c r="G159" t="inlineStr">
        <is>
          <t>BG006</t>
        </is>
      </c>
      <c r="H159" t="inlineStr">
        <is>
          <t>15 Agustus 2008</t>
        </is>
      </c>
      <c r="I159" s="2" t="n">
        <v>46263</v>
      </c>
      <c r="J159" t="inlineStr">
        <is>
          <t>Pencabutan</t>
        </is>
      </c>
      <c r="K159" t="n">
        <v>60</v>
      </c>
      <c r="L159" t="inlineStr">
        <is>
          <t>29 Agustus 2026</t>
        </is>
      </c>
      <c r="M159" t="inlineStr">
        <is>
          <t>Konstruksi Gedung Pendidikan</t>
        </is>
      </c>
      <c r="N159" t="inlineStr">
        <is>
          <t>M</t>
        </is>
      </c>
      <c r="O159" t="inlineStr">
        <is>
          <t>20230829</t>
        </is>
      </c>
      <c r="P159" t="inlineStr">
        <is>
          <t>Banten</t>
        </is>
      </c>
      <c r="Q159" t="inlineStr"/>
    </row>
    <row r="160">
      <c r="A160" t="inlineStr">
        <is>
          <t>SANJUR TRIDA RAYA</t>
        </is>
      </c>
      <c r="B160" t="inlineStr">
        <is>
          <t>Kab. Cianjur</t>
        </is>
      </c>
      <c r="C160" t="inlineStr">
        <is>
          <t>0263263733</t>
        </is>
      </c>
      <c r="D160" t="inlineStr">
        <is>
          <t>sanjurtridaraya@yahoo.co.id</t>
        </is>
      </c>
      <c r="E160" t="inlineStr">
        <is>
          <t>https://lpjk.pu.go.id/search-badan-usaha-detail/YjM0ZE9xeE1FTEFlVmV5aFhuMnBCUT09</t>
        </is>
      </c>
      <c r="F160" t="n">
        <v>1</v>
      </c>
      <c r="G160" t="inlineStr">
        <is>
          <t>BG009</t>
        </is>
      </c>
      <c r="H160" t="inlineStr">
        <is>
          <t>21 Mei 2008</t>
        </is>
      </c>
      <c r="I160" s="2" t="n">
        <v>46263</v>
      </c>
      <c r="J160" t="inlineStr">
        <is>
          <t>Disetujui</t>
        </is>
      </c>
      <c r="K160" t="n">
        <v>60</v>
      </c>
      <c r="L160" t="inlineStr">
        <is>
          <t>29 Agustus 2026</t>
        </is>
      </c>
      <c r="M160" t="inlineStr">
        <is>
          <t>Konstruksi Gedung Lainnya</t>
        </is>
      </c>
      <c r="N160" t="inlineStr">
        <is>
          <t>K</t>
        </is>
      </c>
      <c r="O160" t="inlineStr">
        <is>
          <t>20230825</t>
        </is>
      </c>
      <c r="P160" t="inlineStr">
        <is>
          <t>Jawa Barat</t>
        </is>
      </c>
      <c r="Q160" t="inlineStr"/>
    </row>
    <row r="161">
      <c r="A161" t="inlineStr">
        <is>
          <t>SEDAYU CITRA MOBIL</t>
        </is>
      </c>
      <c r="B161" t="inlineStr">
        <is>
          <t>Kota Adm. Jakarta Selatan</t>
        </is>
      </c>
      <c r="C161" t="inlineStr">
        <is>
          <t>39017</t>
        </is>
      </c>
      <c r="D161" t="inlineStr">
        <is>
          <t>sedayu.pekanbaru@yahoo.com</t>
        </is>
      </c>
      <c r="E161" t="inlineStr">
        <is>
          <t>https://lpjk.pu.go.id/search-badan-usaha-detail/K2lMZmdvMWozMVJYYThSSURhc3owUT09</t>
        </is>
      </c>
      <c r="F161" t="n">
        <v>1</v>
      </c>
      <c r="G161" t="inlineStr">
        <is>
          <t>BS001</t>
        </is>
      </c>
      <c r="H161" t="inlineStr">
        <is>
          <t>4 Juli 2022</t>
        </is>
      </c>
      <c r="I161" s="2" t="n">
        <v>46263</v>
      </c>
      <c r="J161" t="inlineStr">
        <is>
          <t>Disetujui</t>
        </is>
      </c>
      <c r="K161" t="n">
        <v>60</v>
      </c>
      <c r="L161" t="inlineStr">
        <is>
          <t>29 Agustus 2026</t>
        </is>
      </c>
      <c r="M161" t="inlineStr">
        <is>
          <t>Konstruksi Bangunan Sipil Jalan</t>
        </is>
      </c>
      <c r="N161" t="inlineStr">
        <is>
          <t>K</t>
        </is>
      </c>
      <c r="O161" t="inlineStr">
        <is>
          <t>20230830</t>
        </is>
      </c>
      <c r="P161" t="inlineStr">
        <is>
          <t>DKI Jakarta</t>
        </is>
      </c>
      <c r="Q161" t="inlineStr"/>
    </row>
    <row r="162">
      <c r="A162" t="inlineStr">
        <is>
          <t>SELO MULTI TEKNIK</t>
        </is>
      </c>
      <c r="B162" t="inlineStr">
        <is>
          <t>Kab. Malang</t>
        </is>
      </c>
      <c r="C162" t="inlineStr">
        <is>
          <t>081212609481</t>
        </is>
      </c>
      <c r="D162" t="inlineStr">
        <is>
          <t>cv.selomultiteknik@gmail.com</t>
        </is>
      </c>
      <c r="E162" t="inlineStr">
        <is>
          <t>https://lpjk.pu.go.id/search-badan-usaha-detail/YVRUeHBucytkcDF5dFlkckNqYlZUUT09</t>
        </is>
      </c>
      <c r="F162" t="n">
        <v>2</v>
      </c>
      <c r="G162" t="inlineStr">
        <is>
          <t>BS002, BS004</t>
        </is>
      </c>
      <c r="H162" t="inlineStr">
        <is>
          <t>8 Mei 2023</t>
        </is>
      </c>
      <c r="I162" s="2" t="n">
        <v>46263</v>
      </c>
      <c r="J162" t="inlineStr">
        <is>
          <t>Disetujui</t>
        </is>
      </c>
      <c r="K162" t="n">
        <v>60</v>
      </c>
      <c r="L162" t="inlineStr">
        <is>
          <t>29 Agustus 2026</t>
        </is>
      </c>
      <c r="M162" t="inlineStr">
        <is>
          <t>Bangunan Sipil Jembatan, Jalan Layang, Fly Over, dan Underpass, Konstruksi Jaringan Irigasi dan Drainase</t>
        </is>
      </c>
      <c r="N162" t="inlineStr">
        <is>
          <t>K</t>
        </is>
      </c>
      <c r="O162" t="inlineStr">
        <is>
          <t>20230828</t>
        </is>
      </c>
      <c r="P162" t="inlineStr">
        <is>
          <t>Jawa Timur</t>
        </is>
      </c>
      <c r="Q162" t="inlineStr"/>
    </row>
    <row r="163">
      <c r="A163" t="inlineStr">
        <is>
          <t>SENDANG DAKARA NUSANTARA</t>
        </is>
      </c>
      <c r="B163" t="inlineStr">
        <is>
          <t>Kab. Badung</t>
        </is>
      </c>
      <c r="C163" t="inlineStr">
        <is>
          <t>081999964805</t>
        </is>
      </c>
      <c r="D163" t="inlineStr">
        <is>
          <t>ptsendangdaksaranusantara@gmail.com</t>
        </is>
      </c>
      <c r="E163" t="inlineStr">
        <is>
          <t>https://lpjk.pu.go.id/search-badan-usaha-detail/ZHQ5SVR2cjFJTllxS3IwM1JGREd3dz09</t>
        </is>
      </c>
      <c r="F163" t="n">
        <v>1</v>
      </c>
      <c r="G163" t="inlineStr">
        <is>
          <t>BG005</t>
        </is>
      </c>
      <c r="H163" t="inlineStr">
        <is>
          <t>11 Oktober 2022</t>
        </is>
      </c>
      <c r="I163" s="2" t="n">
        <v>46263</v>
      </c>
      <c r="J163" t="inlineStr">
        <is>
          <t>Disetujui</t>
        </is>
      </c>
      <c r="K163" t="n">
        <v>60</v>
      </c>
      <c r="L163" t="inlineStr">
        <is>
          <t>29 Agustus 2026</t>
        </is>
      </c>
      <c r="M163" t="inlineStr">
        <is>
          <t>Konstruksi Gedung Kesehatan</t>
        </is>
      </c>
      <c r="N163" t="inlineStr">
        <is>
          <t>K</t>
        </is>
      </c>
      <c r="O163" t="inlineStr">
        <is>
          <t>20230823</t>
        </is>
      </c>
      <c r="P163" t="inlineStr">
        <is>
          <t>Bali</t>
        </is>
      </c>
      <c r="Q163" t="inlineStr"/>
    </row>
    <row r="164">
      <c r="A164" t="inlineStr">
        <is>
          <t>SENTRA SIMETRIX CONSULTANT</t>
        </is>
      </c>
      <c r="B164" t="inlineStr">
        <is>
          <t>Kab. Kotabaru</t>
        </is>
      </c>
      <c r="C164" t="inlineStr">
        <is>
          <t>082152244770</t>
        </is>
      </c>
      <c r="D164" t="inlineStr">
        <is>
          <t>ssc_cv@yahoo.com</t>
        </is>
      </c>
      <c r="E164" t="inlineStr">
        <is>
          <t>https://lpjk.pu.go.id/search-badan-usaha-detail/d3BIcGlHRk0xaXAwQWdpdGZISlJ2dz09</t>
        </is>
      </c>
      <c r="F164" t="n">
        <v>1</v>
      </c>
      <c r="G164" t="inlineStr">
        <is>
          <t>RK003</t>
        </is>
      </c>
      <c r="H164" t="inlineStr">
        <is>
          <t>17 Desember 2014</t>
        </is>
      </c>
      <c r="I164" s="2" t="n">
        <v>46263</v>
      </c>
      <c r="J164" t="inlineStr">
        <is>
          <t>Disetujui</t>
        </is>
      </c>
      <c r="K164" t="n">
        <v>60</v>
      </c>
      <c r="L164" t="inlineStr">
        <is>
          <t>29 Agustus 2026</t>
        </is>
      </c>
      <c r="M164" t="inlineStr">
        <is>
          <t>Jasa Rekayasa Pekerjaan Teknik Sipil Transportasi</t>
        </is>
      </c>
      <c r="N164" t="inlineStr">
        <is>
          <t>K</t>
        </is>
      </c>
      <c r="O164" t="inlineStr">
        <is>
          <t>20230714</t>
        </is>
      </c>
      <c r="P164" t="inlineStr">
        <is>
          <t>Kalimantan Selatan</t>
        </is>
      </c>
      <c r="Q164" t="inlineStr"/>
    </row>
    <row r="165">
      <c r="A165" t="inlineStr">
        <is>
          <t>SERASI SELARAS SEIMBANG</t>
        </is>
      </c>
      <c r="B165" t="inlineStr">
        <is>
          <t>Kota Jambi</t>
        </is>
      </c>
      <c r="C165" t="inlineStr">
        <is>
          <t>081271406187</t>
        </is>
      </c>
      <c r="D165" t="inlineStr">
        <is>
          <t>pt.sesese@yahoo.com</t>
        </is>
      </c>
      <c r="E165" t="inlineStr">
        <is>
          <t>https://lpjk.pu.go.id/search-badan-usaha-detail/VEh4Z1h6K1VGZWxEeG5vbFVCQWJXdz09</t>
        </is>
      </c>
      <c r="F165" t="n">
        <v>1</v>
      </c>
      <c r="G165" t="inlineStr">
        <is>
          <t>RK005</t>
        </is>
      </c>
      <c r="H165" t="inlineStr">
        <is>
          <t>11 Oktober 2017</t>
        </is>
      </c>
      <c r="I165" s="2" t="n">
        <v>46263</v>
      </c>
      <c r="J165" t="inlineStr">
        <is>
          <t>Disetujui</t>
        </is>
      </c>
      <c r="K165" t="n">
        <v>60</v>
      </c>
      <c r="L165" t="inlineStr">
        <is>
          <t>29 Agustus 2026</t>
        </is>
      </c>
      <c r="M165" t="inlineStr">
        <is>
          <t>Jasa Rekayasa Lainnya</t>
        </is>
      </c>
      <c r="N165" t="inlineStr">
        <is>
          <t>K</t>
        </is>
      </c>
      <c r="O165" t="inlineStr">
        <is>
          <t>20230814</t>
        </is>
      </c>
      <c r="P165" t="inlineStr">
        <is>
          <t>Jambi</t>
        </is>
      </c>
      <c r="Q165" t="inlineStr"/>
    </row>
    <row r="166">
      <c r="A166" t="inlineStr">
        <is>
          <t>SHAFA</t>
        </is>
      </c>
      <c r="B166" t="inlineStr">
        <is>
          <t>Kab. Kediri</t>
        </is>
      </c>
      <c r="C166" t="inlineStr">
        <is>
          <t>085235319101</t>
        </is>
      </c>
      <c r="D166" t="inlineStr">
        <is>
          <t>shafakedirijatim10@gmail.com</t>
        </is>
      </c>
      <c r="E166" t="inlineStr">
        <is>
          <t>https://lpjk.pu.go.id/search-badan-usaha-detail/V2NRN28zeEtrZGlzeTQyNFZVcCtLZz09</t>
        </is>
      </c>
      <c r="F166" t="n">
        <v>1</v>
      </c>
      <c r="G166" t="inlineStr">
        <is>
          <t>BS001</t>
        </is>
      </c>
      <c r="H166" t="inlineStr">
        <is>
          <t>11 Mei 2015</t>
        </is>
      </c>
      <c r="I166" s="2" t="n">
        <v>46263</v>
      </c>
      <c r="J166" t="inlineStr">
        <is>
          <t>Disetujui</t>
        </is>
      </c>
      <c r="K166" t="n">
        <v>60</v>
      </c>
      <c r="L166" t="inlineStr">
        <is>
          <t>29 Agustus 2026</t>
        </is>
      </c>
      <c r="M166" t="inlineStr">
        <is>
          <t>Konstruksi Bangunan Sipil Jalan</t>
        </is>
      </c>
      <c r="N166" t="inlineStr">
        <is>
          <t>K</t>
        </is>
      </c>
      <c r="O166" t="inlineStr">
        <is>
          <t>20230828</t>
        </is>
      </c>
      <c r="P166" t="inlineStr">
        <is>
          <t>Jawa Timur</t>
        </is>
      </c>
      <c r="Q166" t="inlineStr"/>
    </row>
    <row r="167">
      <c r="A167" t="inlineStr">
        <is>
          <t>SIDO RUKUN BERSAMA</t>
        </is>
      </c>
      <c r="B167" t="inlineStr">
        <is>
          <t>Kab. Sragen</t>
        </is>
      </c>
      <c r="C167" t="inlineStr">
        <is>
          <t>081227960096</t>
        </is>
      </c>
      <c r="D167" t="inlineStr">
        <is>
          <t>sidorukunbersama@gmail.com</t>
        </is>
      </c>
      <c r="E167" t="inlineStr">
        <is>
          <t>https://lpjk.pu.go.id/search-badan-usaha-detail/T2g4VHZBc3JYSCs5SWV2NEQ0Tjd4Zz09</t>
        </is>
      </c>
      <c r="F167" t="n">
        <v>1</v>
      </c>
      <c r="G167" t="inlineStr">
        <is>
          <t>BS001</t>
        </is>
      </c>
      <c r="H167" t="inlineStr">
        <is>
          <t>27 Januari 2023</t>
        </is>
      </c>
      <c r="I167" s="2" t="n">
        <v>46263</v>
      </c>
      <c r="J167" t="inlineStr">
        <is>
          <t>Pencabutan</t>
        </is>
      </c>
      <c r="K167" t="n">
        <v>60</v>
      </c>
      <c r="L167" t="inlineStr">
        <is>
          <t>29 Agustus 2026</t>
        </is>
      </c>
      <c r="M167" t="inlineStr">
        <is>
          <t>Konstruksi Bangunan Sipil Jalan</t>
        </is>
      </c>
      <c r="N167" t="inlineStr">
        <is>
          <t>K</t>
        </is>
      </c>
      <c r="O167" t="inlineStr">
        <is>
          <t>20230829</t>
        </is>
      </c>
      <c r="P167" t="inlineStr">
        <is>
          <t>Jawa Tengah</t>
        </is>
      </c>
      <c r="Q167" t="inlineStr"/>
    </row>
    <row r="168">
      <c r="A168" t="inlineStr">
        <is>
          <t>SINAR ETERNA</t>
        </is>
      </c>
      <c r="B168" t="inlineStr">
        <is>
          <t>Kota Adm. Jakarta Barat</t>
        </is>
      </c>
      <c r="C168" t="inlineStr">
        <is>
          <t>0215604611</t>
        </is>
      </c>
      <c r="D168" t="inlineStr">
        <is>
          <t>sinar.eterna@gmail.com</t>
        </is>
      </c>
      <c r="E168" t="inlineStr">
        <is>
          <t>https://lpjk.pu.go.id/search-badan-usaha-detail/ZDBwVHhKTXJWOWJIU242a1lDZ1JLZz09</t>
        </is>
      </c>
      <c r="F168" t="n">
        <v>1</v>
      </c>
      <c r="G168" t="inlineStr">
        <is>
          <t>BG003</t>
        </is>
      </c>
      <c r="H168" t="inlineStr">
        <is>
          <t>6 November 2008</t>
        </is>
      </c>
      <c r="I168" s="2" t="n">
        <v>46263</v>
      </c>
      <c r="J168" t="inlineStr">
        <is>
          <t>Pencabutan</t>
        </is>
      </c>
      <c r="K168" t="n">
        <v>60</v>
      </c>
      <c r="L168" t="inlineStr">
        <is>
          <t>29 Agustus 2026</t>
        </is>
      </c>
      <c r="M168" t="inlineStr">
        <is>
          <t>Konstruksi Gedung Industri</t>
        </is>
      </c>
      <c r="N168" t="inlineStr">
        <is>
          <t>K</t>
        </is>
      </c>
      <c r="O168" t="inlineStr">
        <is>
          <t>20230802</t>
        </is>
      </c>
      <c r="P168" t="inlineStr">
        <is>
          <t>DKI Jakarta</t>
        </is>
      </c>
      <c r="Q168" t="inlineStr"/>
    </row>
    <row r="169">
      <c r="A169" t="inlineStr">
        <is>
          <t>SINAR MATAHARI</t>
        </is>
      </c>
      <c r="B169" t="inlineStr">
        <is>
          <t>Kota Kediri</t>
        </is>
      </c>
      <c r="C169" t="inlineStr">
        <is>
          <t>0354686228</t>
        </is>
      </c>
      <c r="D169" t="inlineStr">
        <is>
          <t>smatahari29@yahoo.com</t>
        </is>
      </c>
      <c r="E169" t="inlineStr">
        <is>
          <t>https://lpjk.pu.go.id/search-badan-usaha-detail/VG94UThsamRmeWJvQ1Q4VDNJY0JEUT09</t>
        </is>
      </c>
      <c r="F169" t="n">
        <v>1</v>
      </c>
      <c r="G169" t="inlineStr">
        <is>
          <t>BG009</t>
        </is>
      </c>
      <c r="H169" t="inlineStr">
        <is>
          <t>14 April 2000</t>
        </is>
      </c>
      <c r="I169" s="2" t="n">
        <v>46263</v>
      </c>
      <c r="J169" t="inlineStr">
        <is>
          <t>Disetujui</t>
        </is>
      </c>
      <c r="K169" t="n">
        <v>60</v>
      </c>
      <c r="L169" t="inlineStr">
        <is>
          <t>29 Agustus 2026</t>
        </is>
      </c>
      <c r="M169" t="inlineStr">
        <is>
          <t>Konstruksi Gedung Lainnya</t>
        </is>
      </c>
      <c r="N169" t="inlineStr">
        <is>
          <t>K</t>
        </is>
      </c>
      <c r="O169" t="inlineStr">
        <is>
          <t>20230821</t>
        </is>
      </c>
      <c r="P169" t="inlineStr">
        <is>
          <t>Jawa Timur</t>
        </is>
      </c>
      <c r="Q169" t="inlineStr"/>
    </row>
    <row r="170">
      <c r="A170" t="inlineStr">
        <is>
          <t>SINAR MATAHARI</t>
        </is>
      </c>
      <c r="B170" t="inlineStr">
        <is>
          <t>Kab. Bandung</t>
        </is>
      </c>
      <c r="C170" t="inlineStr">
        <is>
          <t>0225942493</t>
        </is>
      </c>
      <c r="D170" t="inlineStr">
        <is>
          <t>sinarmataharipanas@yahoo.com</t>
        </is>
      </c>
      <c r="E170" t="inlineStr">
        <is>
          <t>https://lpjk.pu.go.id/search-badan-usaha-detail/MzdBZnplZFdLYVIyTjJTZ1l6VkE2dz09</t>
        </is>
      </c>
      <c r="F170" t="n">
        <v>1</v>
      </c>
      <c r="G170" t="inlineStr">
        <is>
          <t>BS001</t>
        </is>
      </c>
      <c r="H170" t="inlineStr">
        <is>
          <t>7 Januari 2011</t>
        </is>
      </c>
      <c r="I170" s="2" t="n">
        <v>46263</v>
      </c>
      <c r="J170" t="inlineStr">
        <is>
          <t>Disetujui</t>
        </is>
      </c>
      <c r="K170" t="n">
        <v>60</v>
      </c>
      <c r="L170" t="inlineStr">
        <is>
          <t>29 Agustus 2026</t>
        </is>
      </c>
      <c r="M170" t="inlineStr">
        <is>
          <t>Konstruksi Bangunan Sipil Jalan</t>
        </is>
      </c>
      <c r="N170" t="inlineStr">
        <is>
          <t>K</t>
        </is>
      </c>
      <c r="O170" t="inlineStr">
        <is>
          <t>20230830</t>
        </is>
      </c>
      <c r="P170" t="inlineStr">
        <is>
          <t>Jawa Barat</t>
        </is>
      </c>
      <c r="Q170" t="inlineStr"/>
    </row>
    <row r="171">
      <c r="A171" t="inlineStr">
        <is>
          <t>SINAR PRIMA</t>
        </is>
      </c>
      <c r="B171" t="inlineStr">
        <is>
          <t>Kab. Garut</t>
        </is>
      </c>
      <c r="C171" t="inlineStr">
        <is>
          <t>085315740700</t>
        </is>
      </c>
      <c r="D171" t="inlineStr">
        <is>
          <t>Sinarprima06@gmail.com</t>
        </is>
      </c>
      <c r="E171" t="inlineStr">
        <is>
          <t>https://lpjk.pu.go.id/search-badan-usaha-detail/YlBlZ2lscytPOVV1bDVOUndvNHBPZz09</t>
        </is>
      </c>
      <c r="F171" t="n">
        <v>1</v>
      </c>
      <c r="G171" t="inlineStr">
        <is>
          <t>BS005</t>
        </is>
      </c>
      <c r="H171" t="inlineStr">
        <is>
          <t>20 Februari 2020</t>
        </is>
      </c>
      <c r="I171" s="2" t="n">
        <v>46263</v>
      </c>
      <c r="J171" t="inlineStr">
        <is>
          <t>Disetujui</t>
        </is>
      </c>
      <c r="K171" t="n">
        <v>60</v>
      </c>
      <c r="L171" t="inlineStr">
        <is>
          <t>29 Agustus 2026</t>
        </is>
      </c>
      <c r="M171" t="inlineStr">
        <is>
          <t>Konstruksi Bangunan Sipil Pengolahan Air Bersih</t>
        </is>
      </c>
      <c r="N171" t="inlineStr">
        <is>
          <t>K</t>
        </is>
      </c>
      <c r="O171" t="inlineStr">
        <is>
          <t>20230829</t>
        </is>
      </c>
      <c r="P171" t="inlineStr">
        <is>
          <t>Jawa Barat</t>
        </is>
      </c>
      <c r="Q171" t="inlineStr"/>
    </row>
    <row r="172">
      <c r="A172" t="inlineStr">
        <is>
          <t>SOLUSI KONSTRUKSI</t>
        </is>
      </c>
      <c r="B172" t="inlineStr">
        <is>
          <t>Kota Padang</t>
        </is>
      </c>
      <c r="C172" t="inlineStr">
        <is>
          <t>081363781806</t>
        </is>
      </c>
      <c r="D172" t="inlineStr">
        <is>
          <t>solusi.konstruksi20@gmail.com</t>
        </is>
      </c>
      <c r="E172" t="inlineStr">
        <is>
          <t>https://lpjk.pu.go.id/search-badan-usaha-detail/eVBzV3ZVWWpteWdCcmJKNlB4akVvZz09</t>
        </is>
      </c>
      <c r="F172" t="n">
        <v>2</v>
      </c>
      <c r="G172" t="inlineStr">
        <is>
          <t>BG006</t>
        </is>
      </c>
      <c r="H172" t="inlineStr">
        <is>
          <t>7 Januari 2020</t>
        </is>
      </c>
      <c r="I172" s="2" t="n">
        <v>46263</v>
      </c>
      <c r="J172" t="inlineStr">
        <is>
          <t>Disetujui</t>
        </is>
      </c>
      <c r="K172" t="n">
        <v>60</v>
      </c>
      <c r="L172" t="inlineStr">
        <is>
          <t>29 Agustus 2026</t>
        </is>
      </c>
      <c r="M172" t="inlineStr">
        <is>
          <t>Konstruksi Gedung Pendidikan</t>
        </is>
      </c>
      <c r="N172" t="inlineStr">
        <is>
          <t>K</t>
        </is>
      </c>
      <c r="O172" t="inlineStr">
        <is>
          <t>20230826</t>
        </is>
      </c>
      <c r="P172" t="inlineStr">
        <is>
          <t>Sumatera Barat</t>
        </is>
      </c>
      <c r="Q172" t="inlineStr"/>
    </row>
    <row r="173">
      <c r="A173" t="inlineStr">
        <is>
          <t>SURYA BERSINAR JAYA</t>
        </is>
      </c>
      <c r="B173" t="inlineStr">
        <is>
          <t>Kota Medan</t>
        </is>
      </c>
      <c r="C173" t="inlineStr">
        <is>
          <t>081397682472</t>
        </is>
      </c>
      <c r="D173" t="inlineStr">
        <is>
          <t>cvsuryabersinar26@gmail.com</t>
        </is>
      </c>
      <c r="E173" t="inlineStr">
        <is>
          <t>https://lpjk.pu.go.id/search-badan-usaha-detail/eVJPS3VMQTRIZ2x2dmExWnozK3hCZz09</t>
        </is>
      </c>
      <c r="F173" t="n">
        <v>1</v>
      </c>
      <c r="G173" t="inlineStr">
        <is>
          <t>BG009</t>
        </is>
      </c>
      <c r="H173" t="inlineStr">
        <is>
          <t>18 Februari 2009</t>
        </is>
      </c>
      <c r="I173" s="2" t="n">
        <v>46263</v>
      </c>
      <c r="J173" t="inlineStr">
        <is>
          <t>Disetujui</t>
        </is>
      </c>
      <c r="K173" t="n">
        <v>60</v>
      </c>
      <c r="L173" t="inlineStr">
        <is>
          <t>29 Agustus 2026</t>
        </is>
      </c>
      <c r="M173" t="inlineStr">
        <is>
          <t>Konstruksi Gedung Lainnya</t>
        </is>
      </c>
      <c r="N173" t="inlineStr">
        <is>
          <t>K</t>
        </is>
      </c>
      <c r="O173" t="inlineStr">
        <is>
          <t>20230825</t>
        </is>
      </c>
      <c r="P173" t="inlineStr">
        <is>
          <t>Sumatera Utara</t>
        </is>
      </c>
      <c r="Q173" t="inlineStr"/>
    </row>
    <row r="174">
      <c r="A174" t="inlineStr">
        <is>
          <t>SURYA INDAH PRATAMA</t>
        </is>
      </c>
      <c r="B174" t="inlineStr">
        <is>
          <t>Kota Bontang</t>
        </is>
      </c>
      <c r="C174" t="inlineStr">
        <is>
          <t>081350067272</t>
        </is>
      </c>
      <c r="D174" t="inlineStr">
        <is>
          <t>cvsipbtg@gmail.com</t>
        </is>
      </c>
      <c r="E174" t="inlineStr">
        <is>
          <t>https://lpjk.pu.go.id/search-badan-usaha-detail/ZHFoRFJHLzlwTlFzV2RzdmdxRGZOZz09</t>
        </is>
      </c>
      <c r="F174" t="n">
        <v>3</v>
      </c>
      <c r="G174" t="inlineStr">
        <is>
          <t>BG006, BS001, BS004</t>
        </is>
      </c>
      <c r="H174" t="inlineStr">
        <is>
          <t>11 Oktober 2018</t>
        </is>
      </c>
      <c r="I174" s="2" t="n">
        <v>46263</v>
      </c>
      <c r="J174" t="inlineStr">
        <is>
          <t>Disetujui</t>
        </is>
      </c>
      <c r="K174" t="n">
        <v>60</v>
      </c>
      <c r="L174" t="inlineStr">
        <is>
          <t>29 Agustus 2026</t>
        </is>
      </c>
      <c r="M174" t="inlineStr">
        <is>
          <t>Konstruksi Bangunan Sipil Jalan, Konstruksi Gedung Pendidikan, Konstruksi Jaringan Irigasi dan Drainase</t>
        </is>
      </c>
      <c r="N174" t="inlineStr">
        <is>
          <t>K</t>
        </is>
      </c>
      <c r="O174" t="inlineStr">
        <is>
          <t>20230823</t>
        </is>
      </c>
      <c r="P174" t="inlineStr">
        <is>
          <t>Kalimantan Timur</t>
        </is>
      </c>
      <c r="Q174" t="inlineStr"/>
    </row>
    <row r="175">
      <c r="A175" t="inlineStr">
        <is>
          <t>SURYARAYA ANUGERAH SAMUDRA</t>
        </is>
      </c>
      <c r="B175" t="inlineStr">
        <is>
          <t>Kota Surabaya</t>
        </is>
      </c>
      <c r="C175" t="inlineStr">
        <is>
          <t>08123586402</t>
        </is>
      </c>
      <c r="D175" t="inlineStr">
        <is>
          <t>suryarayaanugerah2021@gmail.com</t>
        </is>
      </c>
      <c r="E175" t="inlineStr">
        <is>
          <t>https://lpjk.pu.go.id/search-badan-usaha-detail/dWVxYzRWYzdXRlY5YzJBdEpJczE2Zz09</t>
        </is>
      </c>
      <c r="F175" t="n">
        <v>1</v>
      </c>
      <c r="G175" t="inlineStr">
        <is>
          <t>BG007</t>
        </is>
      </c>
      <c r="H175" t="inlineStr">
        <is>
          <t>14 November 2022</t>
        </is>
      </c>
      <c r="I175" s="2" t="n">
        <v>46263</v>
      </c>
      <c r="J175" t="inlineStr">
        <is>
          <t>Disetujui</t>
        </is>
      </c>
      <c r="K175" t="n">
        <v>60</v>
      </c>
      <c r="L175" t="inlineStr">
        <is>
          <t>29 Agustus 2026</t>
        </is>
      </c>
      <c r="M175" t="inlineStr">
        <is>
          <t>Konstruksi Gedung Penginapan</t>
        </is>
      </c>
      <c r="N175" t="inlineStr">
        <is>
          <t>K</t>
        </is>
      </c>
      <c r="O175" t="inlineStr">
        <is>
          <t>20230825</t>
        </is>
      </c>
      <c r="P175" t="inlineStr">
        <is>
          <t>Jawa Timur</t>
        </is>
      </c>
      <c r="Q175" t="inlineStr"/>
    </row>
    <row r="176">
      <c r="A176" t="inlineStr">
        <is>
          <t>TALENTA GUNA MANDIRI</t>
        </is>
      </c>
      <c r="B176" t="inlineStr">
        <is>
          <t>Kota Makassar</t>
        </is>
      </c>
      <c r="C176" t="inlineStr">
        <is>
          <t>085255266692</t>
        </is>
      </c>
      <c r="D176" t="inlineStr">
        <is>
          <t>talentagunamandiri@gmail.com</t>
        </is>
      </c>
      <c r="E176" t="inlineStr">
        <is>
          <t>https://lpjk.pu.go.id/search-badan-usaha-detail/dnk4cUtxNXNoTGRoR0hDS0JwUWlIQT09</t>
        </is>
      </c>
      <c r="F176" t="n">
        <v>1</v>
      </c>
      <c r="G176" t="inlineStr">
        <is>
          <t>BG002</t>
        </is>
      </c>
      <c r="H176" t="inlineStr">
        <is>
          <t>7 Desember 2017</t>
        </is>
      </c>
      <c r="I176" s="2" t="n">
        <v>46263</v>
      </c>
      <c r="J176" t="inlineStr">
        <is>
          <t>Disetujui</t>
        </is>
      </c>
      <c r="K176" t="n">
        <v>60</v>
      </c>
      <c r="L176" t="inlineStr">
        <is>
          <t>29 Agustus 2026</t>
        </is>
      </c>
      <c r="M176" t="inlineStr">
        <is>
          <t>Konstruksi Gedung Perkantoran</t>
        </is>
      </c>
      <c r="N176" t="inlineStr">
        <is>
          <t>K</t>
        </is>
      </c>
      <c r="O176" t="inlineStr">
        <is>
          <t>20230824</t>
        </is>
      </c>
      <c r="P176" t="inlineStr">
        <is>
          <t>Sulawesi Selatan</t>
        </is>
      </c>
      <c r="Q176" t="inlineStr"/>
    </row>
    <row r="177">
      <c r="A177" t="inlineStr">
        <is>
          <t>TANIA FIRDAUS</t>
        </is>
      </c>
      <c r="B177" t="inlineStr">
        <is>
          <t>Kab. Musi Banyuasin</t>
        </is>
      </c>
      <c r="C177" t="inlineStr">
        <is>
          <t>081367611112</t>
        </is>
      </c>
      <c r="D177" t="inlineStr">
        <is>
          <t>cvtaniafirdaus@gmail.com</t>
        </is>
      </c>
      <c r="E177" t="inlineStr">
        <is>
          <t>https://lpjk.pu.go.id/search-badan-usaha-detail/ejVjN092WVFac042YVpISS9JelhCQT09</t>
        </is>
      </c>
      <c r="F177" t="n">
        <v>2</v>
      </c>
      <c r="G177" t="inlineStr">
        <is>
          <t>BG005, BG009</t>
        </is>
      </c>
      <c r="H177" t="inlineStr">
        <is>
          <t>2 Juli 2019</t>
        </is>
      </c>
      <c r="I177" s="2" t="n">
        <v>46263</v>
      </c>
      <c r="J177" t="inlineStr">
        <is>
          <t>Disetujui</t>
        </is>
      </c>
      <c r="K177" t="n">
        <v>60</v>
      </c>
      <c r="L177" t="inlineStr">
        <is>
          <t>29 Agustus 2026</t>
        </is>
      </c>
      <c r="M177" t="inlineStr">
        <is>
          <t>Konstruksi Gedung Kesehatan, Konstruksi Gedung Lainnya</t>
        </is>
      </c>
      <c r="N177" t="inlineStr">
        <is>
          <t>K</t>
        </is>
      </c>
      <c r="O177" t="inlineStr">
        <is>
          <t>20230531, 20230607</t>
        </is>
      </c>
      <c r="P177" t="inlineStr">
        <is>
          <t>Sumatera Selatan</t>
        </is>
      </c>
      <c r="Q177" t="inlineStr"/>
    </row>
    <row r="178">
      <c r="A178" t="inlineStr">
        <is>
          <t>TATA KARUNIA ABADI</t>
        </is>
      </c>
      <c r="B178" t="inlineStr">
        <is>
          <t>Kota Blitar</t>
        </is>
      </c>
      <c r="C178" t="inlineStr">
        <is>
          <t>0342801828</t>
        </is>
      </c>
      <c r="D178" t="inlineStr">
        <is>
          <t>tatakaruniaabadi@yahoo.com</t>
        </is>
      </c>
      <c r="E178" t="inlineStr">
        <is>
          <t>https://lpjk.pu.go.id/search-badan-usaha-detail/d1JZa004Q1cyVFQ0U1htWDZGM1RTdz09</t>
        </is>
      </c>
      <c r="F178" t="n">
        <v>1</v>
      </c>
      <c r="G178" t="inlineStr">
        <is>
          <t>BS001</t>
        </is>
      </c>
      <c r="H178" t="inlineStr">
        <is>
          <t>6 September 2011</t>
        </is>
      </c>
      <c r="I178" s="2" t="n">
        <v>46263</v>
      </c>
      <c r="J178" t="inlineStr">
        <is>
          <t>Pencabutan</t>
        </is>
      </c>
      <c r="K178" t="n">
        <v>60</v>
      </c>
      <c r="L178" t="inlineStr">
        <is>
          <t>29 Agustus 2026</t>
        </is>
      </c>
      <c r="M178" t="inlineStr">
        <is>
          <t>Konstruksi Bangunan Sipil Jalan</t>
        </is>
      </c>
      <c r="N178" t="inlineStr">
        <is>
          <t>M</t>
        </is>
      </c>
      <c r="O178" t="inlineStr">
        <is>
          <t>20230805</t>
        </is>
      </c>
      <c r="P178" t="inlineStr">
        <is>
          <t>Jawa Timur</t>
        </is>
      </c>
      <c r="Q178" t="inlineStr"/>
    </row>
    <row r="179">
      <c r="A179" t="inlineStr">
        <is>
          <t>TELAGA ABADI NUSANTARA</t>
        </is>
      </c>
      <c r="B179" t="inlineStr">
        <is>
          <t>Kota Tangerang Selatan</t>
        </is>
      </c>
      <c r="C179" t="inlineStr">
        <is>
          <t>-</t>
        </is>
      </c>
      <c r="D179" t="inlineStr">
        <is>
          <t>telagaabadinusantara@gmail.com</t>
        </is>
      </c>
      <c r="E179" t="inlineStr">
        <is>
          <t>https://lpjk.pu.go.id/search-badan-usaha-detail/anpCWGxJMnlQb3AvVzhtL3I5ekxMZz09</t>
        </is>
      </c>
      <c r="F179" t="n">
        <v>3</v>
      </c>
      <c r="G179" t="inlineStr">
        <is>
          <t>BG006, BS001, BS004</t>
        </is>
      </c>
      <c r="H179" t="inlineStr">
        <is>
          <t>29 Agustus 2022</t>
        </is>
      </c>
      <c r="I179" s="2" t="n">
        <v>46263</v>
      </c>
      <c r="J179" t="inlineStr">
        <is>
          <t>Disetujui</t>
        </is>
      </c>
      <c r="K179" t="n">
        <v>60</v>
      </c>
      <c r="L179" t="inlineStr">
        <is>
          <t>29 Agustus 2026</t>
        </is>
      </c>
      <c r="M179" t="inlineStr">
        <is>
          <t>Konstruksi Bangunan Sipil Jalan, Konstruksi Gedung Pendidikan, Konstruksi Jaringan Irigasi dan Drainase</t>
        </is>
      </c>
      <c r="N179" t="inlineStr">
        <is>
          <t>K</t>
        </is>
      </c>
      <c r="O179" t="inlineStr">
        <is>
          <t>20230821, 20230825, 20230828</t>
        </is>
      </c>
      <c r="P179" t="inlineStr">
        <is>
          <t>Banten</t>
        </is>
      </c>
      <c r="Q179" t="inlineStr"/>
    </row>
    <row r="180">
      <c r="A180" t="inlineStr">
        <is>
          <t>TRI PUTRA KARYA</t>
        </is>
      </c>
      <c r="B180" t="inlineStr">
        <is>
          <t>Kab. Tabanan</t>
        </is>
      </c>
      <c r="C180" t="inlineStr">
        <is>
          <t>08123615074</t>
        </is>
      </c>
      <c r="D180" t="inlineStr">
        <is>
          <t>cv.triputrakarya908@gmail.com</t>
        </is>
      </c>
      <c r="E180" t="inlineStr">
        <is>
          <t>https://lpjk.pu.go.id/search-badan-usaha-detail/NmR1SEQyb3RPUGxOYUN3TDJGcUhtQT09</t>
        </is>
      </c>
      <c r="F180" t="n">
        <v>1</v>
      </c>
      <c r="G180" t="inlineStr">
        <is>
          <t>BG006</t>
        </is>
      </c>
      <c r="H180" t="inlineStr">
        <is>
          <t>21 Februari 2002</t>
        </is>
      </c>
      <c r="I180" s="2" t="n">
        <v>46263</v>
      </c>
      <c r="J180" t="inlineStr">
        <is>
          <t>Disetujui</t>
        </is>
      </c>
      <c r="K180" t="n">
        <v>60</v>
      </c>
      <c r="L180" t="inlineStr">
        <is>
          <t>29 Agustus 2026</t>
        </is>
      </c>
      <c r="M180" t="inlineStr">
        <is>
          <t>Konstruksi Gedung Pendidikan</t>
        </is>
      </c>
      <c r="N180" t="inlineStr">
        <is>
          <t>K</t>
        </is>
      </c>
      <c r="O180" t="inlineStr">
        <is>
          <t>20230827</t>
        </is>
      </c>
      <c r="P180" t="inlineStr">
        <is>
          <t>Bali</t>
        </is>
      </c>
      <c r="Q180" t="inlineStr"/>
    </row>
    <row r="181">
      <c r="A181" t="inlineStr">
        <is>
          <t>TRIARTHA GRAHA</t>
        </is>
      </c>
      <c r="B181" t="inlineStr">
        <is>
          <t>Kab. Badung</t>
        </is>
      </c>
      <c r="C181" t="inlineStr">
        <is>
          <t>085103008812</t>
        </is>
      </c>
      <c r="D181" t="inlineStr">
        <is>
          <t>cv.triarthagraha@gmail.com</t>
        </is>
      </c>
      <c r="E181" t="inlineStr">
        <is>
          <t>https://lpjk.pu.go.id/search-badan-usaha-detail/M2VWaDZMTWpNSmVJWk9qL1BYYjhuUT09</t>
        </is>
      </c>
      <c r="F181" t="n">
        <v>1</v>
      </c>
      <c r="G181" t="inlineStr">
        <is>
          <t>BG008</t>
        </is>
      </c>
      <c r="H181" t="inlineStr">
        <is>
          <t>4 Januari 2006</t>
        </is>
      </c>
      <c r="I181" s="2" t="n">
        <v>46263</v>
      </c>
      <c r="J181" t="inlineStr">
        <is>
          <t>Disetujui</t>
        </is>
      </c>
      <c r="K181" t="n">
        <v>60</v>
      </c>
      <c r="L181" t="inlineStr">
        <is>
          <t>29 Agustus 2026</t>
        </is>
      </c>
      <c r="M181" t="inlineStr">
        <is>
          <t>Konstruksi Gedung Tempat Hiburan dan Olahraga</t>
        </is>
      </c>
      <c r="N181" t="inlineStr">
        <is>
          <t>K</t>
        </is>
      </c>
      <c r="O181" t="inlineStr">
        <is>
          <t>20230826</t>
        </is>
      </c>
      <c r="P181" t="inlineStr">
        <is>
          <t>Bali</t>
        </is>
      </c>
      <c r="Q181" t="inlineStr"/>
    </row>
    <row r="182">
      <c r="A182" t="inlineStr">
        <is>
          <t>TRIASA MANDIRI</t>
        </is>
      </c>
      <c r="B182" t="inlineStr">
        <is>
          <t>Kota Ambon</t>
        </is>
      </c>
      <c r="C182" t="inlineStr">
        <is>
          <t>08114782328</t>
        </is>
      </c>
      <c r="D182" t="inlineStr">
        <is>
          <t>abdulw871@gmail.com</t>
        </is>
      </c>
      <c r="E182" t="inlineStr">
        <is>
          <t>https://lpjk.pu.go.id/search-badan-usaha-detail/NHhucFp4WHlXTmdlNWVpRkMzT25jUT09</t>
        </is>
      </c>
      <c r="F182" t="n">
        <v>3</v>
      </c>
      <c r="G182" t="inlineStr">
        <is>
          <t>BS004</t>
        </is>
      </c>
      <c r="H182" t="inlineStr">
        <is>
          <t>29 Agustus 2019</t>
        </is>
      </c>
      <c r="I182" s="2" t="n">
        <v>46263</v>
      </c>
      <c r="J182" t="inlineStr">
        <is>
          <t>Pencabutan</t>
        </is>
      </c>
      <c r="K182" t="n">
        <v>60</v>
      </c>
      <c r="L182" t="inlineStr">
        <is>
          <t>29 Agustus 2026</t>
        </is>
      </c>
      <c r="M182" t="inlineStr">
        <is>
          <t>Konstruksi Jaringan Irigasi dan Drainase</t>
        </is>
      </c>
      <c r="N182" t="inlineStr">
        <is>
          <t>K</t>
        </is>
      </c>
      <c r="O182" t="inlineStr">
        <is>
          <t>20230830</t>
        </is>
      </c>
      <c r="P182" t="inlineStr">
        <is>
          <t>Maluku</t>
        </is>
      </c>
      <c r="Q182" t="inlineStr"/>
    </row>
    <row r="183">
      <c r="A183" t="inlineStr">
        <is>
          <t>TRIBUANA TUNGGADEWI</t>
        </is>
      </c>
      <c r="B183" t="inlineStr">
        <is>
          <t>Kab. Tulungagung</t>
        </is>
      </c>
      <c r="C183" t="inlineStr">
        <is>
          <t>085645863213</t>
        </is>
      </c>
      <c r="D183" t="inlineStr">
        <is>
          <t>tunggadewitribuana22@gmail.com</t>
        </is>
      </c>
      <c r="E183" t="inlineStr">
        <is>
          <t>https://lpjk.pu.go.id/search-badan-usaha-detail/MVVMMjNBamFjRG9KZU1FMUVUVzFVUT09</t>
        </is>
      </c>
      <c r="F183" t="n">
        <v>4</v>
      </c>
      <c r="G183" t="inlineStr">
        <is>
          <t>BG002, BG005, BG009</t>
        </is>
      </c>
      <c r="H183" t="inlineStr">
        <is>
          <t>22 Maret 2017</t>
        </is>
      </c>
      <c r="I183" s="2" t="n">
        <v>46263</v>
      </c>
      <c r="J183" t="inlineStr">
        <is>
          <t>Disetujui</t>
        </is>
      </c>
      <c r="K183" t="n">
        <v>60</v>
      </c>
      <c r="L183" t="inlineStr">
        <is>
          <t>29 Agustus 2026</t>
        </is>
      </c>
      <c r="M183" t="inlineStr">
        <is>
          <t>Konstruksi Gedung Kesehatan, Konstruksi Gedung Lainnya, Konstruksi Gedung Perkantoran</t>
        </is>
      </c>
      <c r="N183" t="inlineStr">
        <is>
          <t>K</t>
        </is>
      </c>
      <c r="O183" t="inlineStr">
        <is>
          <t>20230824</t>
        </is>
      </c>
      <c r="P183" t="inlineStr">
        <is>
          <t>Jawa Timur</t>
        </is>
      </c>
      <c r="Q183" t="inlineStr"/>
    </row>
    <row r="184">
      <c r="A184" t="inlineStr">
        <is>
          <t>TUNAS GERU JAYA</t>
        </is>
      </c>
      <c r="B184" t="inlineStr">
        <is>
          <t>Kab. Manokwari</t>
        </is>
      </c>
      <c r="C184" t="inlineStr">
        <is>
          <t>082143655115</t>
        </is>
      </c>
      <c r="D184" t="inlineStr">
        <is>
          <t>cvtunasgerujaya@gmail.com</t>
        </is>
      </c>
      <c r="E184" t="inlineStr">
        <is>
          <t>https://lpjk.pu.go.id/search-badan-usaha-detail/cHAxS2RUdHhxcU5MeFc0N0d0cW4rQT09</t>
        </is>
      </c>
      <c r="F184" t="n">
        <v>1</v>
      </c>
      <c r="G184" t="inlineStr">
        <is>
          <t>BG005</t>
        </is>
      </c>
      <c r="H184" t="inlineStr">
        <is>
          <t>8 Januari 2019</t>
        </is>
      </c>
      <c r="I184" s="2" t="n">
        <v>46263</v>
      </c>
      <c r="J184" t="inlineStr">
        <is>
          <t>Pencabutan</t>
        </is>
      </c>
      <c r="K184" t="n">
        <v>60</v>
      </c>
      <c r="L184" t="inlineStr">
        <is>
          <t>29 Agustus 2026</t>
        </is>
      </c>
      <c r="M184" t="inlineStr">
        <is>
          <t>Konstruksi Gedung Kesehatan</t>
        </is>
      </c>
      <c r="N184" t="inlineStr">
        <is>
          <t>K</t>
        </is>
      </c>
      <c r="O184" t="inlineStr">
        <is>
          <t>20230828</t>
        </is>
      </c>
      <c r="P184" t="inlineStr">
        <is>
          <t>Papua Barat</t>
        </is>
      </c>
      <c r="Q184" t="inlineStr"/>
    </row>
    <row r="185">
      <c r="A185" t="inlineStr">
        <is>
          <t>TUNAS INTI ABADI</t>
        </is>
      </c>
      <c r="B185" t="inlineStr">
        <is>
          <t>Kab. Tanah Datar</t>
        </is>
      </c>
      <c r="C185" t="inlineStr">
        <is>
          <t>081276194938</t>
        </is>
      </c>
      <c r="D185" t="inlineStr">
        <is>
          <t>tunasintiabadi.cv@gmail.com</t>
        </is>
      </c>
      <c r="E185" t="inlineStr">
        <is>
          <t>https://lpjk.pu.go.id/search-badan-usaha-detail/UUZpcUdPdUhPQ0dDbXE3YkRMKys5Zz09</t>
        </is>
      </c>
      <c r="F185" t="n">
        <v>1</v>
      </c>
      <c r="G185" t="inlineStr">
        <is>
          <t>BG006</t>
        </is>
      </c>
      <c r="H185" t="inlineStr">
        <is>
          <t>20 Januari 2015</t>
        </is>
      </c>
      <c r="I185" s="2" t="n">
        <v>46263</v>
      </c>
      <c r="J185" t="inlineStr">
        <is>
          <t>Disetujui</t>
        </is>
      </c>
      <c r="K185" t="n">
        <v>60</v>
      </c>
      <c r="L185" t="inlineStr">
        <is>
          <t>29 Agustus 2026</t>
        </is>
      </c>
      <c r="M185" t="inlineStr">
        <is>
          <t>Konstruksi Gedung Pendidikan</t>
        </is>
      </c>
      <c r="N185" t="inlineStr">
        <is>
          <t>K</t>
        </is>
      </c>
      <c r="O185" t="inlineStr">
        <is>
          <t>20230824</t>
        </is>
      </c>
      <c r="P185" t="inlineStr">
        <is>
          <t>Sumatera Barat</t>
        </is>
      </c>
      <c r="Q185" t="inlineStr"/>
    </row>
    <row r="186">
      <c r="A186" t="inlineStr">
        <is>
          <t>UNGGUL ENERGY ENGINEERING</t>
        </is>
      </c>
      <c r="B186" t="inlineStr">
        <is>
          <t>Kab. Gresik</t>
        </is>
      </c>
      <c r="C186" t="inlineStr">
        <is>
          <t>082229144165</t>
        </is>
      </c>
      <c r="D186" t="inlineStr">
        <is>
          <t>unggulenergyengineering.uee@gmail.com</t>
        </is>
      </c>
      <c r="E186" t="inlineStr">
        <is>
          <t>https://lpjk.pu.go.id/search-badan-usaha-detail/Um5tY0FSV0R6dWUveldTYlZIT1FwQT09</t>
        </is>
      </c>
      <c r="F186" t="n">
        <v>1</v>
      </c>
      <c r="G186" t="inlineStr">
        <is>
          <t>BS013</t>
        </is>
      </c>
      <c r="H186" t="inlineStr">
        <is>
          <t>16 Oktober 2009</t>
        </is>
      </c>
      <c r="I186" s="2" t="n">
        <v>46263</v>
      </c>
      <c r="J186" t="inlineStr">
        <is>
          <t>Disetujui</t>
        </is>
      </c>
      <c r="K186" t="n">
        <v>60</v>
      </c>
      <c r="L186" t="inlineStr">
        <is>
          <t>29 Agustus 2026</t>
        </is>
      </c>
      <c r="M186" t="inlineStr">
        <is>
          <t>Konstruksi Bangunan Sipil Minyak dan Gas Bumi</t>
        </is>
      </c>
      <c r="N186" t="inlineStr">
        <is>
          <t>M</t>
        </is>
      </c>
      <c r="O186" t="inlineStr">
        <is>
          <t>20230731</t>
        </is>
      </c>
      <c r="P186" t="inlineStr">
        <is>
          <t>Jawa Timur</t>
        </is>
      </c>
      <c r="Q186" t="inlineStr"/>
    </row>
    <row r="187">
      <c r="A187" t="inlineStr">
        <is>
          <t>USAHA SEJATI GROUP</t>
        </is>
      </c>
      <c r="B187" t="inlineStr">
        <is>
          <t>Kab. Kapuas Hulu</t>
        </is>
      </c>
      <c r="C187" t="inlineStr">
        <is>
          <t>082153574086</t>
        </is>
      </c>
      <c r="D187" t="inlineStr">
        <is>
          <t>usahasejatigroup17@gmail.com</t>
        </is>
      </c>
      <c r="E187" t="inlineStr">
        <is>
          <t>https://lpjk.pu.go.id/search-badan-usaha-detail/TmRiUEdvd2gvaEJhbllPS2I3S0xPUT09</t>
        </is>
      </c>
      <c r="F187" t="n">
        <v>1</v>
      </c>
      <c r="G187" t="inlineStr">
        <is>
          <t>BG001</t>
        </is>
      </c>
      <c r="H187" t="inlineStr">
        <is>
          <t>14 April 2016</t>
        </is>
      </c>
      <c r="I187" s="2" t="n">
        <v>46263</v>
      </c>
      <c r="J187" t="inlineStr">
        <is>
          <t>Disetujui</t>
        </is>
      </c>
      <c r="K187" t="n">
        <v>60</v>
      </c>
      <c r="L187" t="inlineStr">
        <is>
          <t>29 Agustus 2026</t>
        </is>
      </c>
      <c r="M187" t="inlineStr">
        <is>
          <t>Konstruksi Gedung Hunian</t>
        </is>
      </c>
      <c r="N187" t="inlineStr">
        <is>
          <t>K</t>
        </is>
      </c>
      <c r="O187" t="inlineStr">
        <is>
          <t>20230829</t>
        </is>
      </c>
      <c r="P187" t="inlineStr">
        <is>
          <t>Kalimantan Barat</t>
        </is>
      </c>
      <c r="Q187" t="inlineStr"/>
    </row>
    <row r="188">
      <c r="A188" t="inlineStr">
        <is>
          <t>UTAMA</t>
        </is>
      </c>
      <c r="B188" t="inlineStr">
        <is>
          <t>Kota Cimahi</t>
        </is>
      </c>
      <c r="C188" t="inlineStr">
        <is>
          <t>0226652362</t>
        </is>
      </c>
      <c r="D188" t="inlineStr">
        <is>
          <t>cvutama80@yahoo.com</t>
        </is>
      </c>
      <c r="E188" t="inlineStr">
        <is>
          <t>https://lpjk.pu.go.id/search-badan-usaha-detail/cFNkMU95V1FMVzE2Y2JGcDZIdUh2UT09</t>
        </is>
      </c>
      <c r="F188" t="n">
        <v>1</v>
      </c>
      <c r="G188" t="inlineStr">
        <is>
          <t>BG009</t>
        </is>
      </c>
      <c r="H188" t="inlineStr">
        <is>
          <t>23 September 1961</t>
        </is>
      </c>
      <c r="I188" s="2" t="n">
        <v>46263</v>
      </c>
      <c r="J188" t="inlineStr">
        <is>
          <t>Disetujui</t>
        </is>
      </c>
      <c r="K188" t="n">
        <v>60</v>
      </c>
      <c r="L188" t="inlineStr">
        <is>
          <t>29 Agustus 2026</t>
        </is>
      </c>
      <c r="M188" t="inlineStr">
        <is>
          <t>Konstruksi Gedung Lainnya</t>
        </is>
      </c>
      <c r="N188" t="inlineStr">
        <is>
          <t>K</t>
        </is>
      </c>
      <c r="O188" t="inlineStr">
        <is>
          <t>20230822</t>
        </is>
      </c>
      <c r="P188" t="inlineStr">
        <is>
          <t>Jawa Barat</t>
        </is>
      </c>
      <c r="Q188" t="inlineStr"/>
    </row>
    <row r="189">
      <c r="A189" t="inlineStr">
        <is>
          <t>WATU WESI RAYA</t>
        </is>
      </c>
      <c r="B189" t="inlineStr">
        <is>
          <t>Kab. Klungkung</t>
        </is>
      </c>
      <c r="C189" t="inlineStr">
        <is>
          <t>081339410250</t>
        </is>
      </c>
      <c r="D189" t="inlineStr">
        <is>
          <t>cv.watuwesiraya23@gmail.com</t>
        </is>
      </c>
      <c r="E189" t="inlineStr">
        <is>
          <t>https://lpjk.pu.go.id/search-badan-usaha-detail/TCt1OHdCM2pJYTBEaWpETzZ1R0ZkZz09</t>
        </is>
      </c>
      <c r="F189" t="n">
        <v>1</v>
      </c>
      <c r="G189" t="inlineStr">
        <is>
          <t>BG006</t>
        </is>
      </c>
      <c r="H189" t="inlineStr">
        <is>
          <t>17 Juli 2023</t>
        </is>
      </c>
      <c r="I189" s="2" t="n">
        <v>46263</v>
      </c>
      <c r="J189" t="inlineStr">
        <is>
          <t>Disetujui</t>
        </is>
      </c>
      <c r="K189" t="n">
        <v>60</v>
      </c>
      <c r="L189" t="inlineStr">
        <is>
          <t>29 Agustus 2026</t>
        </is>
      </c>
      <c r="M189" t="inlineStr">
        <is>
          <t>Konstruksi Gedung Pendidikan</t>
        </is>
      </c>
      <c r="N189" t="inlineStr">
        <is>
          <t>K</t>
        </is>
      </c>
      <c r="O189" t="inlineStr">
        <is>
          <t>20230824</t>
        </is>
      </c>
      <c r="P189" t="inlineStr">
        <is>
          <t>Bali</t>
        </is>
      </c>
      <c r="Q189" t="inlineStr"/>
    </row>
    <row r="190">
      <c r="A190" t="inlineStr">
        <is>
          <t>WIRA KARYA PERKASA</t>
        </is>
      </c>
      <c r="B190" t="inlineStr">
        <is>
          <t>Kota Medan</t>
        </is>
      </c>
      <c r="C190" t="inlineStr">
        <is>
          <t>085261653524</t>
        </is>
      </c>
      <c r="D190" t="inlineStr">
        <is>
          <t>data.dstx36@gmail.com</t>
        </is>
      </c>
      <c r="E190" t="inlineStr">
        <is>
          <t>https://lpjk.pu.go.id/search-badan-usaha-detail/RkVMTVJxTWduZlo4d3Jic0h3elordz09</t>
        </is>
      </c>
      <c r="F190" t="n">
        <v>3</v>
      </c>
      <c r="G190" t="inlineStr">
        <is>
          <t>BG001, BG002, BG009</t>
        </is>
      </c>
      <c r="H190" t="inlineStr">
        <is>
          <t>20 Desember 2010</t>
        </is>
      </c>
      <c r="I190" s="2" t="n">
        <v>46263</v>
      </c>
      <c r="J190" t="inlineStr">
        <is>
          <t>Pencabutan</t>
        </is>
      </c>
      <c r="K190" t="n">
        <v>60</v>
      </c>
      <c r="L190" t="inlineStr">
        <is>
          <t>29 Agustus 2026</t>
        </is>
      </c>
      <c r="M190" t="inlineStr">
        <is>
          <t>Konstruksi Gedung Hunian, Konstruksi Gedung Lainnya, Konstruksi Gedung Perkantoran</t>
        </is>
      </c>
      <c r="N190" t="inlineStr">
        <is>
          <t>M</t>
        </is>
      </c>
      <c r="O190" t="inlineStr">
        <is>
          <t>20230710, 20230827</t>
        </is>
      </c>
      <c r="P190" t="inlineStr">
        <is>
          <t>Sumatera Utara</t>
        </is>
      </c>
      <c r="Q190" t="inlineStr"/>
    </row>
    <row r="191">
      <c r="A191" t="inlineStr">
        <is>
          <t>YUNISA GROUP</t>
        </is>
      </c>
      <c r="B191" t="inlineStr">
        <is>
          <t>Kab. Lombok Timur</t>
        </is>
      </c>
      <c r="C191" t="inlineStr">
        <is>
          <t>087750033662</t>
        </is>
      </c>
      <c r="D191" t="inlineStr">
        <is>
          <t>cv.yunisagroup@gmail.com</t>
        </is>
      </c>
      <c r="E191" t="inlineStr">
        <is>
          <t>https://lpjk.pu.go.id/search-badan-usaha-detail/NDQyVkpuYzhaczMrTi9RcnlZZTVCZz09</t>
        </is>
      </c>
      <c r="F191" t="n">
        <v>1</v>
      </c>
      <c r="G191" t="inlineStr">
        <is>
          <t>BG009</t>
        </is>
      </c>
      <c r="H191" t="inlineStr">
        <is>
          <t>14 Oktober 2019</t>
        </is>
      </c>
      <c r="I191" s="2" t="n">
        <v>46263</v>
      </c>
      <c r="J191" t="inlineStr">
        <is>
          <t>Pencabutan</t>
        </is>
      </c>
      <c r="K191" t="n">
        <v>60</v>
      </c>
      <c r="L191" t="inlineStr">
        <is>
          <t>29 Agustus 2026</t>
        </is>
      </c>
      <c r="M191" t="inlineStr">
        <is>
          <t>Konstruksi Gedung Lainnya</t>
        </is>
      </c>
      <c r="N191" t="inlineStr">
        <is>
          <t>K</t>
        </is>
      </c>
      <c r="O191" t="inlineStr">
        <is>
          <t>20230615</t>
        </is>
      </c>
      <c r="P191" t="inlineStr">
        <is>
          <t>Nusa Tenggara Barat</t>
        </is>
      </c>
      <c r="Q191" t="inlineStr"/>
    </row>
    <row r="192">
      <c r="A192" t="inlineStr">
        <is>
          <t>ZIFADA SEJAHTERA</t>
        </is>
      </c>
      <c r="B192" t="inlineStr">
        <is>
          <t>Kab. Malang</t>
        </is>
      </c>
      <c r="C192" t="inlineStr">
        <is>
          <t>085100427133</t>
        </is>
      </c>
      <c r="D192" t="inlineStr">
        <is>
          <t>zifadasejahtera@yahoo.com</t>
        </is>
      </c>
      <c r="E192" t="inlineStr">
        <is>
          <t>https://lpjk.pu.go.id/search-badan-usaha-detail/MjlsSEs1RC81MFl0Y2hJQXNjSEF0QT09</t>
        </is>
      </c>
      <c r="F192" t="n">
        <v>2</v>
      </c>
      <c r="G192" t="inlineStr">
        <is>
          <t>BS002</t>
        </is>
      </c>
      <c r="H192" t="inlineStr">
        <is>
          <t>13 Januari 2010</t>
        </is>
      </c>
      <c r="I192" s="2" t="n">
        <v>46263</v>
      </c>
      <c r="J192" t="inlineStr">
        <is>
          <t>Disetujui</t>
        </is>
      </c>
      <c r="K192" t="n">
        <v>60</v>
      </c>
      <c r="L192" t="inlineStr">
        <is>
          <t>29 Agustus 2026</t>
        </is>
      </c>
      <c r="M192" t="inlineStr">
        <is>
          <t>Bangunan Sipil Jembatan, Jalan Layang, Fly Over, dan Underpass</t>
        </is>
      </c>
      <c r="N192" t="inlineStr">
        <is>
          <t>K</t>
        </is>
      </c>
      <c r="O192" t="inlineStr">
        <is>
          <t>20230829</t>
        </is>
      </c>
      <c r="P192" t="inlineStr">
        <is>
          <t>Jawa Timur</t>
        </is>
      </c>
      <c r="Q19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66"/>
  <sheetViews>
    <sheetView workbookViewId="0">
      <selection activeCell="A1" sqref="A1"/>
    </sheetView>
  </sheetViews>
  <sheetFormatPr baseColWidth="8" defaultRowHeight="15"/>
  <cols>
    <col width="41" customWidth="1" min="1" max="1"/>
    <col width="27" customWidth="1" min="2" max="2"/>
    <col width="16" customWidth="1" min="3" max="3"/>
    <col width="42"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ASPEN KENCANA SAKTI</t>
        </is>
      </c>
      <c r="B2" t="inlineStr">
        <is>
          <t>Kota Depok</t>
        </is>
      </c>
      <c r="C2" t="inlineStr">
        <is>
          <t>081252106675</t>
        </is>
      </c>
      <c r="D2" t="inlineStr">
        <is>
          <t>aspenkencanasakti@gmail.com</t>
        </is>
      </c>
      <c r="E2" t="inlineStr">
        <is>
          <t>https://lpjk.pu.go.id/search-badan-usaha-detail/WXBvUVl4MzVkeHdWazhmdmJ2VHdLQT09</t>
        </is>
      </c>
      <c r="F2" t="n">
        <v>2</v>
      </c>
      <c r="G2" t="inlineStr">
        <is>
          <t>BG001, BG002</t>
        </is>
      </c>
      <c r="H2" t="inlineStr">
        <is>
          <t>12 April 2023</t>
        </is>
      </c>
      <c r="I2" s="2" t="n">
        <v>46233</v>
      </c>
      <c r="J2" t="inlineStr">
        <is>
          <t>Disetujui</t>
        </is>
      </c>
      <c r="K2" t="n">
        <v>30</v>
      </c>
      <c r="L2" t="inlineStr">
        <is>
          <t>30 Juli 2026</t>
        </is>
      </c>
      <c r="M2" t="inlineStr">
        <is>
          <t>Konstruksi Gedung Hunian, Konstruksi Gedung Perkantoran</t>
        </is>
      </c>
      <c r="N2" t="inlineStr">
        <is>
          <t>K</t>
        </is>
      </c>
      <c r="O2" t="inlineStr">
        <is>
          <t>20230725, 20230726</t>
        </is>
      </c>
      <c r="P2" t="inlineStr">
        <is>
          <t>Jawa Barat</t>
        </is>
      </c>
      <c r="Q2" s="3">
        <f>HYPERLINK("https://wa.me/6281252106675?text=*[Pengingat Masa Berlaku SBU ASPEN KENCANA SAKTI]*%0A%0AYth. Pimpinan ASPEN KENCANA SAKTI,%0AMohon izin menginformasikan status SBU Anda:%0A%0A📄 SBU: BG001, BG002%0A📅 Expired: 30 Juli 2026 (30 Hari Lagi)%0A%0AKami tim PT. ESDEA Assistance Management siap men-support proses perpanjangan segera agar administrasi proyek tidak terhambat%0A%0AApakah boleh saya bantu siapkan estimasi biaya dan waktu pengerjaannya?.", "Hubungi")</f>
        <v/>
      </c>
    </row>
    <row r="3">
      <c r="A3" t="inlineStr">
        <is>
          <t>CAHAYA BERLIAN</t>
        </is>
      </c>
      <c r="B3" t="inlineStr">
        <is>
          <t>Kab. Bekasi</t>
        </is>
      </c>
      <c r="C3" t="inlineStr">
        <is>
          <t>087777000234</t>
        </is>
      </c>
      <c r="D3" t="inlineStr">
        <is>
          <t>cahaya_berlian@yahoo.com</t>
        </is>
      </c>
      <c r="E3" t="inlineStr">
        <is>
          <t>https://lpjk.pu.go.id/search-badan-usaha-detail/UEFCbU5OK2p3VlIwMk02YjJ0MHVTZz09</t>
        </is>
      </c>
      <c r="F3" t="n">
        <v>1</v>
      </c>
      <c r="G3" t="inlineStr">
        <is>
          <t>BS001</t>
        </is>
      </c>
      <c r="H3" t="inlineStr">
        <is>
          <t>19 Desember 1994</t>
        </is>
      </c>
      <c r="I3" s="2" t="n">
        <v>46233</v>
      </c>
      <c r="J3" t="inlineStr">
        <is>
          <t>Disetujui</t>
        </is>
      </c>
      <c r="K3" t="n">
        <v>30</v>
      </c>
      <c r="L3" t="inlineStr">
        <is>
          <t>30 Juli 2026</t>
        </is>
      </c>
      <c r="M3" t="inlineStr">
        <is>
          <t>Konstruksi Bangunan Sipil Jalan</t>
        </is>
      </c>
      <c r="N3" t="inlineStr">
        <is>
          <t>K</t>
        </is>
      </c>
      <c r="O3" t="inlineStr">
        <is>
          <t>20230726</t>
        </is>
      </c>
      <c r="P3" t="inlineStr">
        <is>
          <t>Jawa Barat</t>
        </is>
      </c>
      <c r="Q3" s="3">
        <f>HYPERLINK("https://wa.me/6287777000234?text=*[Pengingat Masa Berlaku SBU CAHAYA BERLIAN]*%0A%0AYth. Pimpinan CAHAYA BERLIAN,%0AMohon izin menginformasikan status SBU Anda:%0A%0A📄 SBU: BS001%0A📅 Expired: 30 Juli 2026 (30 Hari Lagi)%0A%0AKami tim PT. ESDEA Assistance Management siap men-support proses perpanjangan segera agar administrasi proyek tidak terhambat%0A%0AApakah boleh saya bantu siapkan estimasi biaya dan waktu pengerjaannya?.", "Hubungi")</f>
        <v/>
      </c>
    </row>
    <row r="4">
      <c r="A4" t="inlineStr">
        <is>
          <t>DUTA PRIMA MANDIRI</t>
        </is>
      </c>
      <c r="B4" t="inlineStr">
        <is>
          <t>Kab. Bogor</t>
        </is>
      </c>
      <c r="C4" t="inlineStr">
        <is>
          <t>08111131138</t>
        </is>
      </c>
      <c r="D4" t="inlineStr">
        <is>
          <t>cvdutaprimamandiri@yahoo.co.id</t>
        </is>
      </c>
      <c r="E4" t="inlineStr">
        <is>
          <t>https://lpjk.pu.go.id/search-badan-usaha-detail/aHdkOVdVV3kyWE03R2RCSUxiM0RWQT09</t>
        </is>
      </c>
      <c r="F4" t="n">
        <v>1</v>
      </c>
      <c r="G4" t="inlineStr">
        <is>
          <t>BS004</t>
        </is>
      </c>
      <c r="H4" t="inlineStr">
        <is>
          <t>11 Januari 2002</t>
        </is>
      </c>
      <c r="I4" s="2" t="n">
        <v>46233</v>
      </c>
      <c r="J4" t="inlineStr">
        <is>
          <t>Disetujui</t>
        </is>
      </c>
      <c r="K4" t="n">
        <v>30</v>
      </c>
      <c r="L4" t="inlineStr">
        <is>
          <t>30 Juli 2026</t>
        </is>
      </c>
      <c r="M4" t="inlineStr">
        <is>
          <t>Konstruksi Jaringan Irigasi dan Drainase</t>
        </is>
      </c>
      <c r="N4" t="inlineStr">
        <is>
          <t>K</t>
        </is>
      </c>
      <c r="O4" t="inlineStr">
        <is>
          <t>20230522</t>
        </is>
      </c>
      <c r="P4" t="inlineStr">
        <is>
          <t>Jawa Barat</t>
        </is>
      </c>
      <c r="Q4" s="3">
        <f>HYPERLINK("https://wa.me/628111131138?text=*[Pengingat Masa Berlaku SBU DUTA PRIMA MANDIRI]*%0A%0AYth. Pimpinan DUTA PRIMA MANDIRI,%0AMohon izin menginformasikan status SBU Anda:%0A%0A📄 SBU: BS004%0A📅 Expired: 30 Juli 2026 (30 Hari Lagi)%0A%0AKami tim PT. ESDEA Assistance Management siap men-support proses perpanjangan segera agar administrasi proyek tidak terhambat%0A%0AApakah boleh saya bantu siapkan estimasi biaya dan waktu pengerjaannya?.", "Hubungi")</f>
        <v/>
      </c>
    </row>
    <row r="5">
      <c r="A5" t="inlineStr">
        <is>
          <t>ELIAZER NAHOR PRATAMA</t>
        </is>
      </c>
      <c r="B5" t="inlineStr">
        <is>
          <t>Kab. Bogor</t>
        </is>
      </c>
      <c r="C5" t="inlineStr">
        <is>
          <t>087872030003</t>
        </is>
      </c>
      <c r="D5" t="inlineStr">
        <is>
          <t>pt.eliazernahorpratama@gmail.com</t>
        </is>
      </c>
      <c r="E5" t="inlineStr">
        <is>
          <t>https://lpjk.pu.go.id/search-badan-usaha-detail/K2xCL3Q4YXlaZHVUR3lwUmRhL0xwZz09</t>
        </is>
      </c>
      <c r="F5" t="n">
        <v>1</v>
      </c>
      <c r="G5" t="inlineStr">
        <is>
          <t>IN004</t>
        </is>
      </c>
      <c r="H5" t="inlineStr">
        <is>
          <t>17 April 2023</t>
        </is>
      </c>
      <c r="I5" s="2" t="n">
        <v>46233</v>
      </c>
      <c r="J5" t="inlineStr">
        <is>
          <t>Disetujui</t>
        </is>
      </c>
      <c r="K5" t="n">
        <v>30</v>
      </c>
      <c r="L5" t="inlineStr">
        <is>
          <t>30 Juli 2026</t>
        </is>
      </c>
      <c r="M5" t="inlineStr">
        <is>
          <t>Instalasi Minyak dan Gas</t>
        </is>
      </c>
      <c r="N5" t="inlineStr">
        <is>
          <t>Spesialis</t>
        </is>
      </c>
      <c r="O5" t="inlineStr">
        <is>
          <t>20230610</t>
        </is>
      </c>
      <c r="P5" t="inlineStr">
        <is>
          <t>Jawa Barat</t>
        </is>
      </c>
      <c r="Q5" s="3">
        <f>HYPERLINK("https://wa.me/6287872030003?text=*[Pengingat Masa Berlaku SBU ELIAZER NAHOR PRATAMA]*%0A%0AYth. Pimpinan ELIAZER NAHOR PRATAMA,%0AMohon izin menginformasikan status SBU Anda:%0A%0A📄 SBU: IN004%0A📅 Expired: 30 Juli 2026 (30 Hari Lagi)%0A%0AKami tim PT. ESDEA Assistance Management siap men-support proses perpanjangan segera agar administrasi proyek tidak terhambat%0A%0AApakah boleh saya bantu siapkan estimasi biaya dan waktu pengerjaannya?.", "Hubungi")</f>
        <v/>
      </c>
    </row>
    <row r="6">
      <c r="A6" t="inlineStr">
        <is>
          <t>JIG NUSANTARA PERSADA</t>
        </is>
      </c>
      <c r="B6" t="inlineStr">
        <is>
          <t>Kota Bekasi</t>
        </is>
      </c>
      <c r="C6" t="inlineStr">
        <is>
          <t>085228003268</t>
        </is>
      </c>
      <c r="D6" t="inlineStr">
        <is>
          <t>corplegal.jig@gmail.com</t>
        </is>
      </c>
      <c r="E6" t="inlineStr">
        <is>
          <t>https://lpjk.pu.go.id/search-badan-usaha-detail/OWVPajZYbTFPdHlsZ2c1Qmsyak42dz09</t>
        </is>
      </c>
      <c r="F6" t="n">
        <v>1</v>
      </c>
      <c r="G6" t="inlineStr">
        <is>
          <t>BG002</t>
        </is>
      </c>
      <c r="H6" t="inlineStr">
        <is>
          <t>27 Mei 2013</t>
        </is>
      </c>
      <c r="I6" s="2" t="n">
        <v>46233</v>
      </c>
      <c r="J6" t="inlineStr">
        <is>
          <t>Disetujui</t>
        </is>
      </c>
      <c r="K6" t="n">
        <v>30</v>
      </c>
      <c r="L6" t="inlineStr">
        <is>
          <t>30 Juli 2026</t>
        </is>
      </c>
      <c r="M6" t="inlineStr">
        <is>
          <t>Konstruksi Gedung Perkantoran</t>
        </is>
      </c>
      <c r="N6" t="inlineStr">
        <is>
          <t>M</t>
        </is>
      </c>
      <c r="O6" t="inlineStr">
        <is>
          <t>20230726</t>
        </is>
      </c>
      <c r="P6" t="inlineStr">
        <is>
          <t>Jawa Barat</t>
        </is>
      </c>
      <c r="Q6" s="3">
        <f>HYPERLINK("https://wa.me/6285228003268?text=*[Pengingat Masa Berlaku SBU JIG NUSANTARA PERSADA]*%0A%0AYth. Pimpinan JIG NUSANTARA PERSADA,%0AMohon izin menginformasikan status SBU Anda:%0A%0A📄 SBU: BG002%0A📅 Expired: 30 Juli 2026 (30 Hari Lagi)%0A%0AKami tim PT. ESDEA Assistance Management siap men-support proses perpanjangan segera agar administrasi proyek tidak terhambat%0A%0AApakah boleh saya bantu siapkan estimasi biaya dan waktu pengerjaannya?.", "Hubungi")</f>
        <v/>
      </c>
    </row>
    <row r="7">
      <c r="A7" t="inlineStr">
        <is>
          <t>KARYA MANDIRI KONSULTAN</t>
        </is>
      </c>
      <c r="B7" t="inlineStr">
        <is>
          <t>Kota Bogor</t>
        </is>
      </c>
      <c r="C7" t="inlineStr">
        <is>
          <t>0218433320</t>
        </is>
      </c>
      <c r="D7" t="inlineStr">
        <is>
          <t>karyamandirikonsul@gmail.com</t>
        </is>
      </c>
      <c r="E7" t="inlineStr">
        <is>
          <t>https://lpjk.pu.go.id/search-badan-usaha-detail/VHBST1BPazI4NEpGamlmVDQ5MjR2QT09</t>
        </is>
      </c>
      <c r="F7" t="n">
        <v>2</v>
      </c>
      <c r="G7" t="inlineStr">
        <is>
          <t>AR001, AR003</t>
        </is>
      </c>
      <c r="H7" t="inlineStr">
        <is>
          <t>20 Februari 2017</t>
        </is>
      </c>
      <c r="I7" s="2" t="n">
        <v>46233</v>
      </c>
      <c r="J7" t="inlineStr">
        <is>
          <t>Pencabutan</t>
        </is>
      </c>
      <c r="K7" t="n">
        <v>30</v>
      </c>
      <c r="L7" t="inlineStr">
        <is>
          <t>30 Juli 2026</t>
        </is>
      </c>
      <c r="M7" t="inlineStr">
        <is>
          <t>Jasa Arsitektural Bangunan Gedung Hunian dan Non Hunian, Jasa Desain Interior pada Bangunan Gedung dan Bangunan Sipil</t>
        </is>
      </c>
      <c r="N7" t="inlineStr">
        <is>
          <t>K</t>
        </is>
      </c>
      <c r="O7" t="inlineStr">
        <is>
          <t>20230720</t>
        </is>
      </c>
      <c r="P7" t="inlineStr">
        <is>
          <t>Jawa Barat</t>
        </is>
      </c>
      <c r="Q7" t="inlineStr"/>
    </row>
    <row r="8">
      <c r="A8" t="inlineStr">
        <is>
          <t>KENTA INDO TUNGGAL</t>
        </is>
      </c>
      <c r="B8" t="inlineStr">
        <is>
          <t>Kota Bekasi</t>
        </is>
      </c>
      <c r="C8" t="inlineStr">
        <is>
          <t>087870333361</t>
        </is>
      </c>
      <c r="D8" t="inlineStr">
        <is>
          <t>kentaindotunggalcv@gmail.com</t>
        </is>
      </c>
      <c r="E8" t="inlineStr">
        <is>
          <t>https://lpjk.pu.go.id/search-badan-usaha-detail/WE9MSlUyNExWelNXZndhL253UTcvZz09</t>
        </is>
      </c>
      <c r="F8" t="n">
        <v>1</v>
      </c>
      <c r="G8" t="inlineStr">
        <is>
          <t>BG005</t>
        </is>
      </c>
      <c r="H8" t="inlineStr">
        <is>
          <t>21 Maret 2022</t>
        </is>
      </c>
      <c r="I8" s="2" t="n">
        <v>46233</v>
      </c>
      <c r="J8" t="inlineStr">
        <is>
          <t>Disetujui</t>
        </is>
      </c>
      <c r="K8" t="n">
        <v>30</v>
      </c>
      <c r="L8" t="inlineStr">
        <is>
          <t>30 Juli 2026</t>
        </is>
      </c>
      <c r="M8" t="inlineStr">
        <is>
          <t>Konstruksi Gedung Kesehatan</t>
        </is>
      </c>
      <c r="N8" t="inlineStr">
        <is>
          <t>K</t>
        </is>
      </c>
      <c r="O8" t="inlineStr">
        <is>
          <t>20230726</t>
        </is>
      </c>
      <c r="P8" t="inlineStr">
        <is>
          <t>Jawa Barat</t>
        </is>
      </c>
      <c r="Q8" s="3">
        <f>HYPERLINK("https://wa.me/6287870333361?text=*[Pengingat Masa Berlaku SBU KENTA INDO TUNGGAL]*%0A%0AYth. Pimpinan KENTA INDO TUNGGAL,%0AMohon izin menginformasikan status SBU Anda:%0A%0A📄 SBU: BG005%0A📅 Expired: 30 Juli 2026 (30 Hari Lagi)%0A%0AKami tim PT. ESDEA Assistance Management siap men-support proses perpanjangan segera agar administrasi proyek tidak terhambat%0A%0AApakah boleh saya bantu siapkan estimasi biaya dan waktu pengerjaannya?.", "Hubungi")</f>
        <v/>
      </c>
    </row>
    <row r="9">
      <c r="A9" t="inlineStr">
        <is>
          <t>MULTI LANGGENG</t>
        </is>
      </c>
      <c r="B9" t="inlineStr">
        <is>
          <t>Kota Adm. Jakarta Timur</t>
        </is>
      </c>
      <c r="C9" t="inlineStr">
        <is>
          <t>0218611576</t>
        </is>
      </c>
      <c r="D9" t="inlineStr">
        <is>
          <t>multilanggeng@ymail.com</t>
        </is>
      </c>
      <c r="E9" t="inlineStr">
        <is>
          <t>https://lpjk.pu.go.id/search-badan-usaha-detail/Nmx4SXlYU0EwTTh2UnJZTlErMkJkUT09</t>
        </is>
      </c>
      <c r="F9" t="n">
        <v>1</v>
      </c>
      <c r="G9" t="inlineStr">
        <is>
          <t>BG009</t>
        </is>
      </c>
      <c r="H9" t="inlineStr">
        <is>
          <t>27 Desember 2010</t>
        </is>
      </c>
      <c r="I9" s="2" t="n">
        <v>46233</v>
      </c>
      <c r="J9" t="inlineStr">
        <is>
          <t>Pencabutan</t>
        </is>
      </c>
      <c r="K9" t="n">
        <v>30</v>
      </c>
      <c r="L9" t="inlineStr">
        <is>
          <t>30 Juli 2026</t>
        </is>
      </c>
      <c r="M9" t="inlineStr">
        <is>
          <t>Konstruksi Gedung Lainnya</t>
        </is>
      </c>
      <c r="N9" t="inlineStr">
        <is>
          <t>K</t>
        </is>
      </c>
      <c r="O9" t="inlineStr">
        <is>
          <t>20230727</t>
        </is>
      </c>
      <c r="P9" t="inlineStr">
        <is>
          <t>DKI Jakarta</t>
        </is>
      </c>
      <c r="Q9" t="inlineStr"/>
    </row>
    <row r="10">
      <c r="A10" t="inlineStr">
        <is>
          <t>RIZKY YUDIA LESTARI</t>
        </is>
      </c>
      <c r="B10" t="inlineStr">
        <is>
          <t>Kota Depok</t>
        </is>
      </c>
      <c r="C10" t="inlineStr">
        <is>
          <t>082225092570</t>
        </is>
      </c>
      <c r="D10" t="inlineStr">
        <is>
          <t>rizkyyudia.lestari@gmail.com</t>
        </is>
      </c>
      <c r="E10" t="inlineStr">
        <is>
          <t>https://lpjk.pu.go.id/search-badan-usaha-detail/SmRueGZNMG1jTTdnSXNVdEwrdXRsUT09</t>
        </is>
      </c>
      <c r="F10" t="n">
        <v>2</v>
      </c>
      <c r="G10" t="inlineStr">
        <is>
          <t>BG005, BG006</t>
        </is>
      </c>
      <c r="H10" t="inlineStr">
        <is>
          <t>21 Januari 2019</t>
        </is>
      </c>
      <c r="I10" s="2" t="n">
        <v>46233</v>
      </c>
      <c r="J10" t="inlineStr">
        <is>
          <t>Pencabutan</t>
        </is>
      </c>
      <c r="K10" t="n">
        <v>30</v>
      </c>
      <c r="L10" t="inlineStr">
        <is>
          <t>30 Juli 2026</t>
        </is>
      </c>
      <c r="M10" t="inlineStr">
        <is>
          <t>Konstruksi Gedung Kesehatan, Konstruksi Gedung Pendidikan</t>
        </is>
      </c>
      <c r="N10" t="inlineStr">
        <is>
          <t>K</t>
        </is>
      </c>
      <c r="O10" t="inlineStr">
        <is>
          <t>20230729</t>
        </is>
      </c>
      <c r="P10" t="inlineStr">
        <is>
          <t>Jawa Barat</t>
        </is>
      </c>
      <c r="Q10" s="3">
        <f>HYPERLINK("https://wa.me/6282225092570?text=*[Pengingat Masa Berlaku SBU RIZKY YUDIA LESTARI]*%0A%0AYth. Pimpinan RIZKY YUDIA LESTARI,%0AMohon izin menginformasikan status SBU Anda:%0A%0A📄 SBU: BG005, BG006%0A📅 Expired: 30 Juli 2026 (30 Hari Lagi)%0A%0AKami tim PT. ESDEA Assistance Management siap men-support proses perpanjangan segera agar administrasi proyek tidak terhambat%0A%0AApakah boleh saya bantu siapkan estimasi biaya dan waktu pengerjaannya?.", "Hubungi")</f>
        <v/>
      </c>
    </row>
    <row r="11">
      <c r="A11" t="inlineStr">
        <is>
          <t>TARUNA BANGUN BERSAMA</t>
        </is>
      </c>
      <c r="B11" t="inlineStr">
        <is>
          <t>Kota Bekasi</t>
        </is>
      </c>
      <c r="C11" t="inlineStr">
        <is>
          <t>08128078975</t>
        </is>
      </c>
      <c r="D11" t="inlineStr">
        <is>
          <t>tarunabangunbersama@gmail.com</t>
        </is>
      </c>
      <c r="E11" t="inlineStr">
        <is>
          <t>https://lpjk.pu.go.id/search-badan-usaha-detail/QytybFE3OFhoclFaQU5ELzNLZk02UT09</t>
        </is>
      </c>
      <c r="F11" t="n">
        <v>1</v>
      </c>
      <c r="G11" t="inlineStr">
        <is>
          <t>BG001</t>
        </is>
      </c>
      <c r="H11" t="inlineStr">
        <is>
          <t>20 Juni 2023</t>
        </is>
      </c>
      <c r="I11" s="2" t="n">
        <v>46233</v>
      </c>
      <c r="J11" t="inlineStr">
        <is>
          <t>Disetujui</t>
        </is>
      </c>
      <c r="K11" t="n">
        <v>30</v>
      </c>
      <c r="L11" t="inlineStr">
        <is>
          <t>30 Juli 2026</t>
        </is>
      </c>
      <c r="M11" t="inlineStr">
        <is>
          <t>Konstruksi Gedung Hunian</t>
        </is>
      </c>
      <c r="N11" t="inlineStr">
        <is>
          <t>K</t>
        </is>
      </c>
      <c r="O11" t="inlineStr">
        <is>
          <t>20230720</t>
        </is>
      </c>
      <c r="P11" t="inlineStr">
        <is>
          <t>Jawa Barat</t>
        </is>
      </c>
      <c r="Q11" s="3">
        <f>HYPERLINK("https://wa.me/628128078975?text=*[Pengingat Masa Berlaku SBU TARUNA BANGUN BERSAMA]*%0A%0AYth. Pimpinan TARUNA BANGUN BERSAMA,%0AMohon izin menginformasikan status SBU Anda:%0A%0A📄 SBU: BG001%0A📅 Expired: 30 Juli 2026 (30 Hari Lagi)%0A%0AKami tim PT. ESDEA Assistance Management siap men-support proses perpanjangan segera agar administrasi proyek tidak terhambat%0A%0AApakah boleh saya bantu siapkan estimasi biaya dan waktu pengerjaannya?.", "Hubungi")</f>
        <v/>
      </c>
    </row>
    <row r="12">
      <c r="A12" t="inlineStr">
        <is>
          <t>ADHI INSPIRASI</t>
        </is>
      </c>
      <c r="B12" t="inlineStr">
        <is>
          <t>Kota Pekanbaru</t>
        </is>
      </c>
      <c r="C12" t="inlineStr">
        <is>
          <t>085265355545</t>
        </is>
      </c>
      <c r="D12" t="inlineStr">
        <is>
          <t>adhi.riau@gmail.com</t>
        </is>
      </c>
      <c r="E12" t="inlineStr">
        <is>
          <t>https://lpjk.pu.go.id/search-badan-usaha-detail/aG5LNzlhQjVzUkVLQmxxSE9MYUlRdz09</t>
        </is>
      </c>
      <c r="F12" t="n">
        <v>7</v>
      </c>
      <c r="G12" t="inlineStr">
        <is>
          <t>AR001, AR002, AR003, RK001, RK002, RK003, RK005</t>
        </is>
      </c>
      <c r="H12" t="inlineStr">
        <is>
          <t>19 Maret 2008</t>
        </is>
      </c>
      <c r="I12" s="2" t="n">
        <v>46233</v>
      </c>
      <c r="J12" t="inlineStr">
        <is>
          <t>Pencabutan</t>
        </is>
      </c>
      <c r="K12" t="n">
        <v>30</v>
      </c>
      <c r="L12" t="inlineStr">
        <is>
          <t>30 Juli 2026</t>
        </is>
      </c>
      <c r="M12" t="inlineStr">
        <is>
          <t>Jasa Arsitektural Bangunan Gedung Hunian dan Non Hunian, Jasa Arsitektural Lainnya, Jasa Desain Interior pada Bangunan Gedung dan Bangunan Sipil, Jasa Rekayasa Konstruksi Bangunan Gedung Hunian dan Non Hunian, Jasa Rekayasa Lainnya, Jasa Rekayasa Pekerjaan Teknik Sipil Sumber Daya Air, Jasa Rekayasa Pekerjaan Teknik Sipil Transportasi</t>
        </is>
      </c>
      <c r="N12" t="inlineStr">
        <is>
          <t>K</t>
        </is>
      </c>
      <c r="O12" t="inlineStr">
        <is>
          <t>20230720, 20230721</t>
        </is>
      </c>
      <c r="P12" t="inlineStr">
        <is>
          <t>Riau</t>
        </is>
      </c>
      <c r="Q12" t="inlineStr"/>
    </row>
    <row r="13">
      <c r="A13" t="inlineStr">
        <is>
          <t>ADHIRAJASA KONSULTAN</t>
        </is>
      </c>
      <c r="B13" t="inlineStr">
        <is>
          <t>Kota Surabaya</t>
        </is>
      </c>
      <c r="C13" t="inlineStr">
        <is>
          <t>081230871116</t>
        </is>
      </c>
      <c r="D13" t="inlineStr">
        <is>
          <t>konsultan.adhirajasa@gmail.com</t>
        </is>
      </c>
      <c r="E13" t="inlineStr">
        <is>
          <t>https://lpjk.pu.go.id/search-badan-usaha-detail/YXEyY1dGeGlINjlxL1llNENKd0FDQT09</t>
        </is>
      </c>
      <c r="F13" t="n">
        <v>1</v>
      </c>
      <c r="G13" t="inlineStr">
        <is>
          <t>AR001</t>
        </is>
      </c>
      <c r="H13" t="inlineStr">
        <is>
          <t>17 Januari 2006</t>
        </is>
      </c>
      <c r="I13" s="2" t="n">
        <v>46233</v>
      </c>
      <c r="J13" t="inlineStr">
        <is>
          <t>Disetujui</t>
        </is>
      </c>
      <c r="K13" t="n">
        <v>30</v>
      </c>
      <c r="L13" t="inlineStr">
        <is>
          <t>30 Juli 2026</t>
        </is>
      </c>
      <c r="M13" t="inlineStr">
        <is>
          <t>Jasa Arsitektural Bangunan Gedung Hunian dan Non Hunian</t>
        </is>
      </c>
      <c r="N13" t="inlineStr">
        <is>
          <t>K</t>
        </is>
      </c>
      <c r="O13" t="inlineStr">
        <is>
          <t>20230721</t>
        </is>
      </c>
      <c r="P13" t="inlineStr">
        <is>
          <t>Jawa Timur</t>
        </is>
      </c>
      <c r="Q13" t="inlineStr"/>
    </row>
    <row r="14">
      <c r="A14" t="inlineStr">
        <is>
          <t>ADI LAKSANA</t>
        </is>
      </c>
      <c r="B14" t="inlineStr">
        <is>
          <t>Kab. Ponorogo</t>
        </is>
      </c>
      <c r="C14" t="inlineStr">
        <is>
          <t>0</t>
        </is>
      </c>
      <c r="D14" t="inlineStr">
        <is>
          <t>cv.adilaksana@gmail.com</t>
        </is>
      </c>
      <c r="E14" t="inlineStr">
        <is>
          <t>https://lpjk.pu.go.id/search-badan-usaha-detail/Q2luem01c1RqY1FDdXgyZnVET0R1QT09</t>
        </is>
      </c>
      <c r="F14" t="n">
        <v>1</v>
      </c>
      <c r="G14" t="inlineStr">
        <is>
          <t>BS004</t>
        </is>
      </c>
      <c r="H14" t="inlineStr">
        <is>
          <t>22 Juni 2012</t>
        </is>
      </c>
      <c r="I14" s="2" t="n">
        <v>46233</v>
      </c>
      <c r="J14" t="inlineStr">
        <is>
          <t>Disetujui</t>
        </is>
      </c>
      <c r="K14" t="n">
        <v>30</v>
      </c>
      <c r="L14" t="inlineStr">
        <is>
          <t>30 Juli 2026</t>
        </is>
      </c>
      <c r="M14" t="inlineStr">
        <is>
          <t>Konstruksi Jaringan Irigasi dan Drainase</t>
        </is>
      </c>
      <c r="N14" t="inlineStr">
        <is>
          <t>K</t>
        </is>
      </c>
      <c r="O14" t="inlineStr">
        <is>
          <t>20230724</t>
        </is>
      </c>
      <c r="P14" t="inlineStr">
        <is>
          <t>Jawa Timur</t>
        </is>
      </c>
      <c r="Q14" t="inlineStr"/>
    </row>
    <row r="15">
      <c r="A15" t="inlineStr">
        <is>
          <t>ADIAN NASONANG</t>
        </is>
      </c>
      <c r="B15" t="inlineStr">
        <is>
          <t>Kab. Tapanuli Selatan</t>
        </is>
      </c>
      <c r="C15" t="inlineStr">
        <is>
          <t>082166985844</t>
        </is>
      </c>
      <c r="D15" t="inlineStr">
        <is>
          <t>terminalatsiri@gmail.com</t>
        </is>
      </c>
      <c r="E15" t="inlineStr">
        <is>
          <t>https://lpjk.pu.go.id/search-badan-usaha-detail/RWdMaGtkUVdRQkFFTzhDeEVDd3pOdz09</t>
        </is>
      </c>
      <c r="F15" t="n">
        <v>3</v>
      </c>
      <c r="G15" t="inlineStr">
        <is>
          <t>BG002, BG006, BG009</t>
        </is>
      </c>
      <c r="H15" t="inlineStr">
        <is>
          <t>20 April 2020</t>
        </is>
      </c>
      <c r="I15" s="2" t="n">
        <v>46233</v>
      </c>
      <c r="J15" t="inlineStr">
        <is>
          <t>Disetujui</t>
        </is>
      </c>
      <c r="K15" t="n">
        <v>30</v>
      </c>
      <c r="L15" t="inlineStr">
        <is>
          <t>30 Juli 2026</t>
        </is>
      </c>
      <c r="M15" t="inlineStr">
        <is>
          <t>Konstruksi Gedung Lainnya, Konstruksi Gedung Pendidikan, Konstruksi Gedung Perkantoran</t>
        </is>
      </c>
      <c r="N15" t="inlineStr">
        <is>
          <t>K</t>
        </is>
      </c>
      <c r="O15" t="inlineStr">
        <is>
          <t>20230720, 20230721</t>
        </is>
      </c>
      <c r="P15" t="inlineStr">
        <is>
          <t>Sumatera Utara</t>
        </is>
      </c>
      <c r="Q15" t="inlineStr"/>
    </row>
    <row r="16">
      <c r="A16" t="inlineStr">
        <is>
          <t>ADIPRANA SENTOSA INDOVESCO</t>
        </is>
      </c>
      <c r="B16" t="inlineStr">
        <is>
          <t>Kota Adm. Jakarta Utara</t>
        </is>
      </c>
      <c r="C16" t="inlineStr">
        <is>
          <t>02124520986</t>
        </is>
      </c>
      <c r="D16" t="inlineStr">
        <is>
          <t>adipranaindovesco@gmail.com</t>
        </is>
      </c>
      <c r="E16" t="inlineStr">
        <is>
          <t>https://lpjk.pu.go.id/search-badan-usaha-detail/eDJaZUFKcDlkeHpzeEtPSUlLamNIdz09</t>
        </is>
      </c>
      <c r="F16" t="n">
        <v>1</v>
      </c>
      <c r="G16" t="inlineStr">
        <is>
          <t>BG009</t>
        </is>
      </c>
      <c r="H16" t="inlineStr">
        <is>
          <t>27 April 2017</t>
        </is>
      </c>
      <c r="I16" s="2" t="n">
        <v>46233</v>
      </c>
      <c r="J16" t="inlineStr">
        <is>
          <t>Disetujui</t>
        </is>
      </c>
      <c r="K16" t="n">
        <v>30</v>
      </c>
      <c r="L16" t="inlineStr">
        <is>
          <t>30 Juli 2026</t>
        </is>
      </c>
      <c r="M16" t="inlineStr">
        <is>
          <t>Konstruksi Gedung Lainnya</t>
        </is>
      </c>
      <c r="N16" t="inlineStr">
        <is>
          <t>M</t>
        </is>
      </c>
      <c r="O16" t="inlineStr">
        <is>
          <t>20230717</t>
        </is>
      </c>
      <c r="P16" t="inlineStr">
        <is>
          <t>DKI Jakarta</t>
        </is>
      </c>
      <c r="Q16" t="inlineStr"/>
    </row>
    <row r="17">
      <c r="A17" t="inlineStr">
        <is>
          <t>AFLAH CONSTRUCTION</t>
        </is>
      </c>
      <c r="B17" t="inlineStr">
        <is>
          <t>Kab. Mamuju</t>
        </is>
      </c>
      <c r="C17" t="inlineStr">
        <is>
          <t>081241529271</t>
        </is>
      </c>
      <c r="D17" t="inlineStr">
        <is>
          <t>cv.aflah.construction47@gmail.com</t>
        </is>
      </c>
      <c r="E17" t="inlineStr">
        <is>
          <t>https://lpjk.pu.go.id/search-badan-usaha-detail/T1h2djBsTk9WOGJRZEYvVTdvSW02QT09</t>
        </is>
      </c>
      <c r="F17" t="n">
        <v>1</v>
      </c>
      <c r="G17" t="inlineStr">
        <is>
          <t>BS001</t>
        </is>
      </c>
      <c r="H17" t="inlineStr">
        <is>
          <t>14 Februari 2017</t>
        </is>
      </c>
      <c r="I17" s="2" t="n">
        <v>46233</v>
      </c>
      <c r="J17" t="inlineStr">
        <is>
          <t>Disetujui</t>
        </is>
      </c>
      <c r="K17" t="n">
        <v>30</v>
      </c>
      <c r="L17" t="inlineStr">
        <is>
          <t>30 Juli 2026</t>
        </is>
      </c>
      <c r="M17" t="inlineStr">
        <is>
          <t>Konstruksi Bangunan Sipil Jalan</t>
        </is>
      </c>
      <c r="N17" t="inlineStr">
        <is>
          <t>K</t>
        </is>
      </c>
      <c r="O17" t="inlineStr">
        <is>
          <t>20230729</t>
        </is>
      </c>
      <c r="P17" t="inlineStr">
        <is>
          <t>Sulawesi Barat</t>
        </is>
      </c>
      <c r="Q17" t="inlineStr"/>
    </row>
    <row r="18">
      <c r="A18" t="inlineStr">
        <is>
          <t>ALAM SURYA</t>
        </is>
      </c>
      <c r="B18" t="inlineStr">
        <is>
          <t>Kab. Mamuju</t>
        </is>
      </c>
      <c r="C18" t="inlineStr">
        <is>
          <t>081354310009</t>
        </is>
      </c>
      <c r="D18" t="inlineStr">
        <is>
          <t>cvalamsurya@yahoo.com</t>
        </is>
      </c>
      <c r="E18" t="inlineStr">
        <is>
          <t>https://lpjk.pu.go.id/search-badan-usaha-detail/eGZZT1hBakVIcGc3eFdiSUpvdmpzdz09</t>
        </is>
      </c>
      <c r="F18" t="n">
        <v>3</v>
      </c>
      <c r="G18" t="inlineStr">
        <is>
          <t>BG005, BG006, BG009</t>
        </is>
      </c>
      <c r="H18" t="inlineStr">
        <is>
          <t>27 Januari 2014</t>
        </is>
      </c>
      <c r="I18" s="2" t="n">
        <v>46233</v>
      </c>
      <c r="J18" t="inlineStr">
        <is>
          <t>Disetujui</t>
        </is>
      </c>
      <c r="K18" t="n">
        <v>30</v>
      </c>
      <c r="L18" t="inlineStr">
        <is>
          <t>30 Juli 2026</t>
        </is>
      </c>
      <c r="M18" t="inlineStr">
        <is>
          <t>Konstruksi Gedung Kesehatan, Konstruksi Gedung Lainnya, Konstruksi Gedung Pendidikan</t>
        </is>
      </c>
      <c r="N18" t="inlineStr">
        <is>
          <t>K</t>
        </is>
      </c>
      <c r="O18" t="inlineStr">
        <is>
          <t>20230726</t>
        </is>
      </c>
      <c r="P18" t="inlineStr">
        <is>
          <t>Sulawesi Barat</t>
        </is>
      </c>
      <c r="Q18" t="inlineStr"/>
    </row>
    <row r="19">
      <c r="A19" t="inlineStr">
        <is>
          <t>ALANG LAUIK</t>
        </is>
      </c>
      <c r="B19" t="inlineStr">
        <is>
          <t>Kota Payakumbuh</t>
        </is>
      </c>
      <c r="C19" t="inlineStr">
        <is>
          <t>08126695546</t>
        </is>
      </c>
      <c r="D19" t="inlineStr">
        <is>
          <t>alang.lauik01@gmail.com</t>
        </is>
      </c>
      <c r="E19" t="inlineStr">
        <is>
          <t>https://lpjk.pu.go.id/search-badan-usaha-detail/ZjViWTlveFdaOXdoL1prMnlNemRDUT09</t>
        </is>
      </c>
      <c r="F19" t="n">
        <v>1</v>
      </c>
      <c r="G19" t="inlineStr">
        <is>
          <t>BS001</t>
        </is>
      </c>
      <c r="H19" t="inlineStr">
        <is>
          <t>31 Mei 2017</t>
        </is>
      </c>
      <c r="I19" s="2" t="n">
        <v>46233</v>
      </c>
      <c r="J19" t="inlineStr">
        <is>
          <t>Disetujui</t>
        </is>
      </c>
      <c r="K19" t="n">
        <v>30</v>
      </c>
      <c r="L19" t="inlineStr">
        <is>
          <t>30 Juli 2026</t>
        </is>
      </c>
      <c r="M19" t="inlineStr">
        <is>
          <t>Konstruksi Bangunan Sipil Jalan</t>
        </is>
      </c>
      <c r="N19" t="inlineStr">
        <is>
          <t>K</t>
        </is>
      </c>
      <c r="O19" t="inlineStr">
        <is>
          <t>20230731</t>
        </is>
      </c>
      <c r="P19" t="inlineStr">
        <is>
          <t>Sumatera Barat</t>
        </is>
      </c>
      <c r="Q19" t="inlineStr"/>
    </row>
    <row r="20">
      <c r="A20" t="inlineStr">
        <is>
          <t>ALZAM FAIZ</t>
        </is>
      </c>
      <c r="B20" t="inlineStr">
        <is>
          <t>Kota Pontianak</t>
        </is>
      </c>
      <c r="C20" t="inlineStr">
        <is>
          <t>089680760805</t>
        </is>
      </c>
      <c r="D20" t="inlineStr">
        <is>
          <t>alzamfaiz823@gmail.com</t>
        </is>
      </c>
      <c r="E20" t="inlineStr">
        <is>
          <t>https://lpjk.pu.go.id/search-badan-usaha-detail/eERrMlBUazBIUVVXZEJWdE00WjFqUT09</t>
        </is>
      </c>
      <c r="F20" t="n">
        <v>1</v>
      </c>
      <c r="G20" t="inlineStr">
        <is>
          <t>BG005</t>
        </is>
      </c>
      <c r="H20" t="inlineStr">
        <is>
          <t>5 Februari 2020</t>
        </is>
      </c>
      <c r="I20" s="2" t="n">
        <v>46233</v>
      </c>
      <c r="J20" t="inlineStr">
        <is>
          <t>Disetujui</t>
        </is>
      </c>
      <c r="K20" t="n">
        <v>30</v>
      </c>
      <c r="L20" t="inlineStr">
        <is>
          <t>30 Juli 2026</t>
        </is>
      </c>
      <c r="M20" t="inlineStr">
        <is>
          <t>Konstruksi Gedung Kesehatan</t>
        </is>
      </c>
      <c r="N20" t="inlineStr">
        <is>
          <t>K</t>
        </is>
      </c>
      <c r="O20" t="inlineStr">
        <is>
          <t>20230728</t>
        </is>
      </c>
      <c r="P20" t="inlineStr">
        <is>
          <t>Kalimantan Barat</t>
        </is>
      </c>
      <c r="Q20" t="inlineStr"/>
    </row>
    <row r="21">
      <c r="A21" t="inlineStr">
        <is>
          <t>AMMAR BAROKAH UTAMA</t>
        </is>
      </c>
      <c r="B21" t="inlineStr">
        <is>
          <t>Kota Mataram</t>
        </is>
      </c>
      <c r="C21" t="inlineStr">
        <is>
          <t>081936767883</t>
        </is>
      </c>
      <c r="D21" t="inlineStr">
        <is>
          <t>cvammarbarokah@gmail.com</t>
        </is>
      </c>
      <c r="E21" t="inlineStr">
        <is>
          <t>https://lpjk.pu.go.id/search-badan-usaha-detail/bDZjU251WlRqZHpia3I5Mks1VTZvUT09</t>
        </is>
      </c>
      <c r="F21" t="n">
        <v>1</v>
      </c>
      <c r="G21" t="inlineStr">
        <is>
          <t>BG009</t>
        </is>
      </c>
      <c r="H21" t="inlineStr">
        <is>
          <t>7 Juli 2023</t>
        </is>
      </c>
      <c r="I21" s="2" t="n">
        <v>46233</v>
      </c>
      <c r="J21" t="inlineStr">
        <is>
          <t>Disetujui</t>
        </is>
      </c>
      <c r="K21" t="n">
        <v>30</v>
      </c>
      <c r="L21" t="inlineStr">
        <is>
          <t>30 Juli 2026</t>
        </is>
      </c>
      <c r="M21" t="inlineStr">
        <is>
          <t>Konstruksi Gedung Lainnya</t>
        </is>
      </c>
      <c r="N21" t="inlineStr">
        <is>
          <t>K</t>
        </is>
      </c>
      <c r="O21" t="inlineStr">
        <is>
          <t>20230729</t>
        </is>
      </c>
      <c r="P21" t="inlineStr">
        <is>
          <t>Nusa Tenggara Barat</t>
        </is>
      </c>
      <c r="Q21" t="inlineStr"/>
    </row>
    <row r="22">
      <c r="A22" t="inlineStr">
        <is>
          <t>AMRU</t>
        </is>
      </c>
      <c r="B22" t="inlineStr">
        <is>
          <t>Kab. Kuningan</t>
        </is>
      </c>
      <c r="C22" t="inlineStr">
        <is>
          <t>08992111799</t>
        </is>
      </c>
      <c r="D22" t="inlineStr">
        <is>
          <t>amru_inc@yahoo.com</t>
        </is>
      </c>
      <c r="E22" t="inlineStr">
        <is>
          <t>https://lpjk.pu.go.id/search-badan-usaha-detail/dUR4dmdoWHBMTGVObHJtVzdRTUhYQT09</t>
        </is>
      </c>
      <c r="F22" t="n">
        <v>1</v>
      </c>
      <c r="G22" t="inlineStr">
        <is>
          <t>BS004</t>
        </is>
      </c>
      <c r="H22" t="inlineStr">
        <is>
          <t>30 Januari 2007</t>
        </is>
      </c>
      <c r="I22" s="2" t="n">
        <v>46233</v>
      </c>
      <c r="J22" t="inlineStr">
        <is>
          <t>Disetujui</t>
        </is>
      </c>
      <c r="K22" t="n">
        <v>30</v>
      </c>
      <c r="L22" t="inlineStr">
        <is>
          <t>30 Juli 2026</t>
        </is>
      </c>
      <c r="M22" t="inlineStr">
        <is>
          <t>Konstruksi Jaringan Irigasi dan Drainase</t>
        </is>
      </c>
      <c r="N22" t="inlineStr">
        <is>
          <t>K</t>
        </is>
      </c>
      <c r="O22" t="inlineStr">
        <is>
          <t>20230727</t>
        </is>
      </c>
      <c r="P22" t="inlineStr">
        <is>
          <t>Jawa Barat</t>
        </is>
      </c>
      <c r="Q22" t="inlineStr"/>
    </row>
    <row r="23">
      <c r="A23" t="inlineStr">
        <is>
          <t>ANDRA RAYA NIAGA</t>
        </is>
      </c>
      <c r="B23" t="inlineStr">
        <is>
          <t>Kab. Garut</t>
        </is>
      </c>
      <c r="C23" t="inlineStr">
        <is>
          <t>0822-1723-3233</t>
        </is>
      </c>
      <c r="D23" t="inlineStr">
        <is>
          <t>araniaga.cv@gmail.com</t>
        </is>
      </c>
      <c r="E23" t="inlineStr">
        <is>
          <t>https://lpjk.pu.go.id/search-badan-usaha-detail/NnA1TVhWV1dZWG16MGJUN0VnckpkZz09</t>
        </is>
      </c>
      <c r="F23" t="n">
        <v>1</v>
      </c>
      <c r="G23" t="inlineStr">
        <is>
          <t>BG006</t>
        </is>
      </c>
      <c r="H23" t="inlineStr">
        <is>
          <t>6 Juni 2017</t>
        </is>
      </c>
      <c r="I23" s="2" t="n">
        <v>46233</v>
      </c>
      <c r="J23" t="inlineStr">
        <is>
          <t>Disetujui</t>
        </is>
      </c>
      <c r="K23" t="n">
        <v>30</v>
      </c>
      <c r="L23" t="inlineStr">
        <is>
          <t>30 Juli 2026</t>
        </is>
      </c>
      <c r="M23" t="inlineStr">
        <is>
          <t>Konstruksi Gedung Pendidikan</t>
        </is>
      </c>
      <c r="N23" t="inlineStr">
        <is>
          <t>K</t>
        </is>
      </c>
      <c r="O23" t="inlineStr">
        <is>
          <t>20230730</t>
        </is>
      </c>
      <c r="P23" t="inlineStr">
        <is>
          <t>Jawa Barat</t>
        </is>
      </c>
      <c r="Q23" t="inlineStr"/>
    </row>
    <row r="24">
      <c r="A24" t="inlineStr">
        <is>
          <t>ANNISA MANDIRI CIPTA KARYA</t>
        </is>
      </c>
      <c r="B24" t="inlineStr">
        <is>
          <t>Kab. Hulu Sungai Selatan</t>
        </is>
      </c>
      <c r="C24" t="inlineStr">
        <is>
          <t>082155517311</t>
        </is>
      </c>
      <c r="D24" t="inlineStr">
        <is>
          <t>cv.annisamandiriciptakarya@gmail.com</t>
        </is>
      </c>
      <c r="E24" t="inlineStr">
        <is>
          <t>https://lpjk.pu.go.id/search-badan-usaha-detail/NFZkelk2YVkraTMrL0t1T0o3Y2QyUT09</t>
        </is>
      </c>
      <c r="F24" t="n">
        <v>5</v>
      </c>
      <c r="G24" t="inlineStr">
        <is>
          <t>BG002, BG005, BG009, BS001, BS004</t>
        </is>
      </c>
      <c r="H24" t="inlineStr">
        <is>
          <t>26 September 2019</t>
        </is>
      </c>
      <c r="I24" s="2" t="n">
        <v>46233</v>
      </c>
      <c r="J24" t="inlineStr">
        <is>
          <t>Disetujui</t>
        </is>
      </c>
      <c r="K24" t="n">
        <v>30</v>
      </c>
      <c r="L24" t="inlineStr">
        <is>
          <t>30 Juli 2026</t>
        </is>
      </c>
      <c r="M24" t="inlineStr">
        <is>
          <t>Konstruksi Bangunan Sipil Jalan, Konstruksi Gedung Kesehatan, Konstruksi Gedung Lainnya, Konstruksi Gedung Perkantoran, Konstruksi Jaringan Irigasi dan Drainase</t>
        </is>
      </c>
      <c r="N24" t="inlineStr">
        <is>
          <t>K</t>
        </is>
      </c>
      <c r="O24" t="inlineStr">
        <is>
          <t>20230711, 20230716</t>
        </is>
      </c>
      <c r="P24" t="inlineStr">
        <is>
          <t>Kalimantan Selatan</t>
        </is>
      </c>
      <c r="Q24" t="inlineStr"/>
    </row>
    <row r="25">
      <c r="A25" t="inlineStr">
        <is>
          <t>ANUGRAH HAYAT ABADI</t>
        </is>
      </c>
      <c r="B25" t="inlineStr">
        <is>
          <t>Kota Palembang</t>
        </is>
      </c>
      <c r="C25" t="inlineStr">
        <is>
          <t>08127869293</t>
        </is>
      </c>
      <c r="D25" t="inlineStr">
        <is>
          <t>anugrahhayatabadi@yahoo.com</t>
        </is>
      </c>
      <c r="E25" t="inlineStr">
        <is>
          <t>https://lpjk.pu.go.id/search-badan-usaha-detail/aFdudFdDS1ppUnhBZnhrZjMxeDN2UT09</t>
        </is>
      </c>
      <c r="F25" t="n">
        <v>2</v>
      </c>
      <c r="G25" t="inlineStr">
        <is>
          <t>BS004</t>
        </is>
      </c>
      <c r="H25" t="inlineStr">
        <is>
          <t>8 April 2009</t>
        </is>
      </c>
      <c r="I25" s="2" t="n">
        <v>46233</v>
      </c>
      <c r="J25" t="inlineStr">
        <is>
          <t>Pencabutan</t>
        </is>
      </c>
      <c r="K25" t="n">
        <v>30</v>
      </c>
      <c r="L25" t="inlineStr">
        <is>
          <t>30 Juli 2026</t>
        </is>
      </c>
      <c r="M25" t="inlineStr">
        <is>
          <t>Konstruksi Jaringan Irigasi dan Drainase</t>
        </is>
      </c>
      <c r="N25" t="inlineStr">
        <is>
          <t>M</t>
        </is>
      </c>
      <c r="O25" t="inlineStr">
        <is>
          <t>20230725</t>
        </is>
      </c>
      <c r="P25" t="inlineStr">
        <is>
          <t>Sumatera Selatan</t>
        </is>
      </c>
      <c r="Q25" t="inlineStr"/>
    </row>
    <row r="26">
      <c r="A26" t="inlineStr">
        <is>
          <t>ARFAN RAHMAN MANDIRI</t>
        </is>
      </c>
      <c r="B26" t="inlineStr">
        <is>
          <t>Kab. Indramayu</t>
        </is>
      </c>
      <c r="C26" t="inlineStr">
        <is>
          <t>085961161366</t>
        </is>
      </c>
      <c r="D26" t="inlineStr">
        <is>
          <t>cvarfanrahmanmandiri@gmail.com</t>
        </is>
      </c>
      <c r="E26" t="inlineStr">
        <is>
          <t>https://lpjk.pu.go.id/search-badan-usaha-detail/cGoyeDIxWjdsZFRVNWIyalNyOTZvdz09</t>
        </is>
      </c>
      <c r="F26" t="n">
        <v>2</v>
      </c>
      <c r="G26" t="inlineStr">
        <is>
          <t>BG002</t>
        </is>
      </c>
      <c r="H26" t="inlineStr">
        <is>
          <t>6 Juni 2023</t>
        </is>
      </c>
      <c r="I26" s="2" t="n">
        <v>46233</v>
      </c>
      <c r="J26" t="inlineStr">
        <is>
          <t>Disetujui</t>
        </is>
      </c>
      <c r="K26" t="n">
        <v>30</v>
      </c>
      <c r="L26" t="inlineStr">
        <is>
          <t>30 Juli 2026</t>
        </is>
      </c>
      <c r="M26" t="inlineStr">
        <is>
          <t>Konstruksi Gedung Perkantoran</t>
        </is>
      </c>
      <c r="N26" t="inlineStr">
        <is>
          <t>K</t>
        </is>
      </c>
      <c r="O26" t="inlineStr">
        <is>
          <t>20230727</t>
        </is>
      </c>
      <c r="P26" t="inlineStr">
        <is>
          <t>Jawa Barat</t>
        </is>
      </c>
      <c r="Q26" t="inlineStr"/>
    </row>
    <row r="27">
      <c r="A27" t="inlineStr">
        <is>
          <t>ARSHA MULIA BERKAH</t>
        </is>
      </c>
      <c r="B27" t="inlineStr">
        <is>
          <t>Kab. Tanjung Jabung Barat</t>
        </is>
      </c>
      <c r="C27" t="inlineStr">
        <is>
          <t>082376871017</t>
        </is>
      </c>
      <c r="D27" t="inlineStr">
        <is>
          <t>cvarshamulia@gmail.com</t>
        </is>
      </c>
      <c r="E27" t="inlineStr">
        <is>
          <t>https://lpjk.pu.go.id/search-badan-usaha-detail/a09pTEdmOGprWElyM3p3VjZ6Vi9jQT09</t>
        </is>
      </c>
      <c r="F27" t="n">
        <v>2</v>
      </c>
      <c r="G27" t="inlineStr">
        <is>
          <t>BS001, BS002</t>
        </is>
      </c>
      <c r="H27" t="inlineStr">
        <is>
          <t>23 Maret 2022</t>
        </is>
      </c>
      <c r="I27" s="2" t="n">
        <v>46233</v>
      </c>
      <c r="J27" t="inlineStr">
        <is>
          <t>Disetujui</t>
        </is>
      </c>
      <c r="K27" t="n">
        <v>30</v>
      </c>
      <c r="L27" t="inlineStr">
        <is>
          <t>30 Juli 2026</t>
        </is>
      </c>
      <c r="M27" t="inlineStr">
        <is>
          <t>Bangunan Sipil Jembatan, Jalan Layang, Fly Over, dan Underpass, Konstruksi Bangunan Sipil Jalan</t>
        </is>
      </c>
      <c r="N27" t="inlineStr">
        <is>
          <t>K</t>
        </is>
      </c>
      <c r="O27" t="inlineStr">
        <is>
          <t>20230729</t>
        </is>
      </c>
      <c r="P27" t="inlineStr">
        <is>
          <t>Jambi</t>
        </is>
      </c>
      <c r="Q27" t="inlineStr"/>
    </row>
    <row r="28">
      <c r="A28" t="inlineStr">
        <is>
          <t>ARTA DANIND</t>
        </is>
      </c>
      <c r="B28" t="inlineStr">
        <is>
          <t>Kab. Gunungkidul</t>
        </is>
      </c>
      <c r="C28" t="inlineStr">
        <is>
          <t>087838749707</t>
        </is>
      </c>
      <c r="D28" t="inlineStr">
        <is>
          <t>danindarta@yahoo.com</t>
        </is>
      </c>
      <c r="E28" t="inlineStr">
        <is>
          <t>https://lpjk.pu.go.id/search-badan-usaha-detail/MDlKcVlMTzRnUlAxM3hwSEVxQWg5dz09</t>
        </is>
      </c>
      <c r="F28" t="n">
        <v>1</v>
      </c>
      <c r="G28" t="inlineStr">
        <is>
          <t>BS004</t>
        </is>
      </c>
      <c r="H28" t="inlineStr">
        <is>
          <t>1 April 2006</t>
        </is>
      </c>
      <c r="I28" s="2" t="n">
        <v>46233</v>
      </c>
      <c r="J28" t="inlineStr">
        <is>
          <t>Disetujui</t>
        </is>
      </c>
      <c r="K28" t="n">
        <v>30</v>
      </c>
      <c r="L28" t="inlineStr">
        <is>
          <t>30 Juli 2026</t>
        </is>
      </c>
      <c r="M28" t="inlineStr">
        <is>
          <t>Konstruksi Jaringan Irigasi dan Drainase</t>
        </is>
      </c>
      <c r="N28" t="inlineStr">
        <is>
          <t>K</t>
        </is>
      </c>
      <c r="O28" t="inlineStr">
        <is>
          <t>20230726</t>
        </is>
      </c>
      <c r="P28" t="inlineStr">
        <is>
          <t>DI Yogyakarta</t>
        </is>
      </c>
      <c r="Q28" t="inlineStr"/>
    </row>
    <row r="29">
      <c r="A29" t="inlineStr">
        <is>
          <t>ARTHA WAHANA JAYA</t>
        </is>
      </c>
      <c r="B29" t="inlineStr">
        <is>
          <t>Kab. Pamekasan</t>
        </is>
      </c>
      <c r="C29" t="inlineStr">
        <is>
          <t>081703486677</t>
        </is>
      </c>
      <c r="D29" t="inlineStr">
        <is>
          <t>arthawahana.jaya@gmail.com</t>
        </is>
      </c>
      <c r="E29" t="inlineStr">
        <is>
          <t>https://lpjk.pu.go.id/search-badan-usaha-detail/Uk9OM0hGMUZVdFZwTEV3V2RJWGtGQT09</t>
        </is>
      </c>
      <c r="F29" t="n">
        <v>1</v>
      </c>
      <c r="G29" t="inlineStr">
        <is>
          <t>BG009</t>
        </is>
      </c>
      <c r="H29" t="inlineStr">
        <is>
          <t>23 Mei 2023</t>
        </is>
      </c>
      <c r="I29" s="2" t="n">
        <v>46233</v>
      </c>
      <c r="J29" t="inlineStr">
        <is>
          <t>Pencabutan</t>
        </is>
      </c>
      <c r="K29" t="n">
        <v>30</v>
      </c>
      <c r="L29" t="inlineStr">
        <is>
          <t>30 Juli 2026</t>
        </is>
      </c>
      <c r="M29" t="inlineStr">
        <is>
          <t>Konstruksi Gedung Lainnya</t>
        </is>
      </c>
      <c r="N29" t="inlineStr">
        <is>
          <t>K</t>
        </is>
      </c>
      <c r="O29" t="inlineStr">
        <is>
          <t>20230728</t>
        </is>
      </c>
      <c r="P29" t="inlineStr">
        <is>
          <t>Jawa Timur</t>
        </is>
      </c>
      <c r="Q29" t="inlineStr"/>
    </row>
    <row r="30">
      <c r="A30" t="inlineStr">
        <is>
          <t>ASSABY KONSTRUKSI</t>
        </is>
      </c>
      <c r="B30" t="inlineStr">
        <is>
          <t>Kota Palu</t>
        </is>
      </c>
      <c r="C30" t="inlineStr">
        <is>
          <t>082350635073</t>
        </is>
      </c>
      <c r="D30" t="inlineStr">
        <is>
          <t>cvassabykonstruksi@gmail.com</t>
        </is>
      </c>
      <c r="E30" t="inlineStr">
        <is>
          <t>https://lpjk.pu.go.id/search-badan-usaha-detail/WnlHMWFaRlJZdllXOUZyK2lHYXh0UT09</t>
        </is>
      </c>
      <c r="F30" t="n">
        <v>1</v>
      </c>
      <c r="G30" t="inlineStr">
        <is>
          <t>BG004</t>
        </is>
      </c>
      <c r="H30" t="inlineStr">
        <is>
          <t>12 Agustus 2019</t>
        </is>
      </c>
      <c r="I30" s="2" t="n">
        <v>46233</v>
      </c>
      <c r="J30" t="inlineStr">
        <is>
          <t>Disetujui</t>
        </is>
      </c>
      <c r="K30" t="n">
        <v>30</v>
      </c>
      <c r="L30" t="inlineStr">
        <is>
          <t>30 Juli 2026</t>
        </is>
      </c>
      <c r="M30" t="inlineStr">
        <is>
          <t>Konstruksi Gedung Perbelanjaan</t>
        </is>
      </c>
      <c r="N30" t="inlineStr">
        <is>
          <t>K</t>
        </is>
      </c>
      <c r="O30" t="inlineStr">
        <is>
          <t>20230727</t>
        </is>
      </c>
      <c r="P30" t="inlineStr">
        <is>
          <t>Sulawesi Tengah</t>
        </is>
      </c>
      <c r="Q30" t="inlineStr"/>
    </row>
    <row r="31">
      <c r="A31" t="inlineStr">
        <is>
          <t>AYU ANOM</t>
        </is>
      </c>
      <c r="B31" t="inlineStr">
        <is>
          <t>Kab. Sumbawa</t>
        </is>
      </c>
      <c r="C31" t="inlineStr">
        <is>
          <t>08113041333</t>
        </is>
      </c>
      <c r="D31" t="inlineStr">
        <is>
          <t>ayuanomcv@gmail.com</t>
        </is>
      </c>
      <c r="E31" t="inlineStr">
        <is>
          <t>https://lpjk.pu.go.id/search-badan-usaha-detail/UXZ5Ukw3R1lOMUF5OVRtd3V1YUxFZz09</t>
        </is>
      </c>
      <c r="F31" t="n">
        <v>3</v>
      </c>
      <c r="G31" t="inlineStr">
        <is>
          <t>BG001, BG005, BG009</t>
        </is>
      </c>
      <c r="H31" t="inlineStr">
        <is>
          <t>23 Februari 2017</t>
        </is>
      </c>
      <c r="I31" s="2" t="n">
        <v>46233</v>
      </c>
      <c r="J31" t="inlineStr">
        <is>
          <t>Disetujui</t>
        </is>
      </c>
      <c r="K31" t="n">
        <v>30</v>
      </c>
      <c r="L31" t="inlineStr">
        <is>
          <t>30 Juli 2026</t>
        </is>
      </c>
      <c r="M31" t="inlineStr">
        <is>
          <t>Konstruksi Gedung Hunian, Konstruksi Gedung Kesehatan, Konstruksi Gedung Lainnya</t>
        </is>
      </c>
      <c r="N31" t="inlineStr">
        <is>
          <t>K</t>
        </is>
      </c>
      <c r="O31" t="inlineStr">
        <is>
          <t>20230725</t>
        </is>
      </c>
      <c r="P31" t="inlineStr">
        <is>
          <t>Nusa Tenggara Barat</t>
        </is>
      </c>
      <c r="Q31" t="inlineStr"/>
    </row>
    <row r="32">
      <c r="A32" t="inlineStr">
        <is>
          <t>AZ-ZAHRA BERKAH MANDIRI</t>
        </is>
      </c>
      <c r="B32" t="inlineStr">
        <is>
          <t>Kab. Tanah Bumbu</t>
        </is>
      </c>
      <c r="C32" t="inlineStr">
        <is>
          <t>082255642780</t>
        </is>
      </c>
      <c r="D32" t="inlineStr">
        <is>
          <t>cvazzahraberkahmandiri@gmail.com</t>
        </is>
      </c>
      <c r="E32" t="inlineStr">
        <is>
          <t>https://lpjk.pu.go.id/search-badan-usaha-detail/bXFxQWJUdFJuK0VQY0JtbzdjR0VNdz09</t>
        </is>
      </c>
      <c r="F32" t="n">
        <v>4</v>
      </c>
      <c r="G32" t="inlineStr">
        <is>
          <t>BG002, BG006, BS001, BS004</t>
        </is>
      </c>
      <c r="H32" t="inlineStr">
        <is>
          <t>16 Juni 2023</t>
        </is>
      </c>
      <c r="I32" s="2" t="n">
        <v>46233</v>
      </c>
      <c r="J32" t="inlineStr">
        <is>
          <t>Disetujui</t>
        </is>
      </c>
      <c r="K32" t="n">
        <v>30</v>
      </c>
      <c r="L32" t="inlineStr">
        <is>
          <t>30 Juli 2026</t>
        </is>
      </c>
      <c r="M32" t="inlineStr">
        <is>
          <t>Konstruksi Bangunan Sipil Jalan, Konstruksi Gedung Pendidikan, Konstruksi Gedung Perkantoran, Konstruksi Jaringan Irigasi dan Drainase</t>
        </is>
      </c>
      <c r="N32" t="inlineStr">
        <is>
          <t>K</t>
        </is>
      </c>
      <c r="O32" t="inlineStr">
        <is>
          <t>20230728</t>
        </is>
      </c>
      <c r="P32" t="inlineStr">
        <is>
          <t>Kalimantan Selatan</t>
        </is>
      </c>
      <c r="Q32" t="inlineStr"/>
    </row>
    <row r="33">
      <c r="A33" t="inlineStr">
        <is>
          <t>BADRA NAYA</t>
        </is>
      </c>
      <c r="B33" t="inlineStr">
        <is>
          <t>Kab. Kebumen</t>
        </is>
      </c>
      <c r="C33" t="inlineStr">
        <is>
          <t>081270043006</t>
        </is>
      </c>
      <c r="D33" t="inlineStr">
        <is>
          <t>badranaya.co@gmail.com</t>
        </is>
      </c>
      <c r="E33" t="inlineStr">
        <is>
          <t>https://lpjk.pu.go.id/search-badan-usaha-detail/WFJ2RHcvdFd4QkVBSzE2ZHlLSi94UT09</t>
        </is>
      </c>
      <c r="F33" t="n">
        <v>2</v>
      </c>
      <c r="G33" t="inlineStr">
        <is>
          <t>BG002, BG005</t>
        </is>
      </c>
      <c r="H33" t="inlineStr">
        <is>
          <t>13 April 2020</t>
        </is>
      </c>
      <c r="I33" s="2" t="n">
        <v>46233</v>
      </c>
      <c r="J33" t="inlineStr">
        <is>
          <t>Disetujui</t>
        </is>
      </c>
      <c r="K33" t="n">
        <v>30</v>
      </c>
      <c r="L33" t="inlineStr">
        <is>
          <t>30 Juli 2026</t>
        </is>
      </c>
      <c r="M33" t="inlineStr">
        <is>
          <t>Konstruksi Gedung Kesehatan, Konstruksi Gedung Perkantoran</t>
        </is>
      </c>
      <c r="N33" t="inlineStr">
        <is>
          <t>K</t>
        </is>
      </c>
      <c r="O33" t="inlineStr">
        <is>
          <t>20230302, 20230726</t>
        </is>
      </c>
      <c r="P33" t="inlineStr">
        <is>
          <t>Jawa Tengah</t>
        </is>
      </c>
      <c r="Q33" t="inlineStr"/>
    </row>
    <row r="34">
      <c r="A34" t="inlineStr">
        <is>
          <t>BASKARA JAYA MANDIRI</t>
        </is>
      </c>
      <c r="B34" t="inlineStr">
        <is>
          <t>Kab. Nganjuk</t>
        </is>
      </c>
      <c r="C34" t="inlineStr">
        <is>
          <t>081239991900</t>
        </is>
      </c>
      <c r="D34" t="inlineStr">
        <is>
          <t>baskarajayamandiri@gmail.com</t>
        </is>
      </c>
      <c r="E34" t="inlineStr">
        <is>
          <t>https://lpjk.pu.go.id/search-badan-usaha-detail/djExaWNlQXdFaTJna2ZuYkNCRUNVdz09</t>
        </is>
      </c>
      <c r="F34" t="n">
        <v>4</v>
      </c>
      <c r="G34" t="inlineStr">
        <is>
          <t>BG006, BG009, BS001, BS004</t>
        </is>
      </c>
      <c r="H34" t="inlineStr">
        <is>
          <t>27 Mei 2022</t>
        </is>
      </c>
      <c r="I34" s="2" t="n">
        <v>46233</v>
      </c>
      <c r="J34" t="inlineStr">
        <is>
          <t>Disetujui</t>
        </is>
      </c>
      <c r="K34" t="n">
        <v>30</v>
      </c>
      <c r="L34" t="inlineStr">
        <is>
          <t>30 Juli 2026</t>
        </is>
      </c>
      <c r="M34" t="inlineStr">
        <is>
          <t>Konstruksi Bangunan Sipil Jalan, Konstruksi Gedung Lainnya, Konstruksi Gedung Pendidikan, Konstruksi Jaringan Irigasi dan Drainase</t>
        </is>
      </c>
      <c r="N34" t="inlineStr">
        <is>
          <t>K</t>
        </is>
      </c>
      <c r="O34" t="inlineStr">
        <is>
          <t>20230727</t>
        </is>
      </c>
      <c r="P34" t="inlineStr">
        <is>
          <t>Jawa Timur</t>
        </is>
      </c>
      <c r="Q34" t="inlineStr"/>
    </row>
    <row r="35">
      <c r="A35" t="inlineStr">
        <is>
          <t>BATU BESI</t>
        </is>
      </c>
      <c r="B35" t="inlineStr">
        <is>
          <t>Kab. Melawi</t>
        </is>
      </c>
      <c r="C35" t="inlineStr">
        <is>
          <t>082255809033</t>
        </is>
      </c>
      <c r="D35" t="inlineStr">
        <is>
          <t>batu.besi.cv.10.11@gmail.com</t>
        </is>
      </c>
      <c r="E35" t="inlineStr">
        <is>
          <t>https://lpjk.pu.go.id/search-badan-usaha-detail/SHNtaUIzOHNhQmhqWTBtcGFWTzF0Zz09</t>
        </is>
      </c>
      <c r="F35" t="n">
        <v>1</v>
      </c>
      <c r="G35" t="inlineStr">
        <is>
          <t>BS004</t>
        </is>
      </c>
      <c r="H35" t="inlineStr">
        <is>
          <t>14 November 2014</t>
        </is>
      </c>
      <c r="I35" s="2" t="n">
        <v>46233</v>
      </c>
      <c r="J35" t="inlineStr">
        <is>
          <t>Pencabutan</t>
        </is>
      </c>
      <c r="K35" t="n">
        <v>30</v>
      </c>
      <c r="L35" t="inlineStr">
        <is>
          <t>30 Juli 2026</t>
        </is>
      </c>
      <c r="M35" t="inlineStr">
        <is>
          <t>Konstruksi Jaringan Irigasi dan Drainase</t>
        </is>
      </c>
      <c r="N35" t="inlineStr">
        <is>
          <t>K</t>
        </is>
      </c>
      <c r="O35" t="inlineStr">
        <is>
          <t>20230725</t>
        </is>
      </c>
      <c r="P35" t="inlineStr">
        <is>
          <t>Kalimantan Barat</t>
        </is>
      </c>
      <c r="Q35" t="inlineStr"/>
    </row>
    <row r="36">
      <c r="A36" t="inlineStr">
        <is>
          <t>BERKAH LATISHA MANDIRI</t>
        </is>
      </c>
      <c r="B36" t="inlineStr">
        <is>
          <t>Kab. Konawe</t>
        </is>
      </c>
      <c r="C36" t="inlineStr">
        <is>
          <t>082395300723</t>
        </is>
      </c>
      <c r="D36" t="inlineStr">
        <is>
          <t>berkahlatishamandiricv@gmail.com</t>
        </is>
      </c>
      <c r="E36" t="inlineStr">
        <is>
          <t>https://lpjk.pu.go.id/search-badan-usaha-detail/N1I5RjR0aTFndThXeldZdFZVSUVaUT09</t>
        </is>
      </c>
      <c r="F36" t="n">
        <v>2</v>
      </c>
      <c r="G36" t="inlineStr">
        <is>
          <t>BS004</t>
        </is>
      </c>
      <c r="H36" t="inlineStr">
        <is>
          <t>8 Agustus 2015</t>
        </is>
      </c>
      <c r="I36" s="2" t="n">
        <v>46233</v>
      </c>
      <c r="J36" t="inlineStr">
        <is>
          <t>Disetujui</t>
        </is>
      </c>
      <c r="K36" t="n">
        <v>30</v>
      </c>
      <c r="L36" t="inlineStr">
        <is>
          <t>30 Juli 2026</t>
        </is>
      </c>
      <c r="M36" t="inlineStr">
        <is>
          <t>Konstruksi Jaringan Irigasi dan Drainase</t>
        </is>
      </c>
      <c r="N36" t="inlineStr">
        <is>
          <t>K</t>
        </is>
      </c>
      <c r="O36" t="inlineStr">
        <is>
          <t>20230725</t>
        </is>
      </c>
      <c r="P36" t="inlineStr">
        <is>
          <t>Sulawesi Tenggara</t>
        </is>
      </c>
      <c r="Q36" t="inlineStr"/>
    </row>
    <row r="37">
      <c r="A37" t="inlineStr">
        <is>
          <t>BERKAH TUJUH SAUDARA</t>
        </is>
      </c>
      <c r="B37" t="inlineStr">
        <is>
          <t>Kab. Subang</t>
        </is>
      </c>
      <c r="C37" t="inlineStr">
        <is>
          <t>087875811112</t>
        </is>
      </c>
      <c r="D37" t="inlineStr">
        <is>
          <t>berkahsaudara349@gmail.com</t>
        </is>
      </c>
      <c r="E37" t="inlineStr">
        <is>
          <t>https://lpjk.pu.go.id/search-badan-usaha-detail/UktVUnRycWx6RzNnbFBZZ3BwdUtNQT09</t>
        </is>
      </c>
      <c r="F37" t="n">
        <v>2</v>
      </c>
      <c r="G37" t="inlineStr">
        <is>
          <t>BG002</t>
        </is>
      </c>
      <c r="H37" t="inlineStr">
        <is>
          <t>30 Desember 2019</t>
        </is>
      </c>
      <c r="I37" s="2" t="n">
        <v>46233</v>
      </c>
      <c r="J37" t="inlineStr">
        <is>
          <t>Disetujui</t>
        </is>
      </c>
      <c r="K37" t="n">
        <v>30</v>
      </c>
      <c r="L37" t="inlineStr">
        <is>
          <t>30 Juli 2026</t>
        </is>
      </c>
      <c r="M37" t="inlineStr">
        <is>
          <t>Konstruksi Gedung Perkantoran</t>
        </is>
      </c>
      <c r="N37" t="inlineStr">
        <is>
          <t>K</t>
        </is>
      </c>
      <c r="O37" t="inlineStr">
        <is>
          <t>20230726</t>
        </is>
      </c>
      <c r="P37" t="inlineStr">
        <is>
          <t>Jawa Barat</t>
        </is>
      </c>
      <c r="Q37" t="inlineStr"/>
    </row>
    <row r="38">
      <c r="A38" t="inlineStr">
        <is>
          <t>BERKAT MAJU SEMPURNA</t>
        </is>
      </c>
      <c r="B38" t="inlineStr">
        <is>
          <t>Kota Pekanbaru</t>
        </is>
      </c>
      <c r="C38" t="inlineStr">
        <is>
          <t>085278107895</t>
        </is>
      </c>
      <c r="D38" t="inlineStr">
        <is>
          <t>pt.putramahakaryaabadi@gmail.com</t>
        </is>
      </c>
      <c r="E38" t="inlineStr">
        <is>
          <t>https://lpjk.pu.go.id/search-badan-usaha-detail/VENHdVgzbTR3WFByb05LWVQ0RGovQT09</t>
        </is>
      </c>
      <c r="F38" t="n">
        <v>2</v>
      </c>
      <c r="G38" t="inlineStr">
        <is>
          <t>IN003</t>
        </is>
      </c>
      <c r="H38" t="inlineStr">
        <is>
          <t>16 Agustus 2004</t>
        </is>
      </c>
      <c r="I38" s="2" t="n">
        <v>46233</v>
      </c>
      <c r="J38" t="inlineStr">
        <is>
          <t>Pencabutan</t>
        </is>
      </c>
      <c r="K38" t="n">
        <v>30</v>
      </c>
      <c r="L38" t="inlineStr">
        <is>
          <t>30 Juli 2026</t>
        </is>
      </c>
      <c r="M38" t="inlineStr">
        <is>
          <t>Instalasi Peralatan Infrastruktur Pertambangan dan Manufaktur</t>
        </is>
      </c>
      <c r="N38" t="inlineStr">
        <is>
          <t>Spesialis</t>
        </is>
      </c>
      <c r="O38" t="inlineStr">
        <is>
          <t>20230727</t>
        </is>
      </c>
      <c r="P38" t="inlineStr">
        <is>
          <t>Riau</t>
        </is>
      </c>
      <c r="Q38" t="inlineStr"/>
    </row>
    <row r="39">
      <c r="A39" t="inlineStr">
        <is>
          <t>BHAKTI SURYA MANDALA</t>
        </is>
      </c>
      <c r="B39" t="inlineStr">
        <is>
          <t>Kota Surabaya</t>
        </is>
      </c>
      <c r="C39" t="inlineStr">
        <is>
          <t>081913300066</t>
        </is>
      </c>
      <c r="D39" t="inlineStr">
        <is>
          <t>office.bhaktisuryamandala@gmail.com</t>
        </is>
      </c>
      <c r="E39" t="inlineStr">
        <is>
          <t>https://lpjk.pu.go.id/search-badan-usaha-detail/djhEOHgvZFhrMlZUWW5HQWFXMEFVUT09</t>
        </is>
      </c>
      <c r="F39" t="n">
        <v>1</v>
      </c>
      <c r="G39" t="inlineStr">
        <is>
          <t>BG005</t>
        </is>
      </c>
      <c r="H39" t="inlineStr">
        <is>
          <t>14 Januari 2022</t>
        </is>
      </c>
      <c r="I39" s="2" t="n">
        <v>46233</v>
      </c>
      <c r="J39" t="inlineStr">
        <is>
          <t>Disetujui</t>
        </is>
      </c>
      <c r="K39" t="n">
        <v>30</v>
      </c>
      <c r="L39" t="inlineStr">
        <is>
          <t>30 Juli 2026</t>
        </is>
      </c>
      <c r="M39" t="inlineStr">
        <is>
          <t>Konstruksi Gedung Kesehatan</t>
        </is>
      </c>
      <c r="N39" t="inlineStr">
        <is>
          <t>K</t>
        </is>
      </c>
      <c r="O39" t="inlineStr">
        <is>
          <t>20230726</t>
        </is>
      </c>
      <c r="P39" t="inlineStr">
        <is>
          <t>Jawa Timur</t>
        </is>
      </c>
      <c r="Q39" t="inlineStr"/>
    </row>
    <row r="40">
      <c r="A40" t="inlineStr">
        <is>
          <t>BHAKTIYASA</t>
        </is>
      </c>
      <c r="B40" t="inlineStr">
        <is>
          <t>Kab. Jember</t>
        </is>
      </c>
      <c r="C40" t="inlineStr">
        <is>
          <t>081232063678</t>
        </is>
      </c>
      <c r="D40" t="inlineStr">
        <is>
          <t>bhakti_yasa22@yahoo.com</t>
        </is>
      </c>
      <c r="E40" t="inlineStr">
        <is>
          <t>https://lpjk.pu.go.id/search-badan-usaha-detail/UUk5ZkwydlIwTkp2SnNyMG5MekZZZz09</t>
        </is>
      </c>
      <c r="F40" t="n">
        <v>2</v>
      </c>
      <c r="G40" t="inlineStr">
        <is>
          <t>BS001, BS004</t>
        </is>
      </c>
      <c r="H40" t="inlineStr">
        <is>
          <t>24 Oktober 1987</t>
        </is>
      </c>
      <c r="I40" s="2" t="n">
        <v>46233</v>
      </c>
      <c r="J40" t="inlineStr">
        <is>
          <t>Disetujui</t>
        </is>
      </c>
      <c r="K40" t="n">
        <v>30</v>
      </c>
      <c r="L40" t="inlineStr">
        <is>
          <t>30 Juli 2026</t>
        </is>
      </c>
      <c r="M40" t="inlineStr">
        <is>
          <t>Konstruksi Bangunan Sipil Jalan, Konstruksi Jaringan Irigasi dan Drainase</t>
        </is>
      </c>
      <c r="N40" t="inlineStr">
        <is>
          <t>K</t>
        </is>
      </c>
      <c r="O40" t="inlineStr">
        <is>
          <t>20230727</t>
        </is>
      </c>
      <c r="P40" t="inlineStr">
        <is>
          <t>Jawa Timur</t>
        </is>
      </c>
      <c r="Q40" t="inlineStr"/>
    </row>
    <row r="41">
      <c r="A41" t="inlineStr">
        <is>
          <t>BINA MITRA UTAMA</t>
        </is>
      </c>
      <c r="B41" t="inlineStr">
        <is>
          <t>Kab. Sintang</t>
        </is>
      </c>
      <c r="C41" t="inlineStr">
        <is>
          <t>085822446364</t>
        </is>
      </c>
      <c r="D41" t="inlineStr">
        <is>
          <t>binamitra85@gmail.com</t>
        </is>
      </c>
      <c r="E41" t="inlineStr">
        <is>
          <t>https://lpjk.pu.go.id/search-badan-usaha-detail/VEJvZ25OdkxsTWxSRUxyS1lzRk5TZz09</t>
        </is>
      </c>
      <c r="F41" t="n">
        <v>1</v>
      </c>
      <c r="G41" t="inlineStr">
        <is>
          <t>BS002</t>
        </is>
      </c>
      <c r="H41" t="inlineStr">
        <is>
          <t>15 Juli 1983</t>
        </is>
      </c>
      <c r="I41" s="2" t="n">
        <v>46233</v>
      </c>
      <c r="J41" t="inlineStr">
        <is>
          <t>Disetujui</t>
        </is>
      </c>
      <c r="K41" t="n">
        <v>30</v>
      </c>
      <c r="L41" t="inlineStr">
        <is>
          <t>30 Juli 2026</t>
        </is>
      </c>
      <c r="M41" t="inlineStr">
        <is>
          <t>Bangunan Sipil Jembatan, Jalan Layang, Fly Over, dan Underpass</t>
        </is>
      </c>
      <c r="N41" t="inlineStr">
        <is>
          <t>K</t>
        </is>
      </c>
      <c r="O41" t="inlineStr">
        <is>
          <t>20230712</t>
        </is>
      </c>
      <c r="P41" t="inlineStr">
        <is>
          <t>Kalimantan Barat</t>
        </is>
      </c>
      <c r="Q41" t="inlineStr"/>
    </row>
    <row r="42">
      <c r="A42" t="inlineStr">
        <is>
          <t>BINA RAYA</t>
        </is>
      </c>
      <c r="B42" t="inlineStr">
        <is>
          <t>Kab. Ciamis</t>
        </is>
      </c>
      <c r="C42" t="inlineStr">
        <is>
          <t>085322971414</t>
        </is>
      </c>
      <c r="D42" t="inlineStr">
        <is>
          <t>binaraya07@yahoo.com</t>
        </is>
      </c>
      <c r="E42" t="inlineStr">
        <is>
          <t>https://lpjk.pu.go.id/search-badan-usaha-detail/OW5PMzJtcnZYU2gxc1BtQmR0aElTQT09</t>
        </is>
      </c>
      <c r="F42" t="n">
        <v>1</v>
      </c>
      <c r="G42" t="inlineStr">
        <is>
          <t>BG009</t>
        </is>
      </c>
      <c r="H42" t="inlineStr">
        <is>
          <t>2 Februari 1985</t>
        </is>
      </c>
      <c r="I42" s="2" t="n">
        <v>46233</v>
      </c>
      <c r="J42" t="inlineStr">
        <is>
          <t>Disetujui</t>
        </is>
      </c>
      <c r="K42" t="n">
        <v>30</v>
      </c>
      <c r="L42" t="inlineStr">
        <is>
          <t>30 Juli 2026</t>
        </is>
      </c>
      <c r="M42" t="inlineStr">
        <is>
          <t>Konstruksi Gedung Lainnya</t>
        </is>
      </c>
      <c r="N42" t="inlineStr">
        <is>
          <t>K</t>
        </is>
      </c>
      <c r="O42" t="inlineStr">
        <is>
          <t>20230727</t>
        </is>
      </c>
      <c r="P42" t="inlineStr">
        <is>
          <t>Jawa Barat</t>
        </is>
      </c>
      <c r="Q42" t="inlineStr"/>
    </row>
    <row r="43">
      <c r="A43" t="inlineStr">
        <is>
          <t>BINTANG KONSTRUKSI</t>
        </is>
      </c>
      <c r="B43" t="inlineStr">
        <is>
          <t>Kab. Serdang Bedagai</t>
        </is>
      </c>
      <c r="C43" t="inlineStr">
        <is>
          <t>082167995052</t>
        </is>
      </c>
      <c r="D43" t="inlineStr">
        <is>
          <t>konstruksibintang@rocketmail.com</t>
        </is>
      </c>
      <c r="E43" t="inlineStr">
        <is>
          <t>https://lpjk.pu.go.id/search-badan-usaha-detail/TGsyUHl3RmlSeWFGRkRDNzNqYnU3Zz09</t>
        </is>
      </c>
      <c r="F43" t="n">
        <v>2</v>
      </c>
      <c r="G43" t="inlineStr">
        <is>
          <t>BS001</t>
        </is>
      </c>
      <c r="H43" t="inlineStr">
        <is>
          <t>12 Juli 2021</t>
        </is>
      </c>
      <c r="I43" s="2" t="n">
        <v>46233</v>
      </c>
      <c r="J43" t="inlineStr">
        <is>
          <t>Pencabutan</t>
        </is>
      </c>
      <c r="K43" t="n">
        <v>30</v>
      </c>
      <c r="L43" t="inlineStr">
        <is>
          <t>30 Juli 2026</t>
        </is>
      </c>
      <c r="M43" t="inlineStr">
        <is>
          <t>Konstruksi Bangunan Sipil Jalan</t>
        </is>
      </c>
      <c r="N43" t="inlineStr">
        <is>
          <t>K</t>
        </is>
      </c>
      <c r="O43" t="inlineStr">
        <is>
          <t>20230720</t>
        </is>
      </c>
      <c r="P43" t="inlineStr">
        <is>
          <t>Sumatera Utara</t>
        </is>
      </c>
      <c r="Q43" t="inlineStr"/>
    </row>
    <row r="44">
      <c r="A44" t="inlineStr">
        <is>
          <t>BORNEO TEHNIK UTAMA</t>
        </is>
      </c>
      <c r="B44" t="inlineStr">
        <is>
          <t>Kota Palangkaraya</t>
        </is>
      </c>
      <c r="C44" t="inlineStr">
        <is>
          <t>085349025163</t>
        </is>
      </c>
      <c r="D44" t="inlineStr">
        <is>
          <t>cv.borneotehnikutama@ymail.com</t>
        </is>
      </c>
      <c r="E44" t="inlineStr">
        <is>
          <t>https://lpjk.pu.go.id/search-badan-usaha-detail/QXB3YWFJRHRPOFdqYnRJMTZLVkxwUT09</t>
        </is>
      </c>
      <c r="F44" t="n">
        <v>1</v>
      </c>
      <c r="G44" t="inlineStr">
        <is>
          <t>RK001</t>
        </is>
      </c>
      <c r="H44" t="inlineStr">
        <is>
          <t>11 November 2011</t>
        </is>
      </c>
      <c r="I44" s="2" t="n">
        <v>46233</v>
      </c>
      <c r="J44" t="inlineStr">
        <is>
          <t>Disetujui</t>
        </is>
      </c>
      <c r="K44" t="n">
        <v>30</v>
      </c>
      <c r="L44" t="inlineStr">
        <is>
          <t>30 Juli 2026</t>
        </is>
      </c>
      <c r="M44" t="inlineStr">
        <is>
          <t>Jasa Rekayasa Konstruksi Bangunan Gedung Hunian dan Non Hunian</t>
        </is>
      </c>
      <c r="N44" t="inlineStr">
        <is>
          <t>K</t>
        </is>
      </c>
      <c r="O44" t="inlineStr">
        <is>
          <t>20230711</t>
        </is>
      </c>
      <c r="P44" t="inlineStr">
        <is>
          <t>Kalimantan Tengah</t>
        </is>
      </c>
      <c r="Q44" t="inlineStr"/>
    </row>
    <row r="45">
      <c r="A45" t="inlineStr">
        <is>
          <t>BUKIT RAYA KONSTRUKSI</t>
        </is>
      </c>
      <c r="B45" t="inlineStr">
        <is>
          <t>Kab. Batanghari</t>
        </is>
      </c>
      <c r="C45" t="inlineStr">
        <is>
          <t>085357043193</t>
        </is>
      </c>
      <c r="D45" t="inlineStr">
        <is>
          <t>bukitrayakonstruksi@gmail.com</t>
        </is>
      </c>
      <c r="E45" t="inlineStr">
        <is>
          <t>https://lpjk.pu.go.id/search-badan-usaha-detail/UWxnZXE3aEY0QUhnS1o1Qmp0RUtHZz09</t>
        </is>
      </c>
      <c r="F45" t="n">
        <v>5</v>
      </c>
      <c r="G45" t="inlineStr">
        <is>
          <t>BG001, BG002, BG006, BG009, BS001</t>
        </is>
      </c>
      <c r="H45" t="inlineStr">
        <is>
          <t>29 Agustus 2019</t>
        </is>
      </c>
      <c r="I45" s="2" t="n">
        <v>46233</v>
      </c>
      <c r="J45" t="inlineStr">
        <is>
          <t>Disetujui</t>
        </is>
      </c>
      <c r="K45" t="n">
        <v>30</v>
      </c>
      <c r="L45" t="inlineStr">
        <is>
          <t>30 Juli 2026</t>
        </is>
      </c>
      <c r="M45" t="inlineStr">
        <is>
          <t>Konstruksi Bangunan Sipil Jalan, Konstruksi Gedung Hunian, Konstruksi Gedung Lainnya, Konstruksi Gedung Pendidikan, Konstruksi Gedung Perkantoran</t>
        </is>
      </c>
      <c r="N45" t="inlineStr">
        <is>
          <t>K</t>
        </is>
      </c>
      <c r="O45" t="inlineStr">
        <is>
          <t>20230728</t>
        </is>
      </c>
      <c r="P45" t="inlineStr">
        <is>
          <t>Jambi</t>
        </is>
      </c>
      <c r="Q45" t="inlineStr"/>
    </row>
    <row r="46">
      <c r="A46" t="inlineStr">
        <is>
          <t>BUMI DELTA MAKMUR</t>
        </is>
      </c>
      <c r="B46" t="inlineStr">
        <is>
          <t>Kab. Sidoarjo</t>
        </is>
      </c>
      <c r="C46" t="inlineStr">
        <is>
          <t>03199703254</t>
        </is>
      </c>
      <c r="D46" t="inlineStr">
        <is>
          <t>mlailatul24@gmail.com</t>
        </is>
      </c>
      <c r="E46" t="inlineStr">
        <is>
          <t>https://lpjk.pu.go.id/search-badan-usaha-detail/cTk5YnZDQU1weHZVZWpUNDl6bFAwdz09</t>
        </is>
      </c>
      <c r="F46" t="n">
        <v>1</v>
      </c>
      <c r="G46" t="inlineStr">
        <is>
          <t>BS017</t>
        </is>
      </c>
      <c r="H46" t="inlineStr">
        <is>
          <t>19 Februari 2019</t>
        </is>
      </c>
      <c r="I46" s="2" t="n">
        <v>46233</v>
      </c>
      <c r="J46" t="inlineStr">
        <is>
          <t>Disetujui</t>
        </is>
      </c>
      <c r="K46" t="n">
        <v>30</v>
      </c>
      <c r="L46" t="inlineStr">
        <is>
          <t>30 Juli 2026</t>
        </is>
      </c>
      <c r="M46" t="inlineStr">
        <is>
          <t>Konstruksi Bangunan Sipil Lainnya Ytdl</t>
        </is>
      </c>
      <c r="N46" t="inlineStr">
        <is>
          <t>K</t>
        </is>
      </c>
      <c r="O46" t="inlineStr">
        <is>
          <t>20230728</t>
        </is>
      </c>
      <c r="P46" t="inlineStr">
        <is>
          <t>Jawa Timur</t>
        </is>
      </c>
      <c r="Q46" t="inlineStr"/>
    </row>
    <row r="47">
      <c r="A47" t="inlineStr">
        <is>
          <t>BUMI MAKMUR</t>
        </is>
      </c>
      <c r="B47" t="inlineStr">
        <is>
          <t>Kab. Nganjuk</t>
        </is>
      </c>
      <c r="C47" t="inlineStr">
        <is>
          <t>082331375188</t>
        </is>
      </c>
      <c r="D47" t="inlineStr">
        <is>
          <t>cvbumimakmur@yahoo.co.id</t>
        </is>
      </c>
      <c r="E47" t="inlineStr">
        <is>
          <t>https://lpjk.pu.go.id/search-badan-usaha-detail/UUJqVTZ2VXhFRzFqSGkxcDBLUU9BZz09</t>
        </is>
      </c>
      <c r="F47" t="n">
        <v>2</v>
      </c>
      <c r="G47" t="inlineStr">
        <is>
          <t>BS001, BS004</t>
        </is>
      </c>
      <c r="H47" t="inlineStr">
        <is>
          <t>29 November 2005</t>
        </is>
      </c>
      <c r="I47" s="2" t="n">
        <v>46233</v>
      </c>
      <c r="J47" t="inlineStr">
        <is>
          <t>Disetujui</t>
        </is>
      </c>
      <c r="K47" t="n">
        <v>30</v>
      </c>
      <c r="L47" t="inlineStr">
        <is>
          <t>30 Juli 2026</t>
        </is>
      </c>
      <c r="M47" t="inlineStr">
        <is>
          <t>Konstruksi Bangunan Sipil Jalan, Konstruksi Jaringan Irigasi dan Drainase</t>
        </is>
      </c>
      <c r="N47" t="inlineStr">
        <is>
          <t>K</t>
        </is>
      </c>
      <c r="O47" t="inlineStr">
        <is>
          <t>20230720</t>
        </is>
      </c>
      <c r="P47" t="inlineStr">
        <is>
          <t>Jawa Timur</t>
        </is>
      </c>
      <c r="Q47" t="inlineStr"/>
    </row>
    <row r="48">
      <c r="A48" t="inlineStr">
        <is>
          <t>BUNGA MASAGENA'E</t>
        </is>
      </c>
      <c r="B48" t="inlineStr">
        <is>
          <t>Kota Tarakan</t>
        </is>
      </c>
      <c r="C48" t="inlineStr">
        <is>
          <t>081369847655</t>
        </is>
      </c>
      <c r="D48" t="inlineStr">
        <is>
          <t>kamilkamill308@gmail.com</t>
        </is>
      </c>
      <c r="E48" t="inlineStr">
        <is>
          <t>https://lpjk.pu.go.id/search-badan-usaha-detail/ZFZraEh4eGtYVXM0SWdPNnlCNmFQUT09</t>
        </is>
      </c>
      <c r="F48" t="n">
        <v>1</v>
      </c>
      <c r="G48" t="inlineStr">
        <is>
          <t>BS001</t>
        </is>
      </c>
      <c r="H48" t="inlineStr">
        <is>
          <t>13 Januari 2015</t>
        </is>
      </c>
      <c r="I48" s="2" t="n">
        <v>46233</v>
      </c>
      <c r="J48" t="inlineStr">
        <is>
          <t>Disetujui</t>
        </is>
      </c>
      <c r="K48" t="n">
        <v>30</v>
      </c>
      <c r="L48" t="inlineStr">
        <is>
          <t>30 Juli 2026</t>
        </is>
      </c>
      <c r="M48" t="inlineStr">
        <is>
          <t>Konstruksi Bangunan Sipil Jalan</t>
        </is>
      </c>
      <c r="N48" t="inlineStr">
        <is>
          <t>K</t>
        </is>
      </c>
      <c r="O48" t="inlineStr">
        <is>
          <t>20230725</t>
        </is>
      </c>
      <c r="P48" t="inlineStr">
        <is>
          <t>Kalimantan Utara</t>
        </is>
      </c>
      <c r="Q48" t="inlineStr"/>
    </row>
    <row r="49">
      <c r="A49" t="inlineStr">
        <is>
          <t>CAHAYA SALJU ABADI</t>
        </is>
      </c>
      <c r="B49" t="inlineStr">
        <is>
          <t>Kab. Mimika</t>
        </is>
      </c>
      <c r="C49" t="inlineStr">
        <is>
          <t>085231523527</t>
        </is>
      </c>
      <c r="D49" t="inlineStr">
        <is>
          <t>cahayasaljuabadi@gmail.com</t>
        </is>
      </c>
      <c r="E49" t="inlineStr">
        <is>
          <t>https://lpjk.pu.go.id/search-badan-usaha-detail/ZVNPMlBzWUoyRnRxeDF3c29RUzVoZz09</t>
        </is>
      </c>
      <c r="F49" t="n">
        <v>1</v>
      </c>
      <c r="G49" t="inlineStr">
        <is>
          <t>BS001</t>
        </is>
      </c>
      <c r="H49" t="inlineStr">
        <is>
          <t>23 September 2021</t>
        </is>
      </c>
      <c r="I49" s="2" t="n">
        <v>46233</v>
      </c>
      <c r="J49" t="inlineStr">
        <is>
          <t>Pencabutan</t>
        </is>
      </c>
      <c r="K49" t="n">
        <v>30</v>
      </c>
      <c r="L49" t="inlineStr">
        <is>
          <t>30 Juli 2026</t>
        </is>
      </c>
      <c r="M49" t="inlineStr">
        <is>
          <t>Konstruksi Bangunan Sipil Jalan</t>
        </is>
      </c>
      <c r="N49" t="inlineStr">
        <is>
          <t>K</t>
        </is>
      </c>
      <c r="O49" t="inlineStr">
        <is>
          <t>20230726</t>
        </is>
      </c>
      <c r="P49" t="inlineStr">
        <is>
          <t>Papua</t>
        </is>
      </c>
      <c r="Q49" t="inlineStr"/>
    </row>
    <row r="50">
      <c r="A50" t="inlineStr">
        <is>
          <t>CAKRAWALA</t>
        </is>
      </c>
      <c r="B50" t="inlineStr">
        <is>
          <t>Kab. Kotawaringin Barat</t>
        </is>
      </c>
      <c r="C50" t="inlineStr">
        <is>
          <t>085751980466</t>
        </is>
      </c>
      <c r="D50" t="inlineStr">
        <is>
          <t>cv.cakrawala012@gmail.com</t>
        </is>
      </c>
      <c r="E50" t="inlineStr">
        <is>
          <t>https://lpjk.pu.go.id/search-badan-usaha-detail/Z0hseFIybS93dnI0SDA1ZVlnK01GQT09</t>
        </is>
      </c>
      <c r="F50" t="n">
        <v>2</v>
      </c>
      <c r="G50" t="inlineStr">
        <is>
          <t>BG004, BS002</t>
        </is>
      </c>
      <c r="H50" t="inlineStr">
        <is>
          <t>20 Juni 2023</t>
        </is>
      </c>
      <c r="I50" s="2" t="n">
        <v>46233</v>
      </c>
      <c r="J50" t="inlineStr">
        <is>
          <t>Disetujui</t>
        </is>
      </c>
      <c r="K50" t="n">
        <v>30</v>
      </c>
      <c r="L50" t="inlineStr">
        <is>
          <t>30 Juli 2026</t>
        </is>
      </c>
      <c r="M50" t="inlineStr">
        <is>
          <t>Bangunan Sipil Jembatan, Jalan Layang, Fly Over, dan Underpass, Konstruksi Gedung Perbelanjaan</t>
        </is>
      </c>
      <c r="N50" t="inlineStr">
        <is>
          <t>K</t>
        </is>
      </c>
      <c r="O50" t="inlineStr">
        <is>
          <t>20230726</t>
        </is>
      </c>
      <c r="P50" t="inlineStr">
        <is>
          <t>Kalimantan Tengah</t>
        </is>
      </c>
      <c r="Q50" t="inlineStr"/>
    </row>
    <row r="51">
      <c r="A51" t="inlineStr">
        <is>
          <t>CIPTA PURNAMA KONSTRUKSINDO</t>
        </is>
      </c>
      <c r="B51" t="inlineStr">
        <is>
          <t>Kab. Sragen</t>
        </is>
      </c>
      <c r="C51" t="inlineStr">
        <is>
          <t>085642085761</t>
        </is>
      </c>
      <c r="D51" t="inlineStr">
        <is>
          <t>cipurnakontruksindo@gmail.com</t>
        </is>
      </c>
      <c r="E51" t="inlineStr">
        <is>
          <t>https://lpjk.pu.go.id/search-badan-usaha-detail/SzlEc1gzUk5KVU1GV2FiYVIraTVFZz09</t>
        </is>
      </c>
      <c r="F51" t="n">
        <v>3</v>
      </c>
      <c r="G51" t="inlineStr">
        <is>
          <t>BG005</t>
        </is>
      </c>
      <c r="H51" t="inlineStr">
        <is>
          <t>19 Desember 2022</t>
        </is>
      </c>
      <c r="I51" s="2" t="n">
        <v>46233</v>
      </c>
      <c r="J51" t="inlineStr">
        <is>
          <t>Disetujui</t>
        </is>
      </c>
      <c r="K51" t="n">
        <v>30</v>
      </c>
      <c r="L51" t="inlineStr">
        <is>
          <t>30 Juli 2026</t>
        </is>
      </c>
      <c r="M51" t="inlineStr">
        <is>
          <t>Konstruksi Gedung Kesehatan</t>
        </is>
      </c>
      <c r="N51" t="inlineStr">
        <is>
          <t>K</t>
        </is>
      </c>
      <c r="O51" t="inlineStr">
        <is>
          <t>20230725</t>
        </is>
      </c>
      <c r="P51" t="inlineStr">
        <is>
          <t>Jawa Tengah</t>
        </is>
      </c>
      <c r="Q51" t="inlineStr"/>
    </row>
    <row r="52">
      <c r="A52" t="inlineStr">
        <is>
          <t>CITRA KARYA INDO RAYA</t>
        </is>
      </c>
      <c r="B52" t="inlineStr">
        <is>
          <t>Kota Padang</t>
        </is>
      </c>
      <c r="C52" t="inlineStr">
        <is>
          <t>085265292246</t>
        </is>
      </c>
      <c r="D52" t="inlineStr">
        <is>
          <t>citrakaryaindoraya_pt@yahoo.com</t>
        </is>
      </c>
      <c r="E52" t="inlineStr">
        <is>
          <t>https://lpjk.pu.go.id/search-badan-usaha-detail/YnY2VTI5K2w1cnJMTEdaclhZS09zZz09</t>
        </is>
      </c>
      <c r="F52" t="n">
        <v>1</v>
      </c>
      <c r="G52" t="inlineStr">
        <is>
          <t>BS005</t>
        </is>
      </c>
      <c r="H52" t="inlineStr">
        <is>
          <t>12 Februari 2009</t>
        </is>
      </c>
      <c r="I52" s="2" t="n">
        <v>46233</v>
      </c>
      <c r="J52" t="inlineStr">
        <is>
          <t>Pembekuan</t>
        </is>
      </c>
      <c r="K52" t="n">
        <v>30</v>
      </c>
      <c r="L52" t="inlineStr">
        <is>
          <t>30 Juli 2026</t>
        </is>
      </c>
      <c r="M52" t="inlineStr">
        <is>
          <t>Konstruksi Bangunan Sipil Pengolahan Air Bersih</t>
        </is>
      </c>
      <c r="N52" t="inlineStr">
        <is>
          <t>M</t>
        </is>
      </c>
      <c r="O52" t="inlineStr">
        <is>
          <t>20230722</t>
        </is>
      </c>
      <c r="P52" t="inlineStr">
        <is>
          <t>Sumatera Barat</t>
        </is>
      </c>
      <c r="Q52" t="inlineStr"/>
    </row>
    <row r="53">
      <c r="A53" t="inlineStr">
        <is>
          <t>CITRA MANDIRI CONSULTANT</t>
        </is>
      </c>
      <c r="B53" t="inlineStr">
        <is>
          <t>Kab. Balangan</t>
        </is>
      </c>
      <c r="C53" t="inlineStr">
        <is>
          <t>082151622870</t>
        </is>
      </c>
      <c r="D53" t="inlineStr">
        <is>
          <t>citramandiriconsultant499@gmail.com</t>
        </is>
      </c>
      <c r="E53" t="inlineStr">
        <is>
          <t>https://lpjk.pu.go.id/search-badan-usaha-detail/OTlEc1pzc2wrWDN4ekpzMnRzK1FOZz09</t>
        </is>
      </c>
      <c r="F53" t="n">
        <v>3</v>
      </c>
      <c r="G53" t="inlineStr">
        <is>
          <t>RK001, RK002, RK003</t>
        </is>
      </c>
      <c r="H53" t="inlineStr">
        <is>
          <t>9 Juni 2016</t>
        </is>
      </c>
      <c r="I53" s="2" t="n">
        <v>46233</v>
      </c>
      <c r="J53" t="inlineStr">
        <is>
          <t>Disetujui</t>
        </is>
      </c>
      <c r="K53" t="n">
        <v>30</v>
      </c>
      <c r="L53" t="inlineStr">
        <is>
          <t>30 Juli 2026</t>
        </is>
      </c>
      <c r="M53" t="inlineStr">
        <is>
          <t>Jasa Rekayasa Konstruksi Bangunan Gedung Hunian dan Non Hunian, Jasa Rekayasa Pekerjaan Teknik Sipil Sumber Daya Air, Jasa Rekayasa Pekerjaan Teknik Sipil Transportasi</t>
        </is>
      </c>
      <c r="N53" t="inlineStr">
        <is>
          <t>K</t>
        </is>
      </c>
      <c r="O53" t="inlineStr">
        <is>
          <t>20230718</t>
        </is>
      </c>
      <c r="P53" t="inlineStr">
        <is>
          <t>Kalimantan Selatan</t>
        </is>
      </c>
      <c r="Q53" t="inlineStr"/>
    </row>
    <row r="54">
      <c r="A54" t="inlineStr">
        <is>
          <t>CITRAWEES SALAWASNA</t>
        </is>
      </c>
      <c r="B54" t="inlineStr">
        <is>
          <t>Kota Bandung</t>
        </is>
      </c>
      <c r="C54" t="inlineStr">
        <is>
          <t>0227322902</t>
        </is>
      </c>
      <c r="D54" t="inlineStr">
        <is>
          <t>citrawees@yahoo.co.id</t>
        </is>
      </c>
      <c r="E54" t="inlineStr">
        <is>
          <t>https://lpjk.pu.go.id/search-badan-usaha-detail/VXFCMkt6RG0wSlBwRXdFanIwSUxNQT09</t>
        </is>
      </c>
      <c r="F54" t="n">
        <v>2</v>
      </c>
      <c r="G54" t="inlineStr">
        <is>
          <t>AR001</t>
        </is>
      </c>
      <c r="H54" t="inlineStr">
        <is>
          <t>18 Agustus 1994</t>
        </is>
      </c>
      <c r="I54" s="2" t="n">
        <v>46233</v>
      </c>
      <c r="J54" t="inlineStr">
        <is>
          <t>Pencabutan</t>
        </is>
      </c>
      <c r="K54" t="n">
        <v>30</v>
      </c>
      <c r="L54" t="inlineStr">
        <is>
          <t>30 Juli 2026</t>
        </is>
      </c>
      <c r="M54" t="inlineStr">
        <is>
          <t>Jasa Arsitektural Bangunan Gedung Hunian dan Non Hunian</t>
        </is>
      </c>
      <c r="N54" t="inlineStr">
        <is>
          <t>K</t>
        </is>
      </c>
      <c r="O54" t="inlineStr">
        <is>
          <t>20230718</t>
        </is>
      </c>
      <c r="P54" t="inlineStr">
        <is>
          <t>Jawa Barat</t>
        </is>
      </c>
      <c r="Q54" t="inlineStr"/>
    </row>
    <row r="55">
      <c r="A55" t="inlineStr">
        <is>
          <t>CV. SINAR MULYO</t>
        </is>
      </c>
      <c r="B55" t="inlineStr">
        <is>
          <t>Kab. Kediri</t>
        </is>
      </c>
      <c r="C55" t="inlineStr">
        <is>
          <t>081332919400</t>
        </is>
      </c>
      <c r="D55" t="inlineStr">
        <is>
          <t>cvsinarmulyo@yahoo.com</t>
        </is>
      </c>
      <c r="E55" t="inlineStr">
        <is>
          <t>https://lpjk.pu.go.id/search-badan-usaha-detail/ZFB5UU5TK0xKbGN5RE5rdjFHZDdIZz09</t>
        </is>
      </c>
      <c r="F55" t="n">
        <v>2</v>
      </c>
      <c r="G55" t="inlineStr">
        <is>
          <t>RK001</t>
        </is>
      </c>
      <c r="H55" t="inlineStr">
        <is>
          <t>9 April 2018</t>
        </is>
      </c>
      <c r="I55" s="2" t="n">
        <v>46233</v>
      </c>
      <c r="J55" t="inlineStr">
        <is>
          <t>Disetujui</t>
        </is>
      </c>
      <c r="K55" t="n">
        <v>30</v>
      </c>
      <c r="L55" t="inlineStr">
        <is>
          <t>30 Juli 2026</t>
        </is>
      </c>
      <c r="M55" t="inlineStr">
        <is>
          <t>Jasa Rekayasa Konstruksi Bangunan Gedung Hunian dan Non Hunian</t>
        </is>
      </c>
      <c r="N55" t="inlineStr">
        <is>
          <t>K</t>
        </is>
      </c>
      <c r="O55" t="inlineStr">
        <is>
          <t>20230720</t>
        </is>
      </c>
      <c r="P55" t="inlineStr">
        <is>
          <t>Jawa Timur</t>
        </is>
      </c>
      <c r="Q55" t="inlineStr"/>
    </row>
    <row r="56">
      <c r="A56" t="inlineStr">
        <is>
          <t>DENNYA SEJAHTERA BERSAMA</t>
        </is>
      </c>
      <c r="B56" t="inlineStr">
        <is>
          <t>Kota Bandung</t>
        </is>
      </c>
      <c r="C56" t="inlineStr">
        <is>
          <t>082338603888</t>
        </is>
      </c>
      <c r="D56" t="inlineStr">
        <is>
          <t>sejahterabersamadennya@gmail.com</t>
        </is>
      </c>
      <c r="E56" t="inlineStr">
        <is>
          <t>https://lpjk.pu.go.id/search-badan-usaha-detail/aWoyMHluM2tDQnN1S1hoNUxBeVNUZz09</t>
        </is>
      </c>
      <c r="F56" t="n">
        <v>4</v>
      </c>
      <c r="G56" t="inlineStr">
        <is>
          <t>BG002, BG005</t>
        </is>
      </c>
      <c r="H56" t="inlineStr">
        <is>
          <t>1 Januari 2018</t>
        </is>
      </c>
      <c r="I56" s="2" t="n">
        <v>46233</v>
      </c>
      <c r="J56" t="inlineStr">
        <is>
          <t>Disetujui</t>
        </is>
      </c>
      <c r="K56" t="n">
        <v>30</v>
      </c>
      <c r="L56" t="inlineStr">
        <is>
          <t>30 Juli 2026</t>
        </is>
      </c>
      <c r="M56" t="inlineStr">
        <is>
          <t>Konstruksi Gedung Kesehatan, Konstruksi Gedung Perkantoran</t>
        </is>
      </c>
      <c r="N56" t="inlineStr">
        <is>
          <t>K</t>
        </is>
      </c>
      <c r="O56" t="inlineStr">
        <is>
          <t>20230728</t>
        </is>
      </c>
      <c r="P56" t="inlineStr">
        <is>
          <t>Jawa Barat</t>
        </is>
      </c>
      <c r="Q56" t="inlineStr"/>
    </row>
    <row r="57">
      <c r="A57" t="inlineStr">
        <is>
          <t>DHARMA BAKTI PERTIWI</t>
        </is>
      </c>
      <c r="B57" t="inlineStr">
        <is>
          <t>Kab. Kutai Timur</t>
        </is>
      </c>
      <c r="C57" t="inlineStr">
        <is>
          <t>085350487508</t>
        </is>
      </c>
      <c r="D57" t="inlineStr">
        <is>
          <t>dharmabaktipertiwi.cv@gmail.com</t>
        </is>
      </c>
      <c r="E57" t="inlineStr">
        <is>
          <t>https://lpjk.pu.go.id/search-badan-usaha-detail/aUtVL01KcVEzYUQzcGxFLzVVWW1Udz09</t>
        </is>
      </c>
      <c r="F57" t="n">
        <v>3</v>
      </c>
      <c r="G57" t="inlineStr">
        <is>
          <t>BG006, BG009, BS004</t>
        </is>
      </c>
      <c r="H57" t="inlineStr">
        <is>
          <t>6 November 2019</t>
        </is>
      </c>
      <c r="I57" s="2" t="n">
        <v>46233</v>
      </c>
      <c r="J57" t="inlineStr">
        <is>
          <t>Disetujui</t>
        </is>
      </c>
      <c r="K57" t="n">
        <v>30</v>
      </c>
      <c r="L57" t="inlineStr">
        <is>
          <t>30 Juli 2026</t>
        </is>
      </c>
      <c r="M57" t="inlineStr">
        <is>
          <t>Konstruksi Gedung Lainnya, Konstruksi Gedung Pendidikan, Konstruksi Jaringan Irigasi dan Drainase</t>
        </is>
      </c>
      <c r="N57" t="inlineStr">
        <is>
          <t>K</t>
        </is>
      </c>
      <c r="O57" t="inlineStr">
        <is>
          <t>20230730</t>
        </is>
      </c>
      <c r="P57" t="inlineStr">
        <is>
          <t>Kalimantan Timur</t>
        </is>
      </c>
      <c r="Q57" t="inlineStr"/>
    </row>
    <row r="58">
      <c r="A58" t="inlineStr">
        <is>
          <t>DHARMA HUTAMA KARYA</t>
        </is>
      </c>
      <c r="B58" t="inlineStr">
        <is>
          <t>Kota Adm. Jakarta Pusat</t>
        </is>
      </c>
      <c r="C58" t="inlineStr">
        <is>
          <t>0214223348</t>
        </is>
      </c>
      <c r="D58" t="inlineStr">
        <is>
          <t>ptdharmahutamakarya@gmail.com</t>
        </is>
      </c>
      <c r="E58" t="inlineStr">
        <is>
          <t>https://lpjk.pu.go.id/search-badan-usaha-detail/czNZUXpZbEpkWm8rbzFVYXFmOGordz09</t>
        </is>
      </c>
      <c r="F58" t="n">
        <v>1</v>
      </c>
      <c r="G58" t="inlineStr">
        <is>
          <t>BG006</t>
        </is>
      </c>
      <c r="H58" t="inlineStr">
        <is>
          <t>6 Februari 2018</t>
        </is>
      </c>
      <c r="I58" s="2" t="n">
        <v>46233</v>
      </c>
      <c r="J58" t="inlineStr">
        <is>
          <t>Pencabutan</t>
        </is>
      </c>
      <c r="K58" t="n">
        <v>30</v>
      </c>
      <c r="L58" t="inlineStr">
        <is>
          <t>30 Juli 2026</t>
        </is>
      </c>
      <c r="M58" t="inlineStr">
        <is>
          <t>Konstruksi Gedung Pendidikan</t>
        </is>
      </c>
      <c r="N58" t="inlineStr">
        <is>
          <t>K</t>
        </is>
      </c>
      <c r="O58" t="inlineStr">
        <is>
          <t>20230731</t>
        </is>
      </c>
      <c r="P58" t="inlineStr">
        <is>
          <t>DKI Jakarta</t>
        </is>
      </c>
      <c r="Q58" t="inlineStr"/>
    </row>
    <row r="59">
      <c r="A59" t="inlineStr">
        <is>
          <t>DIAN PERSADA</t>
        </is>
      </c>
      <c r="B59" t="inlineStr">
        <is>
          <t>Kota Metro</t>
        </is>
      </c>
      <c r="C59" t="inlineStr">
        <is>
          <t>082179914361</t>
        </is>
      </c>
      <c r="D59" t="inlineStr">
        <is>
          <t>cvdianpersada82@gmail.com</t>
        </is>
      </c>
      <c r="E59" t="inlineStr">
        <is>
          <t>https://lpjk.pu.go.id/search-badan-usaha-detail/cVBZVjYzYnJuSStaZ3AyaTlWR2FnZz09</t>
        </is>
      </c>
      <c r="F59" t="n">
        <v>4</v>
      </c>
      <c r="G59" t="inlineStr">
        <is>
          <t>BG002, BG005, BG006, BG009</t>
        </is>
      </c>
      <c r="H59" t="inlineStr">
        <is>
          <t>17 Januari 2003</t>
        </is>
      </c>
      <c r="I59" s="2" t="n">
        <v>46233</v>
      </c>
      <c r="J59" t="inlineStr">
        <is>
          <t>Disetujui</t>
        </is>
      </c>
      <c r="K59" t="n">
        <v>30</v>
      </c>
      <c r="L59" t="inlineStr">
        <is>
          <t>30 Juli 2026</t>
        </is>
      </c>
      <c r="M59" t="inlineStr">
        <is>
          <t>Konstruksi Gedung Kesehatan, Konstruksi Gedung Lainnya, Konstruksi Gedung Pendidikan, Konstruksi Gedung Perkantoran</t>
        </is>
      </c>
      <c r="N59" t="inlineStr">
        <is>
          <t>K</t>
        </is>
      </c>
      <c r="O59" t="inlineStr">
        <is>
          <t>20230730</t>
        </is>
      </c>
      <c r="P59" t="inlineStr">
        <is>
          <t>Lampung</t>
        </is>
      </c>
      <c r="Q59" t="inlineStr"/>
    </row>
    <row r="60">
      <c r="A60" t="inlineStr">
        <is>
          <t>DIAN TEHNIK KONSULTAN</t>
        </is>
      </c>
      <c r="B60" t="inlineStr">
        <is>
          <t>Kota Bandar Lampung</t>
        </is>
      </c>
      <c r="C60" t="inlineStr">
        <is>
          <t>085269303110</t>
        </is>
      </c>
      <c r="D60" t="inlineStr">
        <is>
          <t>diantehnik2023@gmail.com</t>
        </is>
      </c>
      <c r="E60" t="inlineStr">
        <is>
          <t>https://lpjk.pu.go.id/search-badan-usaha-detail/QXFOd1hMcVBEcjZpV252MXl5U2FDQT09</t>
        </is>
      </c>
      <c r="F60" t="n">
        <v>1</v>
      </c>
      <c r="G60" t="inlineStr">
        <is>
          <t>RK002</t>
        </is>
      </c>
      <c r="H60" t="inlineStr">
        <is>
          <t>19 Juni 2006</t>
        </is>
      </c>
      <c r="I60" s="2" t="n">
        <v>46233</v>
      </c>
      <c r="J60" t="inlineStr">
        <is>
          <t>Disetujui</t>
        </is>
      </c>
      <c r="K60" t="n">
        <v>30</v>
      </c>
      <c r="L60" t="inlineStr">
        <is>
          <t>30 Juli 2026</t>
        </is>
      </c>
      <c r="M60" t="inlineStr">
        <is>
          <t>Jasa Rekayasa Pekerjaan Teknik Sipil Sumber Daya Air</t>
        </is>
      </c>
      <c r="N60" t="inlineStr">
        <is>
          <t>K</t>
        </is>
      </c>
      <c r="O60" t="inlineStr">
        <is>
          <t>20230722</t>
        </is>
      </c>
      <c r="P60" t="inlineStr">
        <is>
          <t>Lampung</t>
        </is>
      </c>
      <c r="Q60" t="inlineStr"/>
    </row>
    <row r="61">
      <c r="A61" t="inlineStr">
        <is>
          <t>DUA PUTRI MULYA KONSULTAN</t>
        </is>
      </c>
      <c r="B61" t="inlineStr">
        <is>
          <t>Kab. Banyuwangi</t>
        </is>
      </c>
      <c r="C61" t="inlineStr">
        <is>
          <t>085230707664</t>
        </is>
      </c>
      <c r="D61" t="inlineStr">
        <is>
          <t>duaputrimulyakonsultan@yahoo.com</t>
        </is>
      </c>
      <c r="E61" t="inlineStr">
        <is>
          <t>https://lpjk.pu.go.id/search-badan-usaha-detail/SndyTzBrSEhQTTFvbzdkSmJ1MkRDdz09</t>
        </is>
      </c>
      <c r="F61" t="n">
        <v>2</v>
      </c>
      <c r="G61" t="inlineStr">
        <is>
          <t>RK001, RK003</t>
        </is>
      </c>
      <c r="H61" t="inlineStr">
        <is>
          <t>13 Januari 2021</t>
        </is>
      </c>
      <c r="I61" s="2" t="n">
        <v>46233</v>
      </c>
      <c r="J61" t="inlineStr">
        <is>
          <t>Disetujui</t>
        </is>
      </c>
      <c r="K61" t="n">
        <v>30</v>
      </c>
      <c r="L61" t="inlineStr">
        <is>
          <t>30 Juli 2026</t>
        </is>
      </c>
      <c r="M61" t="inlineStr">
        <is>
          <t>Jasa Rekayasa Konstruksi Bangunan Gedung Hunian dan Non Hunian, Jasa Rekayasa Pekerjaan Teknik Sipil Transportasi</t>
        </is>
      </c>
      <c r="N61" t="inlineStr">
        <is>
          <t>K</t>
        </is>
      </c>
      <c r="O61" t="inlineStr">
        <is>
          <t>20230724</t>
        </is>
      </c>
      <c r="P61" t="inlineStr">
        <is>
          <t>Jawa Timur</t>
        </is>
      </c>
      <c r="Q61" t="inlineStr"/>
    </row>
    <row r="62">
      <c r="A62" t="inlineStr">
        <is>
          <t>DWIKARYA MANDIRI</t>
        </is>
      </c>
      <c r="B62" t="inlineStr">
        <is>
          <t>Kab. Maluku Tengah</t>
        </is>
      </c>
      <c r="C62" t="inlineStr">
        <is>
          <t>081295733919</t>
        </is>
      </c>
      <c r="D62" t="inlineStr">
        <is>
          <t>dwikaryamandiri7@gmail.com</t>
        </is>
      </c>
      <c r="E62" t="inlineStr">
        <is>
          <t>https://lpjk.pu.go.id/search-badan-usaha-detail/VzVvNGVkdE10ZUdmM3puQWY2M29iQT09</t>
        </is>
      </c>
      <c r="F62" t="n">
        <v>2</v>
      </c>
      <c r="G62" t="inlineStr">
        <is>
          <t>BG005</t>
        </is>
      </c>
      <c r="H62" t="inlineStr">
        <is>
          <t>20 Oktober 2013</t>
        </is>
      </c>
      <c r="I62" s="2" t="n">
        <v>46233</v>
      </c>
      <c r="J62" t="inlineStr">
        <is>
          <t>Disetujui</t>
        </is>
      </c>
      <c r="K62" t="n">
        <v>30</v>
      </c>
      <c r="L62" t="inlineStr">
        <is>
          <t>30 Juli 2026</t>
        </is>
      </c>
      <c r="M62" t="inlineStr">
        <is>
          <t>Konstruksi Gedung Kesehatan</t>
        </is>
      </c>
      <c r="N62" t="inlineStr">
        <is>
          <t>K</t>
        </is>
      </c>
      <c r="O62" t="inlineStr">
        <is>
          <t>20230724</t>
        </is>
      </c>
      <c r="P62" t="inlineStr">
        <is>
          <t>Maluku</t>
        </is>
      </c>
      <c r="Q62" t="inlineStr"/>
    </row>
    <row r="63">
      <c r="A63" t="inlineStr">
        <is>
          <t>EKA JAYA KRIDATAMA</t>
        </is>
      </c>
      <c r="B63" t="inlineStr">
        <is>
          <t>Kota Adm. Jakarta Pusat</t>
        </is>
      </c>
      <c r="C63" t="inlineStr">
        <is>
          <t>0213459888</t>
        </is>
      </c>
      <c r="D63" t="inlineStr">
        <is>
          <t>sunara@ekanuri.com</t>
        </is>
      </c>
      <c r="E63" t="inlineStr">
        <is>
          <t>https://lpjk.pu.go.id/search-badan-usaha-detail/Q1lmZmZScmo1Tm5sTGw5WmExeG50dz09</t>
        </is>
      </c>
      <c r="F63" t="n">
        <v>1</v>
      </c>
      <c r="G63" t="inlineStr">
        <is>
          <t>BG003</t>
        </is>
      </c>
      <c r="H63" t="inlineStr">
        <is>
          <t>11 Januari 1984</t>
        </is>
      </c>
      <c r="I63" s="2" t="n">
        <v>46233</v>
      </c>
      <c r="J63" t="inlineStr">
        <is>
          <t>Pencabutan</t>
        </is>
      </c>
      <c r="K63" t="n">
        <v>30</v>
      </c>
      <c r="L63" t="inlineStr">
        <is>
          <t>30 Juli 2026</t>
        </is>
      </c>
      <c r="M63" t="inlineStr">
        <is>
          <t>Konstruksi Gedung Industri</t>
        </is>
      </c>
      <c r="N63" t="inlineStr">
        <is>
          <t>K</t>
        </is>
      </c>
      <c r="O63" t="inlineStr">
        <is>
          <t>20230730</t>
        </is>
      </c>
      <c r="P63" t="inlineStr">
        <is>
          <t>DKI Jakarta</t>
        </is>
      </c>
      <c r="Q63" t="inlineStr"/>
    </row>
    <row r="64">
      <c r="A64" t="inlineStr">
        <is>
          <t>ERA BANGUN NEGARA</t>
        </is>
      </c>
      <c r="B64" t="inlineStr">
        <is>
          <t>Kab. Polewali Mandar</t>
        </is>
      </c>
      <c r="C64" t="inlineStr">
        <is>
          <t>081242499727</t>
        </is>
      </c>
      <c r="D64" t="inlineStr">
        <is>
          <t>erabangunnegara@gmail.com</t>
        </is>
      </c>
      <c r="E64" t="inlineStr">
        <is>
          <t>https://lpjk.pu.go.id/search-badan-usaha-detail/enNUcllYb2cxVTdCWFdQRXUvVmJwdz09</t>
        </is>
      </c>
      <c r="F64" t="n">
        <v>1</v>
      </c>
      <c r="G64" t="inlineStr">
        <is>
          <t>BS002</t>
        </is>
      </c>
      <c r="H64" t="inlineStr">
        <is>
          <t>21 November 2017</t>
        </is>
      </c>
      <c r="I64" s="2" t="n">
        <v>46233</v>
      </c>
      <c r="J64" t="inlineStr">
        <is>
          <t>Disetujui</t>
        </is>
      </c>
      <c r="K64" t="n">
        <v>30</v>
      </c>
      <c r="L64" t="inlineStr">
        <is>
          <t>30 Juli 2026</t>
        </is>
      </c>
      <c r="M64" t="inlineStr">
        <is>
          <t>Bangunan Sipil Jembatan, Jalan Layang, Fly Over, dan Underpass</t>
        </is>
      </c>
      <c r="N64" t="inlineStr">
        <is>
          <t>M</t>
        </is>
      </c>
      <c r="O64" t="inlineStr">
        <is>
          <t>20230718</t>
        </is>
      </c>
      <c r="P64" t="inlineStr">
        <is>
          <t>Sulawesi Barat</t>
        </is>
      </c>
      <c r="Q64" t="inlineStr"/>
    </row>
    <row r="65">
      <c r="A65" t="inlineStr">
        <is>
          <t>ERLANGGA DIRGANTARA</t>
        </is>
      </c>
      <c r="B65" t="inlineStr">
        <is>
          <t>Kab. Tulungagung</t>
        </is>
      </c>
      <c r="C65" t="inlineStr">
        <is>
          <t>081216692226</t>
        </is>
      </c>
      <c r="D65" t="inlineStr">
        <is>
          <t>cverlangga.er@gmail.com</t>
        </is>
      </c>
      <c r="E65" t="inlineStr">
        <is>
          <t>https://lpjk.pu.go.id/search-badan-usaha-detail/WEtLeWFrZ1QzdDhERnNacXpUaWJWQT09</t>
        </is>
      </c>
      <c r="F65" t="n">
        <v>1</v>
      </c>
      <c r="G65" t="inlineStr">
        <is>
          <t>BG005</t>
        </is>
      </c>
      <c r="H65" t="inlineStr">
        <is>
          <t>22 Juni 2012</t>
        </is>
      </c>
      <c r="I65" s="2" t="n">
        <v>46233</v>
      </c>
      <c r="J65" t="inlineStr">
        <is>
          <t>Disetujui</t>
        </is>
      </c>
      <c r="K65" t="n">
        <v>30</v>
      </c>
      <c r="L65" t="inlineStr">
        <is>
          <t>30 Juli 2026</t>
        </is>
      </c>
      <c r="M65" t="inlineStr">
        <is>
          <t>Konstruksi Gedung Kesehatan</t>
        </is>
      </c>
      <c r="N65" t="inlineStr">
        <is>
          <t>K</t>
        </is>
      </c>
      <c r="O65" t="inlineStr">
        <is>
          <t>20230729</t>
        </is>
      </c>
      <c r="P65" t="inlineStr">
        <is>
          <t>Jawa Timur</t>
        </is>
      </c>
      <c r="Q65" t="inlineStr"/>
    </row>
    <row r="66">
      <c r="A66" t="inlineStr">
        <is>
          <t>FAJAR JAYA</t>
        </is>
      </c>
      <c r="B66" t="inlineStr">
        <is>
          <t>Kota Ambon</t>
        </is>
      </c>
      <c r="C66" t="inlineStr">
        <is>
          <t>082238986906</t>
        </is>
      </c>
      <c r="D66" t="inlineStr">
        <is>
          <t>Fajarjaya032022@gmail.com</t>
        </is>
      </c>
      <c r="E66" t="inlineStr">
        <is>
          <t>https://lpjk.pu.go.id/search-badan-usaha-detail/SC9hZ0tCR0svOE9oNXZjNnlYUG5QZz09</t>
        </is>
      </c>
      <c r="F66" t="n">
        <v>1</v>
      </c>
      <c r="G66" t="inlineStr">
        <is>
          <t>BG009</t>
        </is>
      </c>
      <c r="H66" t="inlineStr">
        <is>
          <t>7 September 2004</t>
        </is>
      </c>
      <c r="I66" s="2" t="n">
        <v>46233</v>
      </c>
      <c r="J66" t="inlineStr">
        <is>
          <t>Disetujui</t>
        </is>
      </c>
      <c r="K66" t="n">
        <v>30</v>
      </c>
      <c r="L66" t="inlineStr">
        <is>
          <t>30 Juli 2026</t>
        </is>
      </c>
      <c r="M66" t="inlineStr">
        <is>
          <t>Konstruksi Gedung Lainnya</t>
        </is>
      </c>
      <c r="N66" t="inlineStr">
        <is>
          <t>K</t>
        </is>
      </c>
      <c r="O66" t="inlineStr">
        <is>
          <t>20230728</t>
        </is>
      </c>
      <c r="P66" t="inlineStr">
        <is>
          <t>Maluku</t>
        </is>
      </c>
      <c r="Q66" t="inlineStr"/>
    </row>
    <row r="67">
      <c r="A67" t="inlineStr">
        <is>
          <t>FAUZAN JAYA TEKNIK</t>
        </is>
      </c>
      <c r="B67" t="inlineStr">
        <is>
          <t>Kab. Pangkajene Kepulauan</t>
        </is>
      </c>
      <c r="C67" t="inlineStr">
        <is>
          <t>081241696677</t>
        </is>
      </c>
      <c r="D67" t="inlineStr">
        <is>
          <t>fauzanjayateknik@gmail.com</t>
        </is>
      </c>
      <c r="E67" t="inlineStr">
        <is>
          <t>https://lpjk.pu.go.id/search-badan-usaha-detail/Z1c3bkhaY2J5ZThGZGNDZHlDWXFBQT09</t>
        </is>
      </c>
      <c r="F67" t="n">
        <v>2</v>
      </c>
      <c r="G67" t="inlineStr">
        <is>
          <t>IN001</t>
        </is>
      </c>
      <c r="H67" t="inlineStr">
        <is>
          <t>15 Maret 2016</t>
        </is>
      </c>
      <c r="I67" s="2" t="n">
        <v>46233</v>
      </c>
      <c r="J67" t="inlineStr">
        <is>
          <t>Pembekuan</t>
        </is>
      </c>
      <c r="K67" t="n">
        <v>30</v>
      </c>
      <c r="L67" t="inlineStr">
        <is>
          <t>30 Juli 2026</t>
        </is>
      </c>
      <c r="M67" t="inlineStr">
        <is>
          <t>Instalasi Mekanikal</t>
        </is>
      </c>
      <c r="N67" t="inlineStr">
        <is>
          <t>Spesialis</t>
        </is>
      </c>
      <c r="O67" t="inlineStr">
        <is>
          <t>20230727</t>
        </is>
      </c>
      <c r="P67" t="inlineStr">
        <is>
          <t>Sulawesi Selatan</t>
        </is>
      </c>
      <c r="Q67" t="inlineStr"/>
    </row>
    <row r="68">
      <c r="A68" t="inlineStr">
        <is>
          <t>GADING KENCONO EMAS</t>
        </is>
      </c>
      <c r="B68" t="inlineStr">
        <is>
          <t>Kab. Kutai Barat</t>
        </is>
      </c>
      <c r="C68" t="inlineStr">
        <is>
          <t>-</t>
        </is>
      </c>
      <c r="D68" t="inlineStr">
        <is>
          <t>gadingkenconoemas@gmail.com</t>
        </is>
      </c>
      <c r="E68" t="inlineStr">
        <is>
          <t>https://lpjk.pu.go.id/search-badan-usaha-detail/ZWFldTdxMS9LRUF0SmhvMFhoMEoxUT09</t>
        </is>
      </c>
      <c r="F68" t="n">
        <v>1</v>
      </c>
      <c r="G68" t="inlineStr">
        <is>
          <t>BG001</t>
        </is>
      </c>
      <c r="H68" t="inlineStr">
        <is>
          <t>14 Januari 2016</t>
        </is>
      </c>
      <c r="I68" s="2" t="n">
        <v>46233</v>
      </c>
      <c r="J68" t="inlineStr">
        <is>
          <t>Disetujui</t>
        </is>
      </c>
      <c r="K68" t="n">
        <v>30</v>
      </c>
      <c r="L68" t="inlineStr">
        <is>
          <t>30 Juli 2026</t>
        </is>
      </c>
      <c r="M68" t="inlineStr">
        <is>
          <t>Konstruksi Gedung Hunian</t>
        </is>
      </c>
      <c r="N68" t="inlineStr">
        <is>
          <t>K</t>
        </is>
      </c>
      <c r="O68" t="inlineStr">
        <is>
          <t>20230731</t>
        </is>
      </c>
      <c r="P68" t="inlineStr">
        <is>
          <t>Kalimantan Timur</t>
        </is>
      </c>
      <c r="Q68" t="inlineStr"/>
    </row>
    <row r="69">
      <c r="A69" t="inlineStr">
        <is>
          <t>GANISHA DWI UTAMA</t>
        </is>
      </c>
      <c r="B69" t="inlineStr">
        <is>
          <t>Kota Palangkaraya</t>
        </is>
      </c>
      <c r="C69" t="inlineStr">
        <is>
          <t>08115234510</t>
        </is>
      </c>
      <c r="D69" t="inlineStr">
        <is>
          <t>ganishadwiutama@gmail.com</t>
        </is>
      </c>
      <c r="E69" t="inlineStr">
        <is>
          <t>https://lpjk.pu.go.id/search-badan-usaha-detail/SUJ0anZTbzZHdWdOQ0lsajJIRWt4UT09</t>
        </is>
      </c>
      <c r="F69" t="n">
        <v>2</v>
      </c>
      <c r="G69" t="inlineStr">
        <is>
          <t>BS001, BS002</t>
        </is>
      </c>
      <c r="H69" t="inlineStr">
        <is>
          <t>24 Mei 2007</t>
        </is>
      </c>
      <c r="I69" s="2" t="n">
        <v>46233</v>
      </c>
      <c r="J69" t="inlineStr">
        <is>
          <t>Disetujui</t>
        </is>
      </c>
      <c r="K69" t="n">
        <v>30</v>
      </c>
      <c r="L69" t="inlineStr">
        <is>
          <t>30 Juli 2026</t>
        </is>
      </c>
      <c r="M69" t="inlineStr">
        <is>
          <t>Bangunan Sipil Jembatan, Jalan Layang, Fly Over, dan Underpass, Konstruksi Bangunan Sipil Jalan</t>
        </is>
      </c>
      <c r="N69" t="inlineStr">
        <is>
          <t>M</t>
        </is>
      </c>
      <c r="O69" t="inlineStr">
        <is>
          <t>20230609, 20230623</t>
        </is>
      </c>
      <c r="P69" t="inlineStr">
        <is>
          <t>Kalimantan Tengah</t>
        </is>
      </c>
      <c r="Q69" t="inlineStr"/>
    </row>
    <row r="70">
      <c r="A70" t="inlineStr">
        <is>
          <t>GARDU JAYA</t>
        </is>
      </c>
      <c r="B70" t="inlineStr">
        <is>
          <t>Kab. Majalengka</t>
        </is>
      </c>
      <c r="C70" t="inlineStr">
        <is>
          <t>082295834224</t>
        </is>
      </c>
      <c r="D70" t="inlineStr">
        <is>
          <t>jajasukarjana0489@gmail.com</t>
        </is>
      </c>
      <c r="E70" t="inlineStr">
        <is>
          <t>https://lpjk.pu.go.id/search-badan-usaha-detail/Q1A5ZCt4VUtDWWpwVnFpU0h6cm9iZz09</t>
        </is>
      </c>
      <c r="F70" t="n">
        <v>1</v>
      </c>
      <c r="G70" t="inlineStr">
        <is>
          <t>BS001</t>
        </is>
      </c>
      <c r="H70" t="inlineStr">
        <is>
          <t>6 Juli 2018</t>
        </is>
      </c>
      <c r="I70" s="2" t="n">
        <v>46233</v>
      </c>
      <c r="J70" t="inlineStr">
        <is>
          <t>Disetujui</t>
        </is>
      </c>
      <c r="K70" t="n">
        <v>30</v>
      </c>
      <c r="L70" t="inlineStr">
        <is>
          <t>30 Juli 2026</t>
        </is>
      </c>
      <c r="M70" t="inlineStr">
        <is>
          <t>Konstruksi Bangunan Sipil Jalan</t>
        </is>
      </c>
      <c r="N70" t="inlineStr">
        <is>
          <t>K</t>
        </is>
      </c>
      <c r="O70" t="inlineStr">
        <is>
          <t>20230724</t>
        </is>
      </c>
      <c r="P70" t="inlineStr">
        <is>
          <t>Jawa Barat</t>
        </is>
      </c>
      <c r="Q70" t="inlineStr"/>
    </row>
    <row r="71">
      <c r="A71" t="inlineStr">
        <is>
          <t>GUMILAR</t>
        </is>
      </c>
      <c r="B71" t="inlineStr">
        <is>
          <t>Kab. Indramayu</t>
        </is>
      </c>
      <c r="C71" t="inlineStr">
        <is>
          <t>085222999158</t>
        </is>
      </c>
      <c r="D71" t="inlineStr">
        <is>
          <t>cv.gumilar72@gmail.com</t>
        </is>
      </c>
      <c r="E71" t="inlineStr">
        <is>
          <t>https://lpjk.pu.go.id/search-badan-usaha-detail/dStiK3YxRGZIZnFNZWY0bHMzcmJiZz09</t>
        </is>
      </c>
      <c r="F71" t="n">
        <v>1</v>
      </c>
      <c r="G71" t="inlineStr">
        <is>
          <t>BS002</t>
        </is>
      </c>
      <c r="H71" t="inlineStr">
        <is>
          <t>7 Agustus 2001</t>
        </is>
      </c>
      <c r="I71" s="2" t="n">
        <v>46233</v>
      </c>
      <c r="J71" t="inlineStr">
        <is>
          <t>Disetujui</t>
        </is>
      </c>
      <c r="K71" t="n">
        <v>30</v>
      </c>
      <c r="L71" t="inlineStr">
        <is>
          <t>30 Juli 2026</t>
        </is>
      </c>
      <c r="M71" t="inlineStr">
        <is>
          <t>Bangunan Sipil Jembatan, Jalan Layang, Fly Over, dan Underpass</t>
        </is>
      </c>
      <c r="N71" t="inlineStr">
        <is>
          <t>K</t>
        </is>
      </c>
      <c r="O71" t="inlineStr">
        <is>
          <t>20230726</t>
        </is>
      </c>
      <c r="P71" t="inlineStr">
        <is>
          <t>Jawa Barat</t>
        </is>
      </c>
      <c r="Q71" t="inlineStr"/>
    </row>
    <row r="72">
      <c r="A72" t="inlineStr">
        <is>
          <t>GUNUNG BROMO</t>
        </is>
      </c>
      <c r="B72" t="inlineStr">
        <is>
          <t>Kab. Probolinggo</t>
        </is>
      </c>
      <c r="C72" t="inlineStr">
        <is>
          <t>082143927727</t>
        </is>
      </c>
      <c r="D72" t="inlineStr">
        <is>
          <t>cv.gunung_bromo@yahoo.com</t>
        </is>
      </c>
      <c r="E72" t="inlineStr">
        <is>
          <t>https://lpjk.pu.go.id/search-badan-usaha-detail/Wlp2QW8xSE5nU09WM1RULzdybWRodz09</t>
        </is>
      </c>
      <c r="F72" t="n">
        <v>2</v>
      </c>
      <c r="G72" t="inlineStr">
        <is>
          <t>BS002, BS005</t>
        </is>
      </c>
      <c r="H72" t="inlineStr">
        <is>
          <t>7 November 1987</t>
        </is>
      </c>
      <c r="I72" s="2" t="n">
        <v>46233</v>
      </c>
      <c r="J72" t="inlineStr">
        <is>
          <t>Pencabutan</t>
        </is>
      </c>
      <c r="K72" t="n">
        <v>30</v>
      </c>
      <c r="L72" t="inlineStr">
        <is>
          <t>30 Juli 2026</t>
        </is>
      </c>
      <c r="M72" t="inlineStr">
        <is>
          <t>Bangunan Sipil Jembatan, Jalan Layang, Fly Over, dan Underpass, Konstruksi Bangunan Sipil Pengolahan Air Bersih</t>
        </is>
      </c>
      <c r="N72" t="inlineStr">
        <is>
          <t>K</t>
        </is>
      </c>
      <c r="O72" t="inlineStr">
        <is>
          <t>20230730</t>
        </is>
      </c>
      <c r="P72" t="inlineStr">
        <is>
          <t>Jawa Timur</t>
        </is>
      </c>
      <c r="Q72" t="inlineStr"/>
    </row>
    <row r="73">
      <c r="A73" t="inlineStr">
        <is>
          <t>HABIBI HABIBAH</t>
        </is>
      </c>
      <c r="B73" t="inlineStr">
        <is>
          <t>Kab. Asahan</t>
        </is>
      </c>
      <c r="C73" t="inlineStr">
        <is>
          <t>081260199262</t>
        </is>
      </c>
      <c r="D73" t="inlineStr">
        <is>
          <t>cvhabibihabibah318@gmail.com</t>
        </is>
      </c>
      <c r="E73" t="inlineStr">
        <is>
          <t>https://lpjk.pu.go.id/search-badan-usaha-detail/eS95RUFtUGx6MmpiaVhRdFZxcXU4UT09</t>
        </is>
      </c>
      <c r="F73" t="n">
        <v>1</v>
      </c>
      <c r="G73" t="inlineStr">
        <is>
          <t>BS004</t>
        </is>
      </c>
      <c r="H73" t="inlineStr">
        <is>
          <t>4 Januari 2018</t>
        </is>
      </c>
      <c r="I73" s="2" t="n">
        <v>46233</v>
      </c>
      <c r="J73" t="inlineStr">
        <is>
          <t>Disetujui</t>
        </is>
      </c>
      <c r="K73" t="n">
        <v>30</v>
      </c>
      <c r="L73" t="inlineStr">
        <is>
          <t>30 Juli 2026</t>
        </is>
      </c>
      <c r="M73" t="inlineStr">
        <is>
          <t>Konstruksi Jaringan Irigasi dan Drainase</t>
        </is>
      </c>
      <c r="N73" t="inlineStr">
        <is>
          <t>K</t>
        </is>
      </c>
      <c r="O73" t="inlineStr">
        <is>
          <t>20230729</t>
        </is>
      </c>
      <c r="P73" t="inlineStr">
        <is>
          <t>Sumatera Utara</t>
        </is>
      </c>
      <c r="Q73" t="inlineStr"/>
    </row>
    <row r="74">
      <c r="A74" t="inlineStr">
        <is>
          <t>HARAPAN BARU</t>
        </is>
      </c>
      <c r="B74" t="inlineStr">
        <is>
          <t>Kab. Biak Numfor</t>
        </is>
      </c>
      <c r="C74" t="inlineStr">
        <is>
          <t>081248148727</t>
        </is>
      </c>
      <c r="D74" t="inlineStr">
        <is>
          <t>cv.harapanbarubiak@gmail.com</t>
        </is>
      </c>
      <c r="E74" t="inlineStr">
        <is>
          <t>https://lpjk.pu.go.id/search-badan-usaha-detail/Z3Jpc244R1BxWGhLYmhTVFlXTWMyQT09</t>
        </is>
      </c>
      <c r="F74" t="n">
        <v>6</v>
      </c>
      <c r="G74" t="inlineStr">
        <is>
          <t>BG002, BG005, BG006</t>
        </is>
      </c>
      <c r="H74" t="inlineStr">
        <is>
          <t>18 Desember 1990</t>
        </is>
      </c>
      <c r="I74" s="2" t="n">
        <v>46233</v>
      </c>
      <c r="J74" t="inlineStr">
        <is>
          <t>Disetujui</t>
        </is>
      </c>
      <c r="K74" t="n">
        <v>30</v>
      </c>
      <c r="L74" t="inlineStr">
        <is>
          <t>30 Juli 2026</t>
        </is>
      </c>
      <c r="M74" t="inlineStr">
        <is>
          <t>Konstruksi Gedung Kesehatan, Konstruksi Gedung Pendidikan, Konstruksi Gedung Perkantoran</t>
        </is>
      </c>
      <c r="N74" t="inlineStr">
        <is>
          <t>K</t>
        </is>
      </c>
      <c r="O74" t="inlineStr">
        <is>
          <t>20230730</t>
        </is>
      </c>
      <c r="P74" t="inlineStr">
        <is>
          <t>Papua</t>
        </is>
      </c>
      <c r="Q74" t="inlineStr"/>
    </row>
    <row r="75">
      <c r="A75" t="inlineStr">
        <is>
          <t>INDO BORNEO PRATAMA</t>
        </is>
      </c>
      <c r="B75" t="inlineStr">
        <is>
          <t>Kab. Tapin</t>
        </is>
      </c>
      <c r="C75" t="inlineStr">
        <is>
          <t>081251254647</t>
        </is>
      </c>
      <c r="D75" t="inlineStr">
        <is>
          <t>cv.indoborneopratama@gmail.com</t>
        </is>
      </c>
      <c r="E75" t="inlineStr">
        <is>
          <t>https://lpjk.pu.go.id/search-badan-usaha-detail/UGF0cHdUZTRuc0NBSzk1enJaRXc2QT09</t>
        </is>
      </c>
      <c r="F75" t="n">
        <v>2</v>
      </c>
      <c r="G75" t="inlineStr">
        <is>
          <t>BG009, BS004</t>
        </is>
      </c>
      <c r="H75" t="inlineStr">
        <is>
          <t>25 Januari 2010</t>
        </is>
      </c>
      <c r="I75" s="2" t="n">
        <v>46233</v>
      </c>
      <c r="J75" t="inlineStr">
        <is>
          <t>Disetujui, Pencabutan</t>
        </is>
      </c>
      <c r="K75" t="n">
        <v>30</v>
      </c>
      <c r="L75" t="inlineStr">
        <is>
          <t>30 Juli 2026</t>
        </is>
      </c>
      <c r="M75" t="inlineStr">
        <is>
          <t>Konstruksi Gedung Lainnya, Konstruksi Jaringan Irigasi dan Drainase</t>
        </is>
      </c>
      <c r="N75" t="inlineStr">
        <is>
          <t>K</t>
        </is>
      </c>
      <c r="O75" t="inlineStr">
        <is>
          <t>20230626, 20230721</t>
        </is>
      </c>
      <c r="P75" t="inlineStr">
        <is>
          <t>Kalimantan Selatan</t>
        </is>
      </c>
      <c r="Q75" t="inlineStr"/>
    </row>
    <row r="76">
      <c r="A76" t="inlineStr">
        <is>
          <t>INDOPUTRA ADIPERSADA SENTOSA</t>
        </is>
      </c>
      <c r="B76" t="inlineStr">
        <is>
          <t>Kab. Tangerang</t>
        </is>
      </c>
      <c r="C76" t="inlineStr">
        <is>
          <t>02154205237</t>
        </is>
      </c>
      <c r="D76" t="inlineStr">
        <is>
          <t>haryadikurniawang@yahoo.com</t>
        </is>
      </c>
      <c r="E76" t="inlineStr">
        <is>
          <t>https://lpjk.pu.go.id/search-badan-usaha-detail/VFBPOUNYOXNxb2tqZXp5aEFwSEEwQT09</t>
        </is>
      </c>
      <c r="F76" t="n">
        <v>1</v>
      </c>
      <c r="G76" t="inlineStr">
        <is>
          <t>BG001</t>
        </is>
      </c>
      <c r="H76" t="inlineStr">
        <is>
          <t>6 Juni 2003</t>
        </is>
      </c>
      <c r="I76" s="2" t="n">
        <v>46233</v>
      </c>
      <c r="J76" t="inlineStr">
        <is>
          <t>Disetujui</t>
        </is>
      </c>
      <c r="K76" t="n">
        <v>30</v>
      </c>
      <c r="L76" t="inlineStr">
        <is>
          <t>30 Juli 2026</t>
        </is>
      </c>
      <c r="M76" t="inlineStr">
        <is>
          <t>Konstruksi Gedung Hunian</t>
        </is>
      </c>
      <c r="N76" t="inlineStr">
        <is>
          <t>K</t>
        </is>
      </c>
      <c r="O76" t="inlineStr">
        <is>
          <t>20230728</t>
        </is>
      </c>
      <c r="P76" t="inlineStr">
        <is>
          <t>Banten</t>
        </is>
      </c>
      <c r="Q76" t="inlineStr"/>
    </row>
    <row r="77">
      <c r="A77" t="inlineStr">
        <is>
          <t>INTAN MEGA PERKASA</t>
        </is>
      </c>
      <c r="B77" t="inlineStr">
        <is>
          <t>Kota Bontang</t>
        </is>
      </c>
      <c r="C77" t="inlineStr">
        <is>
          <t>085250995557</t>
        </is>
      </c>
      <c r="D77" t="inlineStr">
        <is>
          <t>intanmegaperkasa88@gmail.com</t>
        </is>
      </c>
      <c r="E77" t="inlineStr">
        <is>
          <t>https://lpjk.pu.go.id/search-badan-usaha-detail/dlNVSUo5Q0dwOE42VWwzZThhdGtWdz09</t>
        </is>
      </c>
      <c r="F77" t="n">
        <v>2</v>
      </c>
      <c r="G77" t="inlineStr">
        <is>
          <t>BS001, BS004</t>
        </is>
      </c>
      <c r="H77" t="inlineStr">
        <is>
          <t>26 Januari 2023</t>
        </is>
      </c>
      <c r="I77" s="2" t="n">
        <v>46233</v>
      </c>
      <c r="J77" t="inlineStr">
        <is>
          <t>Disetujui</t>
        </is>
      </c>
      <c r="K77" t="n">
        <v>30</v>
      </c>
      <c r="L77" t="inlineStr">
        <is>
          <t>30 Juli 2026</t>
        </is>
      </c>
      <c r="M77" t="inlineStr">
        <is>
          <t>Konstruksi Bangunan Sipil Jalan, Konstruksi Jaringan Irigasi dan Drainase</t>
        </is>
      </c>
      <c r="N77" t="inlineStr">
        <is>
          <t>K</t>
        </is>
      </c>
      <c r="O77" t="inlineStr">
        <is>
          <t>20230729</t>
        </is>
      </c>
      <c r="P77" t="inlineStr">
        <is>
          <t>Kalimantan Timur</t>
        </is>
      </c>
      <c r="Q77" t="inlineStr"/>
    </row>
    <row r="78">
      <c r="A78" t="inlineStr">
        <is>
          <t>ISTIQOMAH</t>
        </is>
      </c>
      <c r="B78" t="inlineStr">
        <is>
          <t>Kab. Hulu Sungai Tengah</t>
        </is>
      </c>
      <c r="C78" t="inlineStr">
        <is>
          <t>085250005025</t>
        </is>
      </c>
      <c r="D78" t="inlineStr">
        <is>
          <t>cv.istiqomah2016@gmail.com</t>
        </is>
      </c>
      <c r="E78" t="inlineStr">
        <is>
          <t>https://lpjk.pu.go.id/search-badan-usaha-detail/WVpNVjJsOUdhWnFxY2dkdjIxblNwZz09</t>
        </is>
      </c>
      <c r="F78" t="n">
        <v>2</v>
      </c>
      <c r="G78" t="inlineStr">
        <is>
          <t>BS002</t>
        </is>
      </c>
      <c r="H78" t="inlineStr">
        <is>
          <t>31 Mei 1980</t>
        </is>
      </c>
      <c r="I78" s="2" t="n">
        <v>46233</v>
      </c>
      <c r="J78" t="inlineStr">
        <is>
          <t>Disetujui</t>
        </is>
      </c>
      <c r="K78" t="n">
        <v>30</v>
      </c>
      <c r="L78" t="inlineStr">
        <is>
          <t>30 Juli 2026</t>
        </is>
      </c>
      <c r="M78" t="inlineStr">
        <is>
          <t>Bangunan Sipil Jembatan, Jalan Layang, Fly Over, dan Underpass</t>
        </is>
      </c>
      <c r="N78" t="inlineStr">
        <is>
          <t>K</t>
        </is>
      </c>
      <c r="O78" t="inlineStr">
        <is>
          <t>20230121</t>
        </is>
      </c>
      <c r="P78" t="inlineStr">
        <is>
          <t>Kalimantan Selatan</t>
        </is>
      </c>
      <c r="Q78" t="inlineStr"/>
    </row>
    <row r="79">
      <c r="A79" t="inlineStr">
        <is>
          <t>JANGKAR SEJATI UTAMA</t>
        </is>
      </c>
      <c r="B79" t="inlineStr">
        <is>
          <t>Kab. Tabanan</t>
        </is>
      </c>
      <c r="C79" t="inlineStr">
        <is>
          <t>0361420873</t>
        </is>
      </c>
      <c r="D79" t="inlineStr">
        <is>
          <t>pt.jangkar@gmail.com</t>
        </is>
      </c>
      <c r="E79" t="inlineStr">
        <is>
          <t>https://lpjk.pu.go.id/search-badan-usaha-detail/aXFaZHp5YnhZaVpYTWh4TTFmZWdLRzlaSjBZeWNldDNrZlpwbzFzZy9HRT0</t>
        </is>
      </c>
      <c r="F79" t="n">
        <v>1</v>
      </c>
      <c r="G79" t="inlineStr">
        <is>
          <t>BS010</t>
        </is>
      </c>
      <c r="H79" t="inlineStr">
        <is>
          <t>17 Februari 2022</t>
        </is>
      </c>
      <c r="I79" s="2" t="n">
        <v>46233</v>
      </c>
      <c r="J79" t="inlineStr">
        <is>
          <t>Disetujui</t>
        </is>
      </c>
      <c r="K79" t="n">
        <v>30</v>
      </c>
      <c r="L79" t="inlineStr">
        <is>
          <t>30 Juli 2026</t>
        </is>
      </c>
      <c r="M79" t="inlineStr">
        <is>
          <t>Konstruksi Bangunan Prasarana Sumber Daya Air</t>
        </is>
      </c>
      <c r="N79" t="inlineStr">
        <is>
          <t>M</t>
        </is>
      </c>
      <c r="O79" t="inlineStr">
        <is>
          <t>20230725</t>
        </is>
      </c>
      <c r="P79" t="inlineStr">
        <is>
          <t>Bali</t>
        </is>
      </c>
      <c r="Q79" t="inlineStr"/>
    </row>
    <row r="80">
      <c r="A80" t="inlineStr">
        <is>
          <t>JASA INTI PERSADA</t>
        </is>
      </c>
      <c r="B80" t="inlineStr">
        <is>
          <t>Kab. Lombok Barat</t>
        </is>
      </c>
      <c r="C80" t="inlineStr">
        <is>
          <t>087865610050</t>
        </is>
      </c>
      <c r="D80" t="inlineStr">
        <is>
          <t>halimjasainti@yahoo.co.id</t>
        </is>
      </c>
      <c r="E80" t="inlineStr">
        <is>
          <t>https://lpjk.pu.go.id/search-badan-usaha-detail/Y2NNY2Rsd0pFRTFLL0V3ejRJUjViQT09</t>
        </is>
      </c>
      <c r="F80" t="n">
        <v>1</v>
      </c>
      <c r="G80" t="inlineStr">
        <is>
          <t>RK003</t>
        </is>
      </c>
      <c r="H80" t="inlineStr">
        <is>
          <t>26 April 2001</t>
        </is>
      </c>
      <c r="I80" s="2" t="n">
        <v>46233</v>
      </c>
      <c r="J80" t="inlineStr">
        <is>
          <t>Disetujui</t>
        </is>
      </c>
      <c r="K80" t="n">
        <v>30</v>
      </c>
      <c r="L80" t="inlineStr">
        <is>
          <t>30 Juli 2026</t>
        </is>
      </c>
      <c r="M80" t="inlineStr">
        <is>
          <t>Jasa Rekayasa Pekerjaan Teknik Sipil Transportasi</t>
        </is>
      </c>
      <c r="N80" t="inlineStr">
        <is>
          <t>K</t>
        </is>
      </c>
      <c r="O80" t="inlineStr">
        <is>
          <t>20230711</t>
        </is>
      </c>
      <c r="P80" t="inlineStr">
        <is>
          <t>Nusa Tenggara Barat</t>
        </is>
      </c>
      <c r="Q80" t="inlineStr"/>
    </row>
    <row r="81">
      <c r="A81" t="inlineStr">
        <is>
          <t>JATI TEHNIK</t>
        </is>
      </c>
      <c r="B81" t="inlineStr">
        <is>
          <t>Kota Adm. Jakarta Selatan</t>
        </is>
      </c>
      <c r="C81" t="inlineStr">
        <is>
          <t>02173880801</t>
        </is>
      </c>
      <c r="D81" t="inlineStr">
        <is>
          <t>jatitehnikpt@yahoo.co.id</t>
        </is>
      </c>
      <c r="E81" t="inlineStr">
        <is>
          <t>https://lpjk.pu.go.id/search-badan-usaha-detail/d0dadUpibzFIeTJQYkhPSlFBN1o3QT09</t>
        </is>
      </c>
      <c r="F81" t="n">
        <v>1</v>
      </c>
      <c r="G81" t="inlineStr">
        <is>
          <t>BS007</t>
        </is>
      </c>
      <c r="H81" t="inlineStr">
        <is>
          <t>6 Juni 2008</t>
        </is>
      </c>
      <c r="I81" s="2" t="n">
        <v>46233</v>
      </c>
      <c r="J81" t="inlineStr">
        <is>
          <t>Disetujui</t>
        </is>
      </c>
      <c r="K81" t="n">
        <v>30</v>
      </c>
      <c r="L81" t="inlineStr">
        <is>
          <t>30 Juli 2026</t>
        </is>
      </c>
      <c r="M81" t="inlineStr">
        <is>
          <t>Konstruksi Bangunan Sipil Elektrikal</t>
        </is>
      </c>
      <c r="N81" t="inlineStr">
        <is>
          <t>K</t>
        </is>
      </c>
      <c r="O81" t="inlineStr">
        <is>
          <t>20230727</t>
        </is>
      </c>
      <c r="P81" t="inlineStr">
        <is>
          <t>DKI Jakarta</t>
        </is>
      </c>
      <c r="Q81" t="inlineStr"/>
    </row>
    <row r="82">
      <c r="A82" t="inlineStr">
        <is>
          <t>JAYA KARYA INTEGRASI</t>
        </is>
      </c>
      <c r="B82" t="inlineStr">
        <is>
          <t>Kota Adm. Jakarta Barat</t>
        </is>
      </c>
      <c r="C82" t="inlineStr">
        <is>
          <t>02129034266</t>
        </is>
      </c>
      <c r="D82" t="inlineStr">
        <is>
          <t>jayakaryaintegrasi@gmail.com</t>
        </is>
      </c>
      <c r="E82" t="inlineStr">
        <is>
          <t>https://lpjk.pu.go.id/search-badan-usaha-detail/L1N6N2owZWtmaTBIeFBPQU5YdU1Odz09</t>
        </is>
      </c>
      <c r="F82" t="n">
        <v>2</v>
      </c>
      <c r="G82" t="inlineStr">
        <is>
          <t>RT002, RT003</t>
        </is>
      </c>
      <c r="H82" t="inlineStr">
        <is>
          <t>1 Januari 2018</t>
        </is>
      </c>
      <c r="I82" s="2" t="n">
        <v>46233</v>
      </c>
      <c r="J82" t="inlineStr">
        <is>
          <t>Disetujui</t>
        </is>
      </c>
      <c r="K82" t="n">
        <v>30</v>
      </c>
      <c r="L82" t="inlineStr">
        <is>
          <t>30 Juli 2026</t>
        </is>
      </c>
      <c r="M82" t="inlineStr">
        <is>
          <t>Jasa Rekayasa Konstruksi Pembangkit, Jaringan Transmisi, Gardu Induk, dan Distribusi Tenaga Listrik, Jasa Rekayasa Konstruksi Proses Industrial, Produksi, dan Fasilitas Produksi</t>
        </is>
      </c>
      <c r="N82" t="inlineStr">
        <is>
          <t>K</t>
        </is>
      </c>
      <c r="O82" t="inlineStr">
        <is>
          <t>20230715</t>
        </is>
      </c>
      <c r="P82" t="inlineStr">
        <is>
          <t>DKI Jakarta</t>
        </is>
      </c>
      <c r="Q82" t="inlineStr"/>
    </row>
    <row r="83">
      <c r="A83" t="inlineStr">
        <is>
          <t>KALIJATI PERMAI</t>
        </is>
      </c>
      <c r="B83" t="inlineStr">
        <is>
          <t>Kab. Sanggau</t>
        </is>
      </c>
      <c r="C83" t="inlineStr">
        <is>
          <t>08125660350</t>
        </is>
      </c>
      <c r="D83" t="inlineStr">
        <is>
          <t>cvkalijatipermai1971@gmail.com</t>
        </is>
      </c>
      <c r="E83" t="inlineStr">
        <is>
          <t>https://lpjk.pu.go.id/search-badan-usaha-detail/RHJhdjI4NUgrcXhKT2lYTEI4bm1zUT09</t>
        </is>
      </c>
      <c r="F83" t="n">
        <v>5</v>
      </c>
      <c r="G83" t="inlineStr">
        <is>
          <t>BG005, BG006, BG009, BS001, BS004</t>
        </is>
      </c>
      <c r="H83" t="inlineStr">
        <is>
          <t>23 Oktober 1991</t>
        </is>
      </c>
      <c r="I83" s="2" t="n">
        <v>46233</v>
      </c>
      <c r="J83" t="inlineStr">
        <is>
          <t>Disetujui</t>
        </is>
      </c>
      <c r="K83" t="n">
        <v>30</v>
      </c>
      <c r="L83" t="inlineStr">
        <is>
          <t>30 Juli 2026</t>
        </is>
      </c>
      <c r="M83" t="inlineStr">
        <is>
          <t>Konstruksi Bangunan Sipil Jalan, Konstruksi Gedung Kesehatan, Konstruksi Gedung Lainnya, Konstruksi Gedung Pendidikan, Konstruksi Jaringan Irigasi dan Drainase</t>
        </is>
      </c>
      <c r="N83" t="inlineStr">
        <is>
          <t>K</t>
        </is>
      </c>
      <c r="O83" t="inlineStr">
        <is>
          <t>20230726, 20230727</t>
        </is>
      </c>
      <c r="P83" t="inlineStr">
        <is>
          <t>Kalimantan Barat</t>
        </is>
      </c>
      <c r="Q83" t="inlineStr"/>
    </row>
    <row r="84">
      <c r="A84" t="inlineStr">
        <is>
          <t>KARYA AGUNG GUMILAR</t>
        </is>
      </c>
      <c r="B84" t="inlineStr">
        <is>
          <t>Kab. Indramayu</t>
        </is>
      </c>
      <c r="C84" t="inlineStr">
        <is>
          <t>02345744905</t>
        </is>
      </c>
      <c r="D84" t="inlineStr">
        <is>
          <t>cv.kag72@gmail.com</t>
        </is>
      </c>
      <c r="E84" t="inlineStr">
        <is>
          <t>https://lpjk.pu.go.id/search-badan-usaha-detail/QzhoTXJIUjdOOTNwSUVDdExsU1hqdz09</t>
        </is>
      </c>
      <c r="F84" t="n">
        <v>1</v>
      </c>
      <c r="G84" t="inlineStr">
        <is>
          <t>BG005</t>
        </is>
      </c>
      <c r="H84" t="inlineStr">
        <is>
          <t>4 April 2006</t>
        </is>
      </c>
      <c r="I84" s="2" t="n">
        <v>46233</v>
      </c>
      <c r="J84" t="inlineStr">
        <is>
          <t>Disetujui</t>
        </is>
      </c>
      <c r="K84" t="n">
        <v>30</v>
      </c>
      <c r="L84" t="inlineStr">
        <is>
          <t>30 Juli 2026</t>
        </is>
      </c>
      <c r="M84" t="inlineStr">
        <is>
          <t>Konstruksi Gedung Kesehatan</t>
        </is>
      </c>
      <c r="N84" t="inlineStr">
        <is>
          <t>K</t>
        </is>
      </c>
      <c r="O84" t="inlineStr">
        <is>
          <t>20230721</t>
        </is>
      </c>
      <c r="P84" t="inlineStr">
        <is>
          <t>Jawa Barat</t>
        </is>
      </c>
      <c r="Q84" t="inlineStr"/>
    </row>
    <row r="85">
      <c r="A85" t="inlineStr">
        <is>
          <t>KARYA BATARA</t>
        </is>
      </c>
      <c r="B85" t="inlineStr">
        <is>
          <t>Kab. Barito Utara</t>
        </is>
      </c>
      <c r="C85" t="inlineStr">
        <is>
          <t>081348445077</t>
        </is>
      </c>
      <c r="D85" t="inlineStr">
        <is>
          <t>cvkaryabatara@gmail.com</t>
        </is>
      </c>
      <c r="E85" t="inlineStr">
        <is>
          <t>https://lpjk.pu.go.id/search-badan-usaha-detail/Y3I0TFQvdXFwUDV0Wjl1c1RQNERvUT09</t>
        </is>
      </c>
      <c r="F85" t="n">
        <v>1</v>
      </c>
      <c r="G85" t="inlineStr">
        <is>
          <t>BS001</t>
        </is>
      </c>
      <c r="H85" t="inlineStr">
        <is>
          <t>26 Februari 2014</t>
        </is>
      </c>
      <c r="I85" s="2" t="n">
        <v>46233</v>
      </c>
      <c r="J85" t="inlineStr">
        <is>
          <t>Disetujui</t>
        </is>
      </c>
      <c r="K85" t="n">
        <v>30</v>
      </c>
      <c r="L85" t="inlineStr">
        <is>
          <t>30 Juli 2026</t>
        </is>
      </c>
      <c r="M85" t="inlineStr">
        <is>
          <t>Konstruksi Bangunan Sipil Jalan</t>
        </is>
      </c>
      <c r="N85" t="inlineStr">
        <is>
          <t>K</t>
        </is>
      </c>
      <c r="O85" t="inlineStr">
        <is>
          <t>20230725</t>
        </is>
      </c>
      <c r="P85" t="inlineStr">
        <is>
          <t>Kalimantan Tengah</t>
        </is>
      </c>
      <c r="Q85" t="inlineStr"/>
    </row>
    <row r="86">
      <c r="A86" t="inlineStr">
        <is>
          <t>KARYA BINTANG TIMUR</t>
        </is>
      </c>
      <c r="B86" t="inlineStr">
        <is>
          <t>Kab. Lamandau</t>
        </is>
      </c>
      <c r="C86" t="inlineStr">
        <is>
          <t>081251666966</t>
        </is>
      </c>
      <c r="D86" t="inlineStr">
        <is>
          <t>karyabintangtimur2023@gmail.com</t>
        </is>
      </c>
      <c r="E86" t="inlineStr">
        <is>
          <t>https://lpjk.pu.go.id/search-badan-usaha-detail/TFVKZThxTzd1ZGxjK09DRnJNbmt0Zz09</t>
        </is>
      </c>
      <c r="F86" t="n">
        <v>6</v>
      </c>
      <c r="G86" t="inlineStr">
        <is>
          <t>BG001, BG002, BG005, BG006, BG008, BG009</t>
        </is>
      </c>
      <c r="H86" t="inlineStr">
        <is>
          <t>13 Januari 2014</t>
        </is>
      </c>
      <c r="I86" s="2" t="n">
        <v>46233</v>
      </c>
      <c r="J86" t="inlineStr">
        <is>
          <t>Disetujui</t>
        </is>
      </c>
      <c r="K86" t="n">
        <v>30</v>
      </c>
      <c r="L86" t="inlineStr">
        <is>
          <t>30 Juli 2026</t>
        </is>
      </c>
      <c r="M86" t="inlineStr">
        <is>
          <t>Konstruksi Gedung Hunian, Konstruksi Gedung Kesehatan, Konstruksi Gedung Lainnya, Konstruksi Gedung Pendidikan, Konstruksi Gedung Perkantoran, Konstruksi Gedung Tempat Hiburan dan Olahraga</t>
        </is>
      </c>
      <c r="N86" t="inlineStr">
        <is>
          <t>K</t>
        </is>
      </c>
      <c r="O86" t="inlineStr">
        <is>
          <t>20230726</t>
        </is>
      </c>
      <c r="P86" t="inlineStr">
        <is>
          <t>Kalimantan Tengah</t>
        </is>
      </c>
      <c r="Q86" t="inlineStr"/>
    </row>
    <row r="87">
      <c r="A87" t="inlineStr">
        <is>
          <t>KARYA NIAGARA KONSULTAN</t>
        </is>
      </c>
      <c r="B87" t="inlineStr">
        <is>
          <t>Kota Sukabumi</t>
        </is>
      </c>
      <c r="C87" t="inlineStr">
        <is>
          <t>081298918154</t>
        </is>
      </c>
      <c r="D87" t="inlineStr">
        <is>
          <t>asepsidikmulyana17@gmail.com</t>
        </is>
      </c>
      <c r="E87" t="inlineStr">
        <is>
          <t>https://lpjk.pu.go.id/search-badan-usaha-detail/aWx2NSsxVGozYk0yRUVOUlhPVFdiUT09</t>
        </is>
      </c>
      <c r="F87" t="n">
        <v>1</v>
      </c>
      <c r="G87" t="inlineStr">
        <is>
          <t>RK001</t>
        </is>
      </c>
      <c r="H87" t="inlineStr">
        <is>
          <t>16 November 2012</t>
        </is>
      </c>
      <c r="I87" s="2" t="n">
        <v>46233</v>
      </c>
      <c r="J87" t="inlineStr">
        <is>
          <t>Disetujui</t>
        </is>
      </c>
      <c r="K87" t="n">
        <v>30</v>
      </c>
      <c r="L87" t="inlineStr">
        <is>
          <t>30 Juli 2026</t>
        </is>
      </c>
      <c r="M87" t="inlineStr">
        <is>
          <t>Jasa Rekayasa Konstruksi Bangunan Gedung Hunian dan Non Hunian</t>
        </is>
      </c>
      <c r="N87" t="inlineStr">
        <is>
          <t>K</t>
        </is>
      </c>
      <c r="O87" t="inlineStr">
        <is>
          <t>20230620</t>
        </is>
      </c>
      <c r="P87" t="inlineStr">
        <is>
          <t>Jawa Barat</t>
        </is>
      </c>
      <c r="Q87" t="inlineStr"/>
    </row>
    <row r="88">
      <c r="A88" t="inlineStr">
        <is>
          <t>KARYA TEKNIK PAPUA</t>
        </is>
      </c>
      <c r="B88" t="inlineStr">
        <is>
          <t>Kota Jayapura</t>
        </is>
      </c>
      <c r="C88" t="inlineStr">
        <is>
          <t>081344647979</t>
        </is>
      </c>
      <c r="D88" t="inlineStr">
        <is>
          <t>cv.ktp2014@gmail.com</t>
        </is>
      </c>
      <c r="E88" t="inlineStr">
        <is>
          <t>https://lpjk.pu.go.id/search-badan-usaha-detail/MHlMMUNsNDcxMjJtbC9ZV3BrTHcvUT09</t>
        </is>
      </c>
      <c r="F88" t="n">
        <v>1</v>
      </c>
      <c r="G88" t="inlineStr">
        <is>
          <t>BG008</t>
        </is>
      </c>
      <c r="H88" t="inlineStr">
        <is>
          <t>8 September 2014</t>
        </is>
      </c>
      <c r="I88" s="2" t="n">
        <v>46233</v>
      </c>
      <c r="J88" t="inlineStr">
        <is>
          <t>Disetujui</t>
        </is>
      </c>
      <c r="K88" t="n">
        <v>30</v>
      </c>
      <c r="L88" t="inlineStr">
        <is>
          <t>30 Juli 2026</t>
        </is>
      </c>
      <c r="M88" t="inlineStr">
        <is>
          <t>Konstruksi Gedung Tempat Hiburan dan Olahraga</t>
        </is>
      </c>
      <c r="N88" t="inlineStr">
        <is>
          <t>K</t>
        </is>
      </c>
      <c r="O88" t="inlineStr">
        <is>
          <t>20230726</t>
        </is>
      </c>
      <c r="P88" t="inlineStr">
        <is>
          <t>Papua</t>
        </is>
      </c>
      <c r="Q88" t="inlineStr"/>
    </row>
    <row r="89">
      <c r="A89" t="inlineStr">
        <is>
          <t>KELAPA LIMA KONSULTAN</t>
        </is>
      </c>
      <c r="B89" t="inlineStr">
        <is>
          <t>Kab. Jember</t>
        </is>
      </c>
      <c r="C89" t="inlineStr">
        <is>
          <t>085331469393</t>
        </is>
      </c>
      <c r="D89" t="inlineStr">
        <is>
          <t>kelapalima.konsultan2021@gmail.com</t>
        </is>
      </c>
      <c r="E89" t="inlineStr">
        <is>
          <t>https://lpjk.pu.go.id/search-badan-usaha-detail/UVROY2RibnQyTHdrTm5LdEZZbU5aUT09</t>
        </is>
      </c>
      <c r="F89" t="n">
        <v>1</v>
      </c>
      <c r="G89" t="inlineStr">
        <is>
          <t>RK002</t>
        </is>
      </c>
      <c r="H89" t="inlineStr">
        <is>
          <t>18 Januari 2021</t>
        </is>
      </c>
      <c r="I89" s="2" t="n">
        <v>46233</v>
      </c>
      <c r="J89" t="inlineStr">
        <is>
          <t>Disetujui</t>
        </is>
      </c>
      <c r="K89" t="n">
        <v>30</v>
      </c>
      <c r="L89" t="inlineStr">
        <is>
          <t>30 Juli 2026</t>
        </is>
      </c>
      <c r="M89" t="inlineStr">
        <is>
          <t>Jasa Rekayasa Pekerjaan Teknik Sipil Sumber Daya Air</t>
        </is>
      </c>
      <c r="N89" t="inlineStr">
        <is>
          <t>K</t>
        </is>
      </c>
      <c r="O89" t="inlineStr">
        <is>
          <t>20230724</t>
        </is>
      </c>
      <c r="P89" t="inlineStr">
        <is>
          <t>Jawa Timur</t>
        </is>
      </c>
      <c r="Q89" t="inlineStr"/>
    </row>
    <row r="90">
      <c r="A90" t="inlineStr">
        <is>
          <t>KRAKATAU TIRTA OPERASI DAN PEMELIHARAAN</t>
        </is>
      </c>
      <c r="B90" t="inlineStr">
        <is>
          <t>Kota Cilegon</t>
        </is>
      </c>
      <c r="C90" t="inlineStr">
        <is>
          <t>085749335625</t>
        </is>
      </c>
      <c r="D90" t="inlineStr">
        <is>
          <t>topkrakatau@gmail.com</t>
        </is>
      </c>
      <c r="E90" t="inlineStr">
        <is>
          <t>https://lpjk.pu.go.id/search-badan-usaha-detail/SlBFUDFCYk15Syt1eTNBNi96Um0zMTVsRGw2UTMwL3Y2NXAvR1dkeXZNND0</t>
        </is>
      </c>
      <c r="F90" t="n">
        <v>1</v>
      </c>
      <c r="G90" t="inlineStr">
        <is>
          <t>BS005</t>
        </is>
      </c>
      <c r="H90" t="inlineStr">
        <is>
          <t>20 Mei 2025</t>
        </is>
      </c>
      <c r="I90" s="2" t="n">
        <v>46233</v>
      </c>
      <c r="J90" t="inlineStr">
        <is>
          <t>Disetujui</t>
        </is>
      </c>
      <c r="K90" t="n">
        <v>30</v>
      </c>
      <c r="L90" t="inlineStr">
        <is>
          <t>30 Juli 2026</t>
        </is>
      </c>
      <c r="M90" t="inlineStr">
        <is>
          <t>Konstruksi Bangunan Sipil Pengolahan Air Bersih</t>
        </is>
      </c>
      <c r="N90" t="inlineStr">
        <is>
          <t>M</t>
        </is>
      </c>
      <c r="O90" t="inlineStr">
        <is>
          <t>20230713</t>
        </is>
      </c>
      <c r="P90" t="inlineStr">
        <is>
          <t>Banten</t>
        </is>
      </c>
      <c r="Q90" t="inlineStr"/>
    </row>
    <row r="91">
      <c r="A91" t="inlineStr">
        <is>
          <t>LANANG BUNGSU</t>
        </is>
      </c>
      <c r="B91" t="inlineStr">
        <is>
          <t>Kab. Landak</t>
        </is>
      </c>
      <c r="C91" t="inlineStr">
        <is>
          <t>089693370652</t>
        </is>
      </c>
      <c r="D91" t="inlineStr">
        <is>
          <t>cvlanangbungsu@gmail.com</t>
        </is>
      </c>
      <c r="E91" t="inlineStr">
        <is>
          <t>https://lpjk.pu.go.id/search-badan-usaha-detail/Y29aSkZqV0kvMEJkalc4Mmg3RytXZz09</t>
        </is>
      </c>
      <c r="F91" t="n">
        <v>1</v>
      </c>
      <c r="G91" t="inlineStr">
        <is>
          <t>BS002</t>
        </is>
      </c>
      <c r="H91" t="inlineStr">
        <is>
          <t>3 Juli 2023</t>
        </is>
      </c>
      <c r="I91" s="2" t="n">
        <v>46233</v>
      </c>
      <c r="J91" t="inlineStr">
        <is>
          <t>Disetujui</t>
        </is>
      </c>
      <c r="K91" t="n">
        <v>30</v>
      </c>
      <c r="L91" t="inlineStr">
        <is>
          <t>30 Juli 2026</t>
        </is>
      </c>
      <c r="M91" t="inlineStr">
        <is>
          <t>Bangunan Sipil Jembatan, Jalan Layang, Fly Over, dan Underpass</t>
        </is>
      </c>
      <c r="N91" t="inlineStr">
        <is>
          <t>K</t>
        </is>
      </c>
      <c r="O91" t="inlineStr">
        <is>
          <t>20230730</t>
        </is>
      </c>
      <c r="P91" t="inlineStr">
        <is>
          <t>Kalimantan Barat</t>
        </is>
      </c>
      <c r="Q91" t="inlineStr"/>
    </row>
    <row r="92">
      <c r="A92" t="inlineStr">
        <is>
          <t>MAJU BERKAH SAUYUNAN</t>
        </is>
      </c>
      <c r="B92" t="inlineStr">
        <is>
          <t>Kab. Subang</t>
        </is>
      </c>
      <c r="C92" t="inlineStr">
        <is>
          <t>081287927305</t>
        </is>
      </c>
      <c r="D92" t="inlineStr">
        <is>
          <t>MAJUBERKAHSAUYUNAN@GMAIL.COM</t>
        </is>
      </c>
      <c r="E92" t="inlineStr">
        <is>
          <t>https://lpjk.pu.go.id/search-badan-usaha-detail/TW44K1B3dnd4YmYzcEJoMG41UGEyZz09</t>
        </is>
      </c>
      <c r="F92" t="n">
        <v>2</v>
      </c>
      <c r="G92" t="inlineStr">
        <is>
          <t>BG006, BS001</t>
        </is>
      </c>
      <c r="H92" t="inlineStr">
        <is>
          <t>12 Mei 2023</t>
        </is>
      </c>
      <c r="I92" s="2" t="n">
        <v>46233</v>
      </c>
      <c r="J92" t="inlineStr">
        <is>
          <t>Disetujui</t>
        </is>
      </c>
      <c r="K92" t="n">
        <v>30</v>
      </c>
      <c r="L92" t="inlineStr">
        <is>
          <t>30 Juli 2026</t>
        </is>
      </c>
      <c r="M92" t="inlineStr">
        <is>
          <t>Konstruksi Bangunan Sipil Jalan, Konstruksi Gedung Pendidikan</t>
        </is>
      </c>
      <c r="N92" t="inlineStr">
        <is>
          <t>K</t>
        </is>
      </c>
      <c r="O92" t="inlineStr">
        <is>
          <t>20230727</t>
        </is>
      </c>
      <c r="P92" t="inlineStr">
        <is>
          <t>Jawa Barat</t>
        </is>
      </c>
      <c r="Q92" t="inlineStr"/>
    </row>
    <row r="93">
      <c r="A93" t="inlineStr">
        <is>
          <t>MARANGINANG PUTRA</t>
        </is>
      </c>
      <c r="B93" t="inlineStr">
        <is>
          <t>Kab. Luwu Utara</t>
        </is>
      </c>
      <c r="C93" t="inlineStr">
        <is>
          <t>082349341330</t>
        </is>
      </c>
      <c r="D93" t="inlineStr">
        <is>
          <t>cvmaranginangputra@gmail.com</t>
        </is>
      </c>
      <c r="E93" t="inlineStr">
        <is>
          <t>https://lpjk.pu.go.id/search-badan-usaha-detail/WmdnWWRKYkE4WFZ2Tk01SEh4N2ZYdz09</t>
        </is>
      </c>
      <c r="F93" t="n">
        <v>8</v>
      </c>
      <c r="G93" t="inlineStr">
        <is>
          <t>BG005, BG006, BS001, BS004</t>
        </is>
      </c>
      <c r="H93" t="inlineStr">
        <is>
          <t>7 Januari 2013</t>
        </is>
      </c>
      <c r="I93" s="2" t="n">
        <v>46233</v>
      </c>
      <c r="J93" t="inlineStr">
        <is>
          <t>Disetujui</t>
        </is>
      </c>
      <c r="K93" t="n">
        <v>30</v>
      </c>
      <c r="L93" t="inlineStr">
        <is>
          <t>30 Juli 2026</t>
        </is>
      </c>
      <c r="M93" t="inlineStr">
        <is>
          <t>Konstruksi Bangunan Sipil Jalan, Konstruksi Gedung Kesehatan, Konstruksi Gedung Pendidikan, Konstruksi Jaringan Irigasi dan Drainase</t>
        </is>
      </c>
      <c r="N93" t="inlineStr">
        <is>
          <t>K</t>
        </is>
      </c>
      <c r="O93" t="inlineStr">
        <is>
          <t>20230725, 20230726</t>
        </is>
      </c>
      <c r="P93" t="inlineStr">
        <is>
          <t>Sulawesi Selatan</t>
        </is>
      </c>
      <c r="Q93" t="inlineStr"/>
    </row>
    <row r="94">
      <c r="A94" t="inlineStr">
        <is>
          <t>MARYAM PAGUN JAYA</t>
        </is>
      </c>
      <c r="B94" t="inlineStr">
        <is>
          <t>Kab. Tana Tidung</t>
        </is>
      </c>
      <c r="C94" t="inlineStr">
        <is>
          <t>082352300045</t>
        </is>
      </c>
      <c r="D94" t="inlineStr">
        <is>
          <t>muhamadismail180793747410@gmail.com</t>
        </is>
      </c>
      <c r="E94" t="inlineStr">
        <is>
          <t>https://lpjk.pu.go.id/search-badan-usaha-detail/ZkJmMFZOZVN5d3F5OFZickVsUEF2Zz09</t>
        </is>
      </c>
      <c r="F94" t="n">
        <v>1</v>
      </c>
      <c r="G94" t="inlineStr">
        <is>
          <t>BG006</t>
        </is>
      </c>
      <c r="H94" t="inlineStr">
        <is>
          <t>10 Mei 2023</t>
        </is>
      </c>
      <c r="I94" s="2" t="n">
        <v>46233</v>
      </c>
      <c r="J94" t="inlineStr">
        <is>
          <t>Disetujui</t>
        </is>
      </c>
      <c r="K94" t="n">
        <v>30</v>
      </c>
      <c r="L94" t="inlineStr">
        <is>
          <t>30 Juli 2026</t>
        </is>
      </c>
      <c r="M94" t="inlineStr">
        <is>
          <t>Konstruksi Gedung Pendidikan</t>
        </is>
      </c>
      <c r="N94" t="inlineStr">
        <is>
          <t>K</t>
        </is>
      </c>
      <c r="O94" t="inlineStr">
        <is>
          <t>20230727</t>
        </is>
      </c>
      <c r="P94" t="inlineStr">
        <is>
          <t>Kalimantan Utara</t>
        </is>
      </c>
      <c r="Q94" t="inlineStr"/>
    </row>
    <row r="95">
      <c r="A95" t="inlineStr">
        <is>
          <t>MEGA MULIA</t>
        </is>
      </c>
      <c r="B95" t="inlineStr">
        <is>
          <t>Kota Pontianak</t>
        </is>
      </c>
      <c r="C95" t="inlineStr">
        <is>
          <t>081345448969</t>
        </is>
      </c>
      <c r="D95" t="inlineStr">
        <is>
          <t>cv_megamulia@yahoo.com</t>
        </is>
      </c>
      <c r="E95" t="inlineStr">
        <is>
          <t>https://lpjk.pu.go.id/search-badan-usaha-detail/ejU2MXVsSndBZFNhZklxOEgvY3hUZz09</t>
        </is>
      </c>
      <c r="F95" t="n">
        <v>1</v>
      </c>
      <c r="G95" t="inlineStr">
        <is>
          <t>BS004</t>
        </is>
      </c>
      <c r="H95" t="inlineStr">
        <is>
          <t>9 Oktober 2009</t>
        </is>
      </c>
      <c r="I95" s="2" t="n">
        <v>46233</v>
      </c>
      <c r="J95" t="inlineStr">
        <is>
          <t>Disetujui</t>
        </is>
      </c>
      <c r="K95" t="n">
        <v>30</v>
      </c>
      <c r="L95" t="inlineStr">
        <is>
          <t>30 Juli 2026</t>
        </is>
      </c>
      <c r="M95" t="inlineStr">
        <is>
          <t>Konstruksi Jaringan Irigasi dan Drainase</t>
        </is>
      </c>
      <c r="N95" t="inlineStr">
        <is>
          <t>K</t>
        </is>
      </c>
      <c r="O95" t="inlineStr">
        <is>
          <t>20230727</t>
        </is>
      </c>
      <c r="P95" t="inlineStr">
        <is>
          <t>Kalimantan Barat</t>
        </is>
      </c>
      <c r="Q95" t="inlineStr"/>
    </row>
    <row r="96">
      <c r="A96" t="inlineStr">
        <is>
          <t>MEGARIO PERKASA</t>
        </is>
      </c>
      <c r="B96" t="inlineStr">
        <is>
          <t>Kota Palangkaraya</t>
        </is>
      </c>
      <c r="C96" t="inlineStr">
        <is>
          <t>085252870906</t>
        </is>
      </c>
      <c r="D96" t="inlineStr">
        <is>
          <t>mega.ars.struktur01@gmail.com</t>
        </is>
      </c>
      <c r="E96" t="inlineStr">
        <is>
          <t>https://lpjk.pu.go.id/search-badan-usaha-detail/YmJEN1czdHlJdkxaYnNub0dWcENodz09</t>
        </is>
      </c>
      <c r="F96" t="n">
        <v>3</v>
      </c>
      <c r="G96" t="inlineStr">
        <is>
          <t>AR001, AR002, RK001</t>
        </is>
      </c>
      <c r="H96" t="inlineStr">
        <is>
          <t>29 Mei 2007</t>
        </is>
      </c>
      <c r="I96" s="2" t="n">
        <v>46233</v>
      </c>
      <c r="J96" t="inlineStr">
        <is>
          <t>Disetujui</t>
        </is>
      </c>
      <c r="K96" t="n">
        <v>30</v>
      </c>
      <c r="L96" t="inlineStr">
        <is>
          <t>30 Juli 2026</t>
        </is>
      </c>
      <c r="M96" t="inlineStr">
        <is>
          <t>Jasa Arsitektural Bangunan Gedung Hunian dan Non Hunian, Jasa Arsitektural Lainnya, Jasa Rekayasa Konstruksi Bangunan Gedung Hunian dan Non Hunian</t>
        </is>
      </c>
      <c r="N96" t="inlineStr">
        <is>
          <t>K</t>
        </is>
      </c>
      <c r="O96" t="inlineStr">
        <is>
          <t>20230518, 20230712, 20230721</t>
        </is>
      </c>
      <c r="P96" t="inlineStr">
        <is>
          <t>Kalimantan Tengah</t>
        </is>
      </c>
      <c r="Q96" t="inlineStr"/>
    </row>
    <row r="97">
      <c r="A97" t="inlineStr">
        <is>
          <t>MEKAR SARI UTAMA</t>
        </is>
      </c>
      <c r="B97" t="inlineStr">
        <is>
          <t>Kab. Malang</t>
        </is>
      </c>
      <c r="C97" t="inlineStr">
        <is>
          <t>082230569040</t>
        </is>
      </c>
      <c r="D97" t="inlineStr">
        <is>
          <t>mekarsariutama@gmail.com</t>
        </is>
      </c>
      <c r="E97" t="inlineStr">
        <is>
          <t>https://lpjk.pu.go.id/search-badan-usaha-detail/aUZKMjk2UmFHWXJBWVoxVWRiai9BUT09</t>
        </is>
      </c>
      <c r="F97" t="n">
        <v>4</v>
      </c>
      <c r="G97" t="inlineStr">
        <is>
          <t>BG002, BG009</t>
        </is>
      </c>
      <c r="H97" t="inlineStr">
        <is>
          <t>18 November 2020</t>
        </is>
      </c>
      <c r="I97" s="2" t="n">
        <v>46233</v>
      </c>
      <c r="J97" t="inlineStr">
        <is>
          <t>Disetujui</t>
        </is>
      </c>
      <c r="K97" t="n">
        <v>30</v>
      </c>
      <c r="L97" t="inlineStr">
        <is>
          <t>30 Juli 2026</t>
        </is>
      </c>
      <c r="M97" t="inlineStr">
        <is>
          <t>Konstruksi Gedung Lainnya, Konstruksi Gedung Perkantoran</t>
        </is>
      </c>
      <c r="N97" t="inlineStr">
        <is>
          <t>K</t>
        </is>
      </c>
      <c r="O97" t="inlineStr">
        <is>
          <t>20230729</t>
        </is>
      </c>
      <c r="P97" t="inlineStr">
        <is>
          <t>Jawa Timur</t>
        </is>
      </c>
      <c r="Q97" t="inlineStr"/>
    </row>
    <row r="98">
      <c r="A98" t="inlineStr">
        <is>
          <t>METALINDO ESTETIKA DIMENSI</t>
        </is>
      </c>
      <c r="B98" t="inlineStr">
        <is>
          <t>Kota Adm. Jakarta Pusat</t>
        </is>
      </c>
      <c r="C98" t="inlineStr">
        <is>
          <t>0213814086</t>
        </is>
      </c>
      <c r="D98" t="inlineStr">
        <is>
          <t>arno@metalindo-doors.com</t>
        </is>
      </c>
      <c r="E98" t="inlineStr">
        <is>
          <t>https://lpjk.pu.go.id/search-badan-usaha-detail/ZThLaWwrOTFZS2w2NE9MU1NnUTR4dz09</t>
        </is>
      </c>
      <c r="F98" t="n">
        <v>3</v>
      </c>
      <c r="G98" t="inlineStr">
        <is>
          <t>PB001</t>
        </is>
      </c>
      <c r="H98" t="inlineStr">
        <is>
          <t>17 Juni 1986</t>
        </is>
      </c>
      <c r="I98" s="2" t="n">
        <v>46233</v>
      </c>
      <c r="J98" t="inlineStr">
        <is>
          <t>Disetujui</t>
        </is>
      </c>
      <c r="K98" t="n">
        <v>30</v>
      </c>
      <c r="L98" t="inlineStr">
        <is>
          <t>30 Juli 2026</t>
        </is>
      </c>
      <c r="M98" t="inlineStr">
        <is>
          <t>Pengerjaan Pemasangan Kaca dan Alumunium</t>
        </is>
      </c>
      <c r="N98" t="inlineStr">
        <is>
          <t>Spesialis</t>
        </is>
      </c>
      <c r="O98" t="inlineStr">
        <is>
          <t>20230730</t>
        </is>
      </c>
      <c r="P98" t="inlineStr">
        <is>
          <t>DKI Jakarta</t>
        </is>
      </c>
      <c r="Q98" t="inlineStr"/>
    </row>
    <row r="99">
      <c r="A99" t="inlineStr">
        <is>
          <t>MITRA HARAPAN KITA</t>
        </is>
      </c>
      <c r="B99" t="inlineStr">
        <is>
          <t>Kab. Halmahera Selatan</t>
        </is>
      </c>
      <c r="C99" t="inlineStr">
        <is>
          <t>081312364353</t>
        </is>
      </c>
      <c r="D99" t="inlineStr">
        <is>
          <t>cv.mitraharapankita@gmail.com</t>
        </is>
      </c>
      <c r="E99" t="inlineStr">
        <is>
          <t>https://lpjk.pu.go.id/search-badan-usaha-detail/WTQwVUIzRG9paFQyTHZXK3dnRjRJUT09</t>
        </is>
      </c>
      <c r="F99" t="n">
        <v>2</v>
      </c>
      <c r="G99" t="inlineStr">
        <is>
          <t>BS001, BS002</t>
        </is>
      </c>
      <c r="H99" t="inlineStr">
        <is>
          <t>6 Juni 2023</t>
        </is>
      </c>
      <c r="I99" s="2" t="n">
        <v>46233</v>
      </c>
      <c r="J99" t="inlineStr">
        <is>
          <t>Pencabutan</t>
        </is>
      </c>
      <c r="K99" t="n">
        <v>30</v>
      </c>
      <c r="L99" t="inlineStr">
        <is>
          <t>30 Juli 2026</t>
        </is>
      </c>
      <c r="M99" t="inlineStr">
        <is>
          <t>Bangunan Sipil Jembatan, Jalan Layang, Fly Over, dan Underpass, Konstruksi Bangunan Sipil Jalan</t>
        </is>
      </c>
      <c r="N99" t="inlineStr">
        <is>
          <t>K</t>
        </is>
      </c>
      <c r="O99" t="inlineStr">
        <is>
          <t>20230731</t>
        </is>
      </c>
      <c r="P99" t="inlineStr">
        <is>
          <t>Maluku Utara</t>
        </is>
      </c>
      <c r="Q99" t="inlineStr"/>
    </row>
    <row r="100">
      <c r="A100" t="inlineStr">
        <is>
          <t>MITRA KARYA KONSTRUKSI</t>
        </is>
      </c>
      <c r="B100" t="inlineStr">
        <is>
          <t>Kota Batam</t>
        </is>
      </c>
      <c r="C100" t="inlineStr">
        <is>
          <t>081233338181</t>
        </is>
      </c>
      <c r="D100" t="inlineStr">
        <is>
          <t>mitrakaryakonstruksi.pt@gmail.com</t>
        </is>
      </c>
      <c r="E100" t="inlineStr">
        <is>
          <t>https://lpjk.pu.go.id/search-badan-usaha-detail/bmNmbUdHbERDdG5PMUJ1M25SaHR4UT09</t>
        </is>
      </c>
      <c r="F100" t="n">
        <v>1</v>
      </c>
      <c r="G100" t="inlineStr">
        <is>
          <t>BG004</t>
        </is>
      </c>
      <c r="H100" t="inlineStr">
        <is>
          <t>25 Juni 2011</t>
        </is>
      </c>
      <c r="I100" s="2" t="n">
        <v>46233</v>
      </c>
      <c r="J100" t="inlineStr">
        <is>
          <t>Disetujui</t>
        </is>
      </c>
      <c r="K100" t="n">
        <v>30</v>
      </c>
      <c r="L100" t="inlineStr">
        <is>
          <t>30 Juli 2026</t>
        </is>
      </c>
      <c r="M100" t="inlineStr">
        <is>
          <t>Konstruksi Gedung Perbelanjaan</t>
        </is>
      </c>
      <c r="N100" t="inlineStr">
        <is>
          <t>K</t>
        </is>
      </c>
      <c r="O100" t="inlineStr">
        <is>
          <t>20230731</t>
        </is>
      </c>
      <c r="P100" t="inlineStr">
        <is>
          <t>Kepulauan Riau</t>
        </is>
      </c>
      <c r="Q100" t="inlineStr"/>
    </row>
    <row r="101">
      <c r="A101" t="inlineStr">
        <is>
          <t>MITRA KONTRAKTOR</t>
        </is>
      </c>
      <c r="B101" t="inlineStr">
        <is>
          <t>Kab. Pandeglang</t>
        </is>
      </c>
      <c r="C101" t="inlineStr">
        <is>
          <t>085722225222</t>
        </is>
      </c>
      <c r="D101" t="inlineStr">
        <is>
          <t>cvmitrakontraktor19@gmail.com</t>
        </is>
      </c>
      <c r="E101" t="inlineStr">
        <is>
          <t>https://lpjk.pu.go.id/search-badan-usaha-detail/OTBTdm55TllUY3BWWWkwaXdiYm91dz09</t>
        </is>
      </c>
      <c r="F101" t="n">
        <v>1</v>
      </c>
      <c r="G101" t="inlineStr">
        <is>
          <t>BG006</t>
        </is>
      </c>
      <c r="H101" t="inlineStr">
        <is>
          <t>26 Agustus 2016</t>
        </is>
      </c>
      <c r="I101" s="2" t="n">
        <v>46233</v>
      </c>
      <c r="J101" t="inlineStr">
        <is>
          <t>Disetujui</t>
        </is>
      </c>
      <c r="K101" t="n">
        <v>30</v>
      </c>
      <c r="L101" t="inlineStr">
        <is>
          <t>30 Juli 2026</t>
        </is>
      </c>
      <c r="M101" t="inlineStr">
        <is>
          <t>Konstruksi Gedung Pendidikan</t>
        </is>
      </c>
      <c r="N101" t="inlineStr">
        <is>
          <t>K</t>
        </is>
      </c>
      <c r="O101" t="inlineStr">
        <is>
          <t>20230724</t>
        </is>
      </c>
      <c r="P101" t="inlineStr">
        <is>
          <t>Banten</t>
        </is>
      </c>
      <c r="Q101" t="inlineStr"/>
    </row>
    <row r="102">
      <c r="A102" t="inlineStr">
        <is>
          <t>MITRA MULIA ANALITIKA</t>
        </is>
      </c>
      <c r="B102" t="inlineStr">
        <is>
          <t>Kab. Aceh Besar</t>
        </is>
      </c>
      <c r="C102" t="inlineStr">
        <is>
          <t>082288216008</t>
        </is>
      </c>
      <c r="D102" t="inlineStr">
        <is>
          <t>widodoagus137@gmail.com</t>
        </is>
      </c>
      <c r="E102" t="inlineStr">
        <is>
          <t>https://lpjk.pu.go.id/search-badan-usaha-detail/VExwVE9qVU1TSldtaUFtZGYyYTBDUT09</t>
        </is>
      </c>
      <c r="F102" t="n">
        <v>1</v>
      </c>
      <c r="G102" t="inlineStr">
        <is>
          <t>BS001</t>
        </is>
      </c>
      <c r="H102" t="inlineStr">
        <is>
          <t>20 Oktober 2015</t>
        </is>
      </c>
      <c r="I102" s="2" t="n">
        <v>46233</v>
      </c>
      <c r="J102" t="inlineStr">
        <is>
          <t>Disetujui</t>
        </is>
      </c>
      <c r="K102" t="n">
        <v>30</v>
      </c>
      <c r="L102" t="inlineStr">
        <is>
          <t>30 Juli 2026</t>
        </is>
      </c>
      <c r="M102" t="inlineStr">
        <is>
          <t>Konstruksi Bangunan Sipil Jalan</t>
        </is>
      </c>
      <c r="N102" t="inlineStr">
        <is>
          <t>K</t>
        </is>
      </c>
      <c r="O102" t="inlineStr">
        <is>
          <t>20230728</t>
        </is>
      </c>
      <c r="P102" t="inlineStr">
        <is>
          <t>Aceh</t>
        </is>
      </c>
      <c r="Q102" t="inlineStr"/>
    </row>
    <row r="103">
      <c r="A103" t="inlineStr">
        <is>
          <t>MUBARAK</t>
        </is>
      </c>
      <c r="B103" t="inlineStr">
        <is>
          <t>Kab. Majene</t>
        </is>
      </c>
      <c r="C103" t="inlineStr">
        <is>
          <t>081355201798</t>
        </is>
      </c>
      <c r="D103" t="inlineStr">
        <is>
          <t>mubarak77cv@gmail.com</t>
        </is>
      </c>
      <c r="E103" t="inlineStr">
        <is>
          <t>https://lpjk.pu.go.id/search-badan-usaha-detail/SlQvQXprcVR2RlUrNlhvc2FRWmMyUT09</t>
        </is>
      </c>
      <c r="F103" t="n">
        <v>1</v>
      </c>
      <c r="G103" t="inlineStr">
        <is>
          <t>BG009</t>
        </is>
      </c>
      <c r="H103" t="inlineStr">
        <is>
          <t>11 April 2002</t>
        </is>
      </c>
      <c r="I103" s="2" t="n">
        <v>46233</v>
      </c>
      <c r="J103" t="inlineStr">
        <is>
          <t>Pencabutan</t>
        </is>
      </c>
      <c r="K103" t="n">
        <v>30</v>
      </c>
      <c r="L103" t="inlineStr">
        <is>
          <t>30 Juli 2026</t>
        </is>
      </c>
      <c r="M103" t="inlineStr">
        <is>
          <t>Konstruksi Gedung Lainnya</t>
        </is>
      </c>
      <c r="N103" t="inlineStr">
        <is>
          <t>K</t>
        </is>
      </c>
      <c r="O103" t="inlineStr">
        <is>
          <t>20230727</t>
        </is>
      </c>
      <c r="P103" t="inlineStr">
        <is>
          <t>Sulawesi Barat</t>
        </is>
      </c>
      <c r="Q103" t="inlineStr"/>
    </row>
    <row r="104">
      <c r="A104" t="inlineStr">
        <is>
          <t>MUKAL BERSAUDARA ENERGI</t>
        </is>
      </c>
      <c r="B104" t="inlineStr">
        <is>
          <t>Kota Bandung</t>
        </is>
      </c>
      <c r="C104" t="inlineStr">
        <is>
          <t>08119890587</t>
        </is>
      </c>
      <c r="D104" t="inlineStr">
        <is>
          <t>info@mukalbersaudara.com</t>
        </is>
      </c>
      <c r="E104" t="inlineStr">
        <is>
          <t>https://lpjk.pu.go.id/search-badan-usaha-detail/elpMcW5tREl4VTlBblEyZjNqVDlOZz09</t>
        </is>
      </c>
      <c r="F104" t="n">
        <v>1</v>
      </c>
      <c r="G104" t="inlineStr">
        <is>
          <t>RK001</t>
        </is>
      </c>
      <c r="H104" t="inlineStr">
        <is>
          <t>29 Juni 2023</t>
        </is>
      </c>
      <c r="I104" s="2" t="n">
        <v>46233</v>
      </c>
      <c r="J104" t="inlineStr">
        <is>
          <t>Disetujui</t>
        </is>
      </c>
      <c r="K104" t="n">
        <v>30</v>
      </c>
      <c r="L104" t="inlineStr">
        <is>
          <t>30 Juli 2026</t>
        </is>
      </c>
      <c r="M104" t="inlineStr">
        <is>
          <t>Jasa Rekayasa Konstruksi Bangunan Gedung Hunian dan Non Hunian</t>
        </is>
      </c>
      <c r="N104" t="inlineStr">
        <is>
          <t>K</t>
        </is>
      </c>
      <c r="O104" t="inlineStr">
        <is>
          <t>20230724</t>
        </is>
      </c>
      <c r="P104" t="inlineStr">
        <is>
          <t>Jawa Barat</t>
        </is>
      </c>
      <c r="Q104" t="inlineStr"/>
    </row>
    <row r="105">
      <c r="A105" t="inlineStr">
        <is>
          <t>MULTI KAWAN CONSULTANT</t>
        </is>
      </c>
      <c r="B105" t="inlineStr">
        <is>
          <t>Kota Jayapura</t>
        </is>
      </c>
      <c r="C105" t="inlineStr">
        <is>
          <t>08114820206</t>
        </is>
      </c>
      <c r="D105" t="inlineStr">
        <is>
          <t>multikawan@yahoo.com</t>
        </is>
      </c>
      <c r="E105" t="inlineStr">
        <is>
          <t>https://lpjk.pu.go.id/search-badan-usaha-detail/VUhIV2FlM0trbCt5MmRpOFJidkU2dz09</t>
        </is>
      </c>
      <c r="F105" t="n">
        <v>2</v>
      </c>
      <c r="G105" t="inlineStr">
        <is>
          <t>AR001, RK003</t>
        </is>
      </c>
      <c r="H105" t="inlineStr">
        <is>
          <t>22 Desember 2017</t>
        </is>
      </c>
      <c r="I105" s="2" t="n">
        <v>46233</v>
      </c>
      <c r="J105" t="inlineStr">
        <is>
          <t>Disetujui</t>
        </is>
      </c>
      <c r="K105" t="n">
        <v>30</v>
      </c>
      <c r="L105" t="inlineStr">
        <is>
          <t>30 Juli 2026</t>
        </is>
      </c>
      <c r="M105" t="inlineStr">
        <is>
          <t>Jasa Arsitektural Bangunan Gedung Hunian dan Non Hunian, Jasa Rekayasa Pekerjaan Teknik Sipil Transportasi</t>
        </is>
      </c>
      <c r="N105" t="inlineStr">
        <is>
          <t>K</t>
        </is>
      </c>
      <c r="O105" t="inlineStr">
        <is>
          <t>20230707</t>
        </is>
      </c>
      <c r="P105" t="inlineStr">
        <is>
          <t>Papua</t>
        </is>
      </c>
      <c r="Q105" t="inlineStr"/>
    </row>
    <row r="106">
      <c r="A106" t="inlineStr">
        <is>
          <t>MULTIKARYA AMANAH</t>
        </is>
      </c>
      <c r="B106" t="inlineStr">
        <is>
          <t>Kota Samarinda</t>
        </is>
      </c>
      <c r="C106" t="inlineStr">
        <is>
          <t>08125999022</t>
        </is>
      </c>
      <c r="D106" t="inlineStr">
        <is>
          <t>multikarya.amanah@gmail.com</t>
        </is>
      </c>
      <c r="E106" t="inlineStr">
        <is>
          <t>https://lpjk.pu.go.id/search-badan-usaha-detail/RWpQN2d3V203Yk0xeUkxQTl6dDBhUT09</t>
        </is>
      </c>
      <c r="F106" t="n">
        <v>6</v>
      </c>
      <c r="G106" t="inlineStr">
        <is>
          <t>RK001, RK002, RK003</t>
        </is>
      </c>
      <c r="H106" t="inlineStr">
        <is>
          <t>27 Juni 2023</t>
        </is>
      </c>
      <c r="I106" s="2" t="n">
        <v>46233</v>
      </c>
      <c r="J106" t="inlineStr">
        <is>
          <t>Disetujui</t>
        </is>
      </c>
      <c r="K106" t="n">
        <v>30</v>
      </c>
      <c r="L106" t="inlineStr">
        <is>
          <t>30 Juli 2026</t>
        </is>
      </c>
      <c r="M106" t="inlineStr">
        <is>
          <t>Jasa Rekayasa Konstruksi Bangunan Gedung Hunian dan Non Hunian, Jasa Rekayasa Pekerjaan Teknik Sipil Sumber Daya Air, Jasa Rekayasa Pekerjaan Teknik Sipil Transportasi</t>
        </is>
      </c>
      <c r="N106" t="inlineStr">
        <is>
          <t>K</t>
        </is>
      </c>
      <c r="O106" t="inlineStr">
        <is>
          <t>20230723</t>
        </is>
      </c>
      <c r="P106" t="inlineStr">
        <is>
          <t>Kalimantan Timur</t>
        </is>
      </c>
      <c r="Q106" t="inlineStr"/>
    </row>
    <row r="107">
      <c r="A107" t="inlineStr">
        <is>
          <t>MUNAWAR BANGUN PERSADA</t>
        </is>
      </c>
      <c r="B107" t="inlineStr">
        <is>
          <t>Kota Bandung</t>
        </is>
      </c>
      <c r="C107" t="inlineStr">
        <is>
          <t>082121277032</t>
        </is>
      </c>
      <c r="D107" t="inlineStr">
        <is>
          <t>munawar.bangun.persada@gmail.com</t>
        </is>
      </c>
      <c r="E107" t="inlineStr">
        <is>
          <t>https://lpjk.pu.go.id/search-badan-usaha-detail/eStjbGY4VHQ1ZHJ5N091ZVVCdVFUUT09</t>
        </is>
      </c>
      <c r="F107" t="n">
        <v>1</v>
      </c>
      <c r="G107" t="inlineStr">
        <is>
          <t>BG002</t>
        </is>
      </c>
      <c r="H107" t="inlineStr">
        <is>
          <t>17 Juni 2017</t>
        </is>
      </c>
      <c r="I107" s="2" t="n">
        <v>46233</v>
      </c>
      <c r="J107" t="inlineStr">
        <is>
          <t>Disetujui</t>
        </is>
      </c>
      <c r="K107" t="n">
        <v>30</v>
      </c>
      <c r="L107" t="inlineStr">
        <is>
          <t>30 Juli 2026</t>
        </is>
      </c>
      <c r="M107" t="inlineStr">
        <is>
          <t>Konstruksi Gedung Perkantoran</t>
        </is>
      </c>
      <c r="N107" t="inlineStr">
        <is>
          <t>K</t>
        </is>
      </c>
      <c r="O107" t="inlineStr">
        <is>
          <t>20230728</t>
        </is>
      </c>
      <c r="P107" t="inlineStr">
        <is>
          <t>Jawa Barat</t>
        </is>
      </c>
      <c r="Q107" t="inlineStr"/>
    </row>
    <row r="108">
      <c r="A108" t="inlineStr">
        <is>
          <t>MUTIARA BERKAH UTAMA</t>
        </is>
      </c>
      <c r="B108" t="inlineStr">
        <is>
          <t>Kab. Malinau</t>
        </is>
      </c>
      <c r="C108" t="inlineStr">
        <is>
          <t>081223633333</t>
        </is>
      </c>
      <c r="D108" t="inlineStr">
        <is>
          <t>mutiaraberkahutama2023@gmail.com</t>
        </is>
      </c>
      <c r="E108" t="inlineStr">
        <is>
          <t>https://lpjk.pu.go.id/search-badan-usaha-detail/Njg3clczdmZXamYwZW1JaWk5MktGdz09</t>
        </is>
      </c>
      <c r="F108" t="n">
        <v>6</v>
      </c>
      <c r="G108" t="inlineStr">
        <is>
          <t>BG002, BG005, BG008</t>
        </is>
      </c>
      <c r="H108" t="inlineStr">
        <is>
          <t>2 Juni 2023</t>
        </is>
      </c>
      <c r="I108" s="2" t="n">
        <v>46233</v>
      </c>
      <c r="J108" t="inlineStr">
        <is>
          <t>Pencabutan</t>
        </is>
      </c>
      <c r="K108" t="n">
        <v>30</v>
      </c>
      <c r="L108" t="inlineStr">
        <is>
          <t>30 Juli 2026</t>
        </is>
      </c>
      <c r="M108" t="inlineStr">
        <is>
          <t>Konstruksi Gedung Kesehatan, Konstruksi Gedung Perkantoran, Konstruksi Gedung Tempat Hiburan dan Olahraga</t>
        </is>
      </c>
      <c r="N108" t="inlineStr">
        <is>
          <t>K</t>
        </is>
      </c>
      <c r="O108" t="inlineStr">
        <is>
          <t>20230715, 20230725</t>
        </is>
      </c>
      <c r="P108" t="inlineStr">
        <is>
          <t>Kalimantan Utara</t>
        </is>
      </c>
      <c r="Q108" t="inlineStr"/>
    </row>
    <row r="109">
      <c r="A109" t="inlineStr">
        <is>
          <t>NABILA RATU SAMUDRA</t>
        </is>
      </c>
      <c r="B109" t="inlineStr">
        <is>
          <t>Kab. Tangerang</t>
        </is>
      </c>
      <c r="C109" t="inlineStr">
        <is>
          <t>083877935415</t>
        </is>
      </c>
      <c r="D109" t="inlineStr">
        <is>
          <t>cv.nabilaratu@gmail.com</t>
        </is>
      </c>
      <c r="E109" t="inlineStr">
        <is>
          <t>https://lpjk.pu.go.id/search-badan-usaha-detail/NUdCbDdGcSs5cFVKS2FkNFIwckZkQT09</t>
        </is>
      </c>
      <c r="F109" t="n">
        <v>4</v>
      </c>
      <c r="G109" t="inlineStr">
        <is>
          <t>BG006, BG009</t>
        </is>
      </c>
      <c r="H109" t="inlineStr">
        <is>
          <t>6 Oktober 2021</t>
        </is>
      </c>
      <c r="I109" s="2" t="n">
        <v>46233</v>
      </c>
      <c r="J109" t="inlineStr">
        <is>
          <t>Pencabutan</t>
        </is>
      </c>
      <c r="K109" t="n">
        <v>30</v>
      </c>
      <c r="L109" t="inlineStr">
        <is>
          <t>30 Juli 2026</t>
        </is>
      </c>
      <c r="M109" t="inlineStr">
        <is>
          <t>Konstruksi Gedung Lainnya, Konstruksi Gedung Pendidikan</t>
        </is>
      </c>
      <c r="N109" t="inlineStr">
        <is>
          <t>K</t>
        </is>
      </c>
      <c r="O109" t="inlineStr">
        <is>
          <t>20230714</t>
        </is>
      </c>
      <c r="P109" t="inlineStr">
        <is>
          <t>Banten</t>
        </is>
      </c>
      <c r="Q109" t="inlineStr"/>
    </row>
    <row r="110">
      <c r="A110" t="inlineStr">
        <is>
          <t>NUR AVIA</t>
        </is>
      </c>
      <c r="B110" t="inlineStr">
        <is>
          <t>Kab. Pangkajene Kepulauan</t>
        </is>
      </c>
      <c r="C110" t="inlineStr">
        <is>
          <t>081214142570</t>
        </is>
      </c>
      <c r="D110" t="inlineStr">
        <is>
          <t>nuravia2023@gmail.com</t>
        </is>
      </c>
      <c r="E110" t="inlineStr">
        <is>
          <t>https://lpjk.pu.go.id/search-badan-usaha-detail/cG1Ld3pwZktENGpuTzYxRXVPaXFIdz09</t>
        </is>
      </c>
      <c r="F110" t="n">
        <v>7</v>
      </c>
      <c r="G110" t="inlineStr">
        <is>
          <t>BG002, BG005, BG006, BG008, BG009, BS001, BS004</t>
        </is>
      </c>
      <c r="H110" t="inlineStr">
        <is>
          <t>14 Desember 2006</t>
        </is>
      </c>
      <c r="I110" s="2" t="n">
        <v>46233</v>
      </c>
      <c r="J110" t="inlineStr">
        <is>
          <t>Disetujui</t>
        </is>
      </c>
      <c r="K110" t="n">
        <v>30</v>
      </c>
      <c r="L110" t="inlineStr">
        <is>
          <t>30 Juli 2026</t>
        </is>
      </c>
      <c r="M110" t="inlineStr">
        <is>
          <t>Konstruksi Bangunan Sipil Jalan, Konstruksi Gedung Kesehatan, Konstruksi Gedung Lainnya, Konstruksi Gedung Pendidikan, Konstruksi Gedung Perkantoran, Konstruksi Gedung Tempat Hiburan dan Olahraga, Konstruksi Jaringan Irigasi dan Drainase</t>
        </is>
      </c>
      <c r="N110" t="inlineStr">
        <is>
          <t>K</t>
        </is>
      </c>
      <c r="O110" t="inlineStr">
        <is>
          <t>20230728</t>
        </is>
      </c>
      <c r="P110" t="inlineStr">
        <is>
          <t>Sulawesi Selatan</t>
        </is>
      </c>
      <c r="Q110" t="inlineStr"/>
    </row>
    <row r="111">
      <c r="A111" t="inlineStr">
        <is>
          <t>NUR WAHID</t>
        </is>
      </c>
      <c r="B111" t="inlineStr">
        <is>
          <t>Kota Samarinda</t>
        </is>
      </c>
      <c r="C111" t="inlineStr">
        <is>
          <t>081347337919</t>
        </is>
      </c>
      <c r="D111" t="inlineStr">
        <is>
          <t>cv.nurwahid@gmail.com</t>
        </is>
      </c>
      <c r="E111" t="inlineStr">
        <is>
          <t>https://lpjk.pu.go.id/search-badan-usaha-detail/RDNsemsvRExFRmxCR29WdGJIZG50QT09</t>
        </is>
      </c>
      <c r="F111" t="n">
        <v>1</v>
      </c>
      <c r="G111" t="inlineStr">
        <is>
          <t>BS011</t>
        </is>
      </c>
      <c r="H111" t="inlineStr">
        <is>
          <t>11 September 1982</t>
        </is>
      </c>
      <c r="I111" s="2" t="n">
        <v>46233</v>
      </c>
      <c r="J111" t="inlineStr">
        <is>
          <t>Disetujui</t>
        </is>
      </c>
      <c r="K111" t="n">
        <v>30</v>
      </c>
      <c r="L111" t="inlineStr">
        <is>
          <t>30 Juli 2026</t>
        </is>
      </c>
      <c r="M111" t="inlineStr">
        <is>
          <t>Konstruksi Bangunan Pelabuhan Bukan Perikanan</t>
        </is>
      </c>
      <c r="N111" t="inlineStr">
        <is>
          <t>K</t>
        </is>
      </c>
      <c r="O111" t="inlineStr">
        <is>
          <t>20230725</t>
        </is>
      </c>
      <c r="P111" t="inlineStr">
        <is>
          <t>Kalimantan Timur</t>
        </is>
      </c>
      <c r="Q111" t="inlineStr"/>
    </row>
    <row r="112">
      <c r="A112" t="inlineStr">
        <is>
          <t>PANCA YOGATAMA</t>
        </is>
      </c>
      <c r="B112" t="inlineStr">
        <is>
          <t>Kota Surakarta</t>
        </is>
      </c>
      <c r="C112" t="inlineStr">
        <is>
          <t>082133999029</t>
        </is>
      </c>
      <c r="D112" t="inlineStr">
        <is>
          <t>cv.pancayogatama@yahoo.co.id</t>
        </is>
      </c>
      <c r="E112" t="inlineStr">
        <is>
          <t>https://lpjk.pu.go.id/search-badan-usaha-detail/aU56MDZaZjZJNWhQOHNUKys3RkpTUT09</t>
        </is>
      </c>
      <c r="F112" t="n">
        <v>2</v>
      </c>
      <c r="G112" t="inlineStr">
        <is>
          <t>BS001, BS004</t>
        </is>
      </c>
      <c r="H112" t="inlineStr">
        <is>
          <t>23 Maret 2002</t>
        </is>
      </c>
      <c r="I112" s="2" t="n">
        <v>46233</v>
      </c>
      <c r="J112" t="inlineStr">
        <is>
          <t>Disetujui</t>
        </is>
      </c>
      <c r="K112" t="n">
        <v>30</v>
      </c>
      <c r="L112" t="inlineStr">
        <is>
          <t>30 Juli 2026</t>
        </is>
      </c>
      <c r="M112" t="inlineStr">
        <is>
          <t>Konstruksi Bangunan Sipil Jalan, Konstruksi Jaringan Irigasi dan Drainase</t>
        </is>
      </c>
      <c r="N112" t="inlineStr">
        <is>
          <t>K</t>
        </is>
      </c>
      <c r="O112" t="inlineStr">
        <is>
          <t>20230725, 20230727</t>
        </is>
      </c>
      <c r="P112" t="inlineStr">
        <is>
          <t>Jawa Tengah</t>
        </is>
      </c>
      <c r="Q112" t="inlineStr"/>
    </row>
    <row r="113">
      <c r="A113" t="inlineStr">
        <is>
          <t>PANDU JAYA</t>
        </is>
      </c>
      <c r="B113" t="inlineStr">
        <is>
          <t>Kab. Pacitan</t>
        </is>
      </c>
      <c r="C113" t="inlineStr">
        <is>
          <t>087719271922</t>
        </is>
      </c>
      <c r="D113" t="inlineStr">
        <is>
          <t>pandupacitan08@gmail.com</t>
        </is>
      </c>
      <c r="E113" t="inlineStr">
        <is>
          <t>https://lpjk.pu.go.id/search-badan-usaha-detail/MjRZc2JFTmswK1IxbVlYZTFpcFh6dz09</t>
        </is>
      </c>
      <c r="F113" t="n">
        <v>1</v>
      </c>
      <c r="G113" t="inlineStr">
        <is>
          <t>BS001</t>
        </is>
      </c>
      <c r="H113" t="inlineStr">
        <is>
          <t>28 Mei 2001</t>
        </is>
      </c>
      <c r="I113" s="2" t="n">
        <v>46233</v>
      </c>
      <c r="J113" t="inlineStr">
        <is>
          <t>Disetujui</t>
        </is>
      </c>
      <c r="K113" t="n">
        <v>30</v>
      </c>
      <c r="L113" t="inlineStr">
        <is>
          <t>30 Juli 2026</t>
        </is>
      </c>
      <c r="M113" t="inlineStr">
        <is>
          <t>Konstruksi Bangunan Sipil Jalan</t>
        </is>
      </c>
      <c r="N113" t="inlineStr">
        <is>
          <t>K</t>
        </is>
      </c>
      <c r="O113" t="inlineStr">
        <is>
          <t>20230730</t>
        </is>
      </c>
      <c r="P113" t="inlineStr">
        <is>
          <t>Jawa Timur</t>
        </is>
      </c>
      <c r="Q113" t="inlineStr"/>
    </row>
    <row r="114">
      <c r="A114" t="inlineStr">
        <is>
          <t>PARAMA PATRIA</t>
        </is>
      </c>
      <c r="B114" t="inlineStr">
        <is>
          <t>Kota Malang</t>
        </is>
      </c>
      <c r="C114" t="inlineStr">
        <is>
          <t>081235601275</t>
        </is>
      </c>
      <c r="D114" t="inlineStr">
        <is>
          <t>paramapatria@gmail.com</t>
        </is>
      </c>
      <c r="E114" t="inlineStr">
        <is>
          <t>https://lpjk.pu.go.id/search-badan-usaha-detail/MVRiZlhKYVVxeGdoOEhwWG5hdjBtdz09</t>
        </is>
      </c>
      <c r="F114" t="n">
        <v>1</v>
      </c>
      <c r="G114" t="inlineStr">
        <is>
          <t>BS010</t>
        </is>
      </c>
      <c r="H114" t="inlineStr">
        <is>
          <t>4 Juni 2007</t>
        </is>
      </c>
      <c r="I114" s="2" t="n">
        <v>46233</v>
      </c>
      <c r="J114" t="inlineStr">
        <is>
          <t>Pencabutan</t>
        </is>
      </c>
      <c r="K114" t="n">
        <v>30</v>
      </c>
      <c r="L114" t="inlineStr">
        <is>
          <t>30 Juli 2026</t>
        </is>
      </c>
      <c r="M114" t="inlineStr">
        <is>
          <t>Konstruksi Bangunan Prasarana Sumber Daya Air</t>
        </is>
      </c>
      <c r="N114" t="inlineStr">
        <is>
          <t>K</t>
        </is>
      </c>
      <c r="O114" t="inlineStr">
        <is>
          <t>20230729</t>
        </is>
      </c>
      <c r="P114" t="inlineStr">
        <is>
          <t>Jawa Timur</t>
        </is>
      </c>
      <c r="Q114" t="inlineStr"/>
    </row>
    <row r="115">
      <c r="A115" t="inlineStr">
        <is>
          <t>PHALOSA SEMESTA ABADI</t>
        </is>
      </c>
      <c r="B115" t="inlineStr">
        <is>
          <t>Kab. Cirebon</t>
        </is>
      </c>
      <c r="C115" t="inlineStr">
        <is>
          <t>02318491744</t>
        </is>
      </c>
      <c r="D115" t="inlineStr">
        <is>
          <t>phalosasemesta_pt@yahoo.co.id</t>
        </is>
      </c>
      <c r="E115" t="inlineStr">
        <is>
          <t>https://lpjk.pu.go.id/search-badan-usaha-detail/elZMNVh3dy9sOTgybTE0R2xFY2xKdz09</t>
        </is>
      </c>
      <c r="F115" t="n">
        <v>1</v>
      </c>
      <c r="G115" t="inlineStr">
        <is>
          <t>BS013</t>
        </is>
      </c>
      <c r="H115" t="inlineStr">
        <is>
          <t>7 Maret 2011</t>
        </is>
      </c>
      <c r="I115" s="2" t="n">
        <v>46233</v>
      </c>
      <c r="J115" t="inlineStr">
        <is>
          <t>Disetujui</t>
        </is>
      </c>
      <c r="K115" t="n">
        <v>30</v>
      </c>
      <c r="L115" t="inlineStr">
        <is>
          <t>30 Juli 2026</t>
        </is>
      </c>
      <c r="M115" t="inlineStr">
        <is>
          <t>Konstruksi Bangunan Sipil Minyak dan Gas Bumi</t>
        </is>
      </c>
      <c r="N115" t="inlineStr">
        <is>
          <t>M</t>
        </is>
      </c>
      <c r="O115" t="inlineStr">
        <is>
          <t>20230721</t>
        </is>
      </c>
      <c r="P115" t="inlineStr">
        <is>
          <t>Jawa Barat</t>
        </is>
      </c>
      <c r="Q115" t="inlineStr"/>
    </row>
    <row r="116">
      <c r="A116" t="inlineStr">
        <is>
          <t>PIRAMID SEMESTA RAYA</t>
        </is>
      </c>
      <c r="B116" t="inlineStr">
        <is>
          <t>Kota Medan</t>
        </is>
      </c>
      <c r="C116" t="inlineStr">
        <is>
          <t>08116011088</t>
        </is>
      </c>
      <c r="D116" t="inlineStr">
        <is>
          <t>piramidsemestaraya@gmail.com</t>
        </is>
      </c>
      <c r="E116" t="inlineStr">
        <is>
          <t>https://lpjk.pu.go.id/search-badan-usaha-detail/WUN1VFFUcnpUR2tucnJURTVqOUppQT09</t>
        </is>
      </c>
      <c r="F116" t="n">
        <v>1</v>
      </c>
      <c r="G116" t="inlineStr">
        <is>
          <t>BG009</t>
        </is>
      </c>
      <c r="H116" t="inlineStr">
        <is>
          <t>15 Juni 2023</t>
        </is>
      </c>
      <c r="I116" s="2" t="n">
        <v>46233</v>
      </c>
      <c r="J116" t="inlineStr">
        <is>
          <t>Disetujui</t>
        </is>
      </c>
      <c r="K116" t="n">
        <v>30</v>
      </c>
      <c r="L116" t="inlineStr">
        <is>
          <t>30 Juli 2026</t>
        </is>
      </c>
      <c r="M116" t="inlineStr">
        <is>
          <t>Konstruksi Gedung Lainnya</t>
        </is>
      </c>
      <c r="N116" t="inlineStr">
        <is>
          <t>K</t>
        </is>
      </c>
      <c r="O116" t="inlineStr">
        <is>
          <t>20230730</t>
        </is>
      </c>
      <c r="P116" t="inlineStr">
        <is>
          <t>Sumatera Utara</t>
        </is>
      </c>
      <c r="Q116" t="inlineStr"/>
    </row>
    <row r="117">
      <c r="A117" t="inlineStr">
        <is>
          <t>PRIMA MULTI KENCANA</t>
        </is>
      </c>
      <c r="B117" t="inlineStr">
        <is>
          <t>Kota Medan</t>
        </is>
      </c>
      <c r="C117" t="inlineStr">
        <is>
          <t>082363103506</t>
        </is>
      </c>
      <c r="D117" t="inlineStr">
        <is>
          <t>primamultikencana.cv@gmail.com</t>
        </is>
      </c>
      <c r="E117" t="inlineStr">
        <is>
          <t>https://lpjk.pu.go.id/search-badan-usaha-detail/WU9WR1ZaL0RTS1M2eUlPenNtV3FBUT09</t>
        </is>
      </c>
      <c r="F117" t="n">
        <v>1</v>
      </c>
      <c r="G117" t="inlineStr">
        <is>
          <t>BG002</t>
        </is>
      </c>
      <c r="H117" t="inlineStr">
        <is>
          <t>29 Oktober 2021</t>
        </is>
      </c>
      <c r="I117" s="2" t="n">
        <v>46233</v>
      </c>
      <c r="J117" t="inlineStr">
        <is>
          <t>Disetujui</t>
        </is>
      </c>
      <c r="K117" t="n">
        <v>30</v>
      </c>
      <c r="L117" t="inlineStr">
        <is>
          <t>30 Juli 2026</t>
        </is>
      </c>
      <c r="M117" t="inlineStr">
        <is>
          <t>Konstruksi Gedung Perkantoran</t>
        </is>
      </c>
      <c r="N117" t="inlineStr">
        <is>
          <t>K</t>
        </is>
      </c>
      <c r="O117" t="inlineStr">
        <is>
          <t>20230728</t>
        </is>
      </c>
      <c r="P117" t="inlineStr">
        <is>
          <t>Sumatera Utara</t>
        </is>
      </c>
      <c r="Q117" t="inlineStr"/>
    </row>
    <row r="118">
      <c r="A118" t="inlineStr">
        <is>
          <t>PROFIL MAS</t>
        </is>
      </c>
      <c r="B118" t="inlineStr">
        <is>
          <t>Kota Probolinggo</t>
        </is>
      </c>
      <c r="C118" t="inlineStr">
        <is>
          <t>081266651457</t>
        </is>
      </c>
      <c r="D118" t="inlineStr">
        <is>
          <t>profilmas88@gmail.com</t>
        </is>
      </c>
      <c r="E118" t="inlineStr">
        <is>
          <t>https://lpjk.pu.go.id/search-badan-usaha-detail/TEVod1dJc29OYWhjTlcwVEg2NlFFdz09</t>
        </is>
      </c>
      <c r="F118" t="n">
        <v>1</v>
      </c>
      <c r="G118" t="inlineStr">
        <is>
          <t>BS005</t>
        </is>
      </c>
      <c r="H118" t="inlineStr">
        <is>
          <t>11 Januari 2018</t>
        </is>
      </c>
      <c r="I118" s="2" t="n">
        <v>46233</v>
      </c>
      <c r="J118" t="inlineStr">
        <is>
          <t>Disetujui</t>
        </is>
      </c>
      <c r="K118" t="n">
        <v>30</v>
      </c>
      <c r="L118" t="inlineStr">
        <is>
          <t>30 Juli 2026</t>
        </is>
      </c>
      <c r="M118" t="inlineStr">
        <is>
          <t>Konstruksi Bangunan Sipil Pengolahan Air Bersih</t>
        </is>
      </c>
      <c r="N118" t="inlineStr">
        <is>
          <t>K</t>
        </is>
      </c>
      <c r="O118" t="inlineStr">
        <is>
          <t>20230727</t>
        </is>
      </c>
      <c r="P118" t="inlineStr">
        <is>
          <t>Jawa Timur</t>
        </is>
      </c>
      <c r="Q118" t="inlineStr"/>
    </row>
    <row r="119">
      <c r="A119" t="inlineStr">
        <is>
          <t>PULAU BINTAN BESTARI</t>
        </is>
      </c>
      <c r="B119" t="inlineStr">
        <is>
          <t>Kota Tanjung Pinang</t>
        </is>
      </c>
      <c r="C119" t="inlineStr">
        <is>
          <t>081293285559</t>
        </is>
      </c>
      <c r="D119" t="inlineStr">
        <is>
          <t>widyapbb6@gmail.com</t>
        </is>
      </c>
      <c r="E119" t="inlineStr">
        <is>
          <t>https://lpjk.pu.go.id/search-badan-usaha-detail/blNaTXEvcVhjMXNIY3FRRnB2aHJpZz09</t>
        </is>
      </c>
      <c r="F119" t="n">
        <v>1</v>
      </c>
      <c r="G119" t="inlineStr">
        <is>
          <t>BG005</t>
        </is>
      </c>
      <c r="H119" t="inlineStr">
        <is>
          <t>1 Desember 2004</t>
        </is>
      </c>
      <c r="I119" s="2" t="n">
        <v>46233</v>
      </c>
      <c r="J119" t="inlineStr">
        <is>
          <t>Disetujui</t>
        </is>
      </c>
      <c r="K119" t="n">
        <v>30</v>
      </c>
      <c r="L119" t="inlineStr">
        <is>
          <t>30 Juli 2026</t>
        </is>
      </c>
      <c r="M119" t="inlineStr">
        <is>
          <t>Konstruksi Gedung Kesehatan</t>
        </is>
      </c>
      <c r="N119" t="inlineStr">
        <is>
          <t>B</t>
        </is>
      </c>
      <c r="O119" t="inlineStr">
        <is>
          <t>20230721</t>
        </is>
      </c>
      <c r="P119" t="inlineStr">
        <is>
          <t>Kepulauan Riau</t>
        </is>
      </c>
      <c r="Q119" t="inlineStr"/>
    </row>
    <row r="120">
      <c r="A120" t="inlineStr">
        <is>
          <t>PURNAMA YASA</t>
        </is>
      </c>
      <c r="B120" t="inlineStr">
        <is>
          <t>Kab. Blora</t>
        </is>
      </c>
      <c r="C120" t="inlineStr">
        <is>
          <t>082223397708</t>
        </is>
      </c>
      <c r="D120" t="inlineStr">
        <is>
          <t>cvpurnamayasa01@gmail.com</t>
        </is>
      </c>
      <c r="E120" t="inlineStr">
        <is>
          <t>https://lpjk.pu.go.id/search-badan-usaha-detail/YnNXTjNYMTQvaGpiU2R0MGtHdWhEdz09</t>
        </is>
      </c>
      <c r="F120" t="n">
        <v>2</v>
      </c>
      <c r="G120" t="inlineStr">
        <is>
          <t>BS001</t>
        </is>
      </c>
      <c r="H120" t="inlineStr">
        <is>
          <t>28 September 1990</t>
        </is>
      </c>
      <c r="I120" s="2" t="n">
        <v>46233</v>
      </c>
      <c r="J120" t="inlineStr">
        <is>
          <t>Disetujui</t>
        </is>
      </c>
      <c r="K120" t="n">
        <v>30</v>
      </c>
      <c r="L120" t="inlineStr">
        <is>
          <t>30 Juli 2026</t>
        </is>
      </c>
      <c r="M120" t="inlineStr">
        <is>
          <t>Konstruksi Bangunan Sipil Jalan</t>
        </is>
      </c>
      <c r="N120" t="inlineStr">
        <is>
          <t>K</t>
        </is>
      </c>
      <c r="O120" t="inlineStr">
        <is>
          <t>20230726</t>
        </is>
      </c>
      <c r="P120" t="inlineStr">
        <is>
          <t>Jawa Tengah</t>
        </is>
      </c>
      <c r="Q120" t="inlineStr"/>
    </row>
    <row r="121">
      <c r="A121" t="inlineStr">
        <is>
          <t>PUTRA FILLY</t>
        </is>
      </c>
      <c r="B121" t="inlineStr">
        <is>
          <t>Kab. Sanggau</t>
        </is>
      </c>
      <c r="C121" t="inlineStr">
        <is>
          <t>081258416756</t>
        </is>
      </c>
      <c r="D121" t="inlineStr">
        <is>
          <t>putrafilly@gmail.com</t>
        </is>
      </c>
      <c r="E121" t="inlineStr">
        <is>
          <t>https://lpjk.pu.go.id/search-badan-usaha-detail/SDJIcHlTQUYxVzRQRW5tL1d3T1hEQT09</t>
        </is>
      </c>
      <c r="F121" t="n">
        <v>4</v>
      </c>
      <c r="G121" t="inlineStr">
        <is>
          <t>BG008, BS001, BS004, BS005</t>
        </is>
      </c>
      <c r="H121" t="inlineStr">
        <is>
          <t>20 Juli 2023</t>
        </is>
      </c>
      <c r="I121" s="2" t="n">
        <v>46233</v>
      </c>
      <c r="J121" t="inlineStr">
        <is>
          <t>Disetujui</t>
        </is>
      </c>
      <c r="K121" t="n">
        <v>30</v>
      </c>
      <c r="L121" t="inlineStr">
        <is>
          <t>30 Juli 2026</t>
        </is>
      </c>
      <c r="M121" t="inlineStr">
        <is>
          <t>Konstruksi Bangunan Sipil Jalan, Konstruksi Bangunan Sipil Pengolahan Air Bersih, Konstruksi Gedung Tempat Hiburan dan Olahraga, Konstruksi Jaringan Irigasi dan Drainase</t>
        </is>
      </c>
      <c r="N121" t="inlineStr">
        <is>
          <t>K</t>
        </is>
      </c>
      <c r="O121" t="inlineStr">
        <is>
          <t>20230728</t>
        </is>
      </c>
      <c r="P121" t="inlineStr">
        <is>
          <t>Kalimantan Barat</t>
        </is>
      </c>
      <c r="Q121" t="inlineStr"/>
    </row>
    <row r="122">
      <c r="A122" t="inlineStr">
        <is>
          <t>PUTRA HASAN MANDIRI</t>
        </is>
      </c>
      <c r="B122" t="inlineStr">
        <is>
          <t>Kab. Kebumen</t>
        </is>
      </c>
      <c r="C122" t="inlineStr">
        <is>
          <t>085782365116</t>
        </is>
      </c>
      <c r="D122" t="inlineStr">
        <is>
          <t>putrahasanmandiri@gmail.com</t>
        </is>
      </c>
      <c r="E122" t="inlineStr">
        <is>
          <t>https://lpjk.pu.go.id/search-badan-usaha-detail/ZWRMTjU5QW50M29kSVJ4QzZKL2tRZz09</t>
        </is>
      </c>
      <c r="F122" t="n">
        <v>1</v>
      </c>
      <c r="G122" t="inlineStr">
        <is>
          <t>BS004</t>
        </is>
      </c>
      <c r="H122" t="inlineStr">
        <is>
          <t>1 Februari 2020</t>
        </is>
      </c>
      <c r="I122" s="2" t="n">
        <v>46233</v>
      </c>
      <c r="J122" t="inlineStr">
        <is>
          <t>Disetujui</t>
        </is>
      </c>
      <c r="K122" t="n">
        <v>30</v>
      </c>
      <c r="L122" t="inlineStr">
        <is>
          <t>30 Juli 2026</t>
        </is>
      </c>
      <c r="M122" t="inlineStr">
        <is>
          <t>Konstruksi Jaringan Irigasi dan Drainase</t>
        </is>
      </c>
      <c r="N122" t="inlineStr">
        <is>
          <t>K</t>
        </is>
      </c>
      <c r="O122" t="inlineStr">
        <is>
          <t>20230725</t>
        </is>
      </c>
      <c r="P122" t="inlineStr">
        <is>
          <t>Jawa Tengah</t>
        </is>
      </c>
      <c r="Q122" t="inlineStr"/>
    </row>
    <row r="123">
      <c r="A123" t="inlineStr">
        <is>
          <t>PUTRA NATAMA ENGINEERING</t>
        </is>
      </c>
      <c r="B123" t="inlineStr">
        <is>
          <t>Kota Medan</t>
        </is>
      </c>
      <c r="C123" t="inlineStr">
        <is>
          <t>081314075327</t>
        </is>
      </c>
      <c r="D123" t="inlineStr">
        <is>
          <t>putra.natama@ymail.com</t>
        </is>
      </c>
      <c r="E123" t="inlineStr">
        <is>
          <t>https://lpjk.pu.go.id/search-badan-usaha-detail/ZXlpbDdwaW9ZeWUvSzhaRkJWdFNvdz09</t>
        </is>
      </c>
      <c r="F123" t="n">
        <v>1</v>
      </c>
      <c r="G123" t="inlineStr">
        <is>
          <t>BG009</t>
        </is>
      </c>
      <c r="H123" t="inlineStr">
        <is>
          <t>16 Desember 1999</t>
        </is>
      </c>
      <c r="I123" s="2" t="n">
        <v>46233</v>
      </c>
      <c r="J123" t="inlineStr">
        <is>
          <t>Disetujui</t>
        </is>
      </c>
      <c r="K123" t="n">
        <v>30</v>
      </c>
      <c r="L123" t="inlineStr">
        <is>
          <t>30 Juli 2026</t>
        </is>
      </c>
      <c r="M123" t="inlineStr">
        <is>
          <t>Konstruksi Gedung Lainnya</t>
        </is>
      </c>
      <c r="N123" t="inlineStr">
        <is>
          <t>K</t>
        </is>
      </c>
      <c r="O123" t="inlineStr">
        <is>
          <t>20230721</t>
        </is>
      </c>
      <c r="P123" t="inlineStr">
        <is>
          <t>Sumatera Utara</t>
        </is>
      </c>
      <c r="Q123" t="inlineStr"/>
    </row>
    <row r="124">
      <c r="A124" t="inlineStr">
        <is>
          <t>PUTRADITA INTI PERSADA</t>
        </is>
      </c>
      <c r="B124" t="inlineStr">
        <is>
          <t>Kota Cilegon</t>
        </is>
      </c>
      <c r="C124" t="inlineStr">
        <is>
          <t>0</t>
        </is>
      </c>
      <c r="D124" t="inlineStr">
        <is>
          <t>0</t>
        </is>
      </c>
      <c r="E124" t="inlineStr">
        <is>
          <t>https://lpjk.pu.go.id/search-badan-usaha-detail/MUpkMGJHbDhMdWNFMjYzVkF4MWJVUT09</t>
        </is>
      </c>
      <c r="F124" t="n">
        <v>1</v>
      </c>
      <c r="G124" t="inlineStr">
        <is>
          <t>BS004</t>
        </is>
      </c>
      <c r="H124" t="inlineStr">
        <is>
          <t>29 September 2013</t>
        </is>
      </c>
      <c r="I124" s="2" t="n">
        <v>46233</v>
      </c>
      <c r="J124" t="inlineStr">
        <is>
          <t>Disetujui</t>
        </is>
      </c>
      <c r="K124" t="n">
        <v>30</v>
      </c>
      <c r="L124" t="inlineStr">
        <is>
          <t>30 Juli 2026</t>
        </is>
      </c>
      <c r="M124" t="inlineStr">
        <is>
          <t>Konstruksi Jaringan Irigasi dan Drainase</t>
        </is>
      </c>
      <c r="N124" t="inlineStr">
        <is>
          <t>K</t>
        </is>
      </c>
      <c r="O124" t="inlineStr">
        <is>
          <t>20230729</t>
        </is>
      </c>
      <c r="P124" t="inlineStr">
        <is>
          <t>Banten</t>
        </is>
      </c>
      <c r="Q124" t="inlineStr"/>
    </row>
    <row r="125">
      <c r="A125" t="inlineStr">
        <is>
          <t>PUTRI TUNGGAL KONSTRUKSI</t>
        </is>
      </c>
      <c r="B125" t="inlineStr">
        <is>
          <t>Kab. Boalemo</t>
        </is>
      </c>
      <c r="C125" t="inlineStr">
        <is>
          <t>081356431760</t>
        </is>
      </c>
      <c r="D125" t="inlineStr">
        <is>
          <t>cv.putritunggalkonstruksi@gmail.com</t>
        </is>
      </c>
      <c r="E125" t="inlineStr">
        <is>
          <t>https://lpjk.pu.go.id/search-badan-usaha-detail/MkVVZHk2RFhzK1lBUVY0aHBuNEpsQT09</t>
        </is>
      </c>
      <c r="F125" t="n">
        <v>1</v>
      </c>
      <c r="G125" t="inlineStr">
        <is>
          <t>BS001</t>
        </is>
      </c>
      <c r="H125" t="inlineStr">
        <is>
          <t>29 September 2022</t>
        </is>
      </c>
      <c r="I125" s="2" t="n">
        <v>46233</v>
      </c>
      <c r="J125" t="inlineStr">
        <is>
          <t>Disetujui</t>
        </is>
      </c>
      <c r="K125" t="n">
        <v>30</v>
      </c>
      <c r="L125" t="inlineStr">
        <is>
          <t>30 Juli 2026</t>
        </is>
      </c>
      <c r="M125" t="inlineStr">
        <is>
          <t>Konstruksi Bangunan Sipil Jalan</t>
        </is>
      </c>
      <c r="N125" t="inlineStr">
        <is>
          <t>K</t>
        </is>
      </c>
      <c r="O125" t="inlineStr">
        <is>
          <t>20230525</t>
        </is>
      </c>
      <c r="P125" t="inlineStr">
        <is>
          <t>Gorontalo</t>
        </is>
      </c>
      <c r="Q125" t="inlineStr"/>
    </row>
    <row r="126">
      <c r="A126" t="inlineStr">
        <is>
          <t>RAFAREZEL KONSTRUKSI</t>
        </is>
      </c>
      <c r="B126" t="inlineStr">
        <is>
          <t>Kab. Muaro Jambi</t>
        </is>
      </c>
      <c r="C126" t="inlineStr">
        <is>
          <t>082179919104</t>
        </is>
      </c>
      <c r="D126" t="inlineStr">
        <is>
          <t>rafarezelkonstruksijbi@gmail.com</t>
        </is>
      </c>
      <c r="E126" t="inlineStr">
        <is>
          <t>https://lpjk.pu.go.id/search-badan-usaha-detail/aVR6RzhzY3FQYjN1WS8xZ0s3VlJJdz09</t>
        </is>
      </c>
      <c r="F126" t="n">
        <v>1</v>
      </c>
      <c r="G126" t="inlineStr">
        <is>
          <t>BS001</t>
        </is>
      </c>
      <c r="H126" t="inlineStr">
        <is>
          <t>20 Juli 2023</t>
        </is>
      </c>
      <c r="I126" s="2" t="n">
        <v>46233</v>
      </c>
      <c r="J126" t="inlineStr">
        <is>
          <t>Disetujui</t>
        </is>
      </c>
      <c r="K126" t="n">
        <v>30</v>
      </c>
      <c r="L126" t="inlineStr">
        <is>
          <t>30 Juli 2026</t>
        </is>
      </c>
      <c r="M126" t="inlineStr">
        <is>
          <t>Konstruksi Bangunan Sipil Jalan</t>
        </is>
      </c>
      <c r="N126" t="inlineStr">
        <is>
          <t>K</t>
        </is>
      </c>
      <c r="O126" t="inlineStr">
        <is>
          <t>20230726</t>
        </is>
      </c>
      <c r="P126" t="inlineStr">
        <is>
          <t>Jambi</t>
        </is>
      </c>
      <c r="Q126" t="inlineStr"/>
    </row>
    <row r="127">
      <c r="A127" t="inlineStr">
        <is>
          <t>RAJA REZEKY INDONESIA</t>
        </is>
      </c>
      <c r="B127" t="inlineStr">
        <is>
          <t>Kab. Buru</t>
        </is>
      </c>
      <c r="C127" t="inlineStr">
        <is>
          <t>085243444333</t>
        </is>
      </c>
      <c r="D127" t="inlineStr">
        <is>
          <t>rajarezeky.indonesia@gmail.com</t>
        </is>
      </c>
      <c r="E127" t="inlineStr">
        <is>
          <t>https://lpjk.pu.go.id/search-badan-usaha-detail/clFGWlZ1cUlSSmxNTHcxTzNqZS9kNVhhZTZpOGE2aEkySFprVVl5VUNDVT0</t>
        </is>
      </c>
      <c r="F127" t="n">
        <v>1</v>
      </c>
      <c r="G127" t="inlineStr">
        <is>
          <t>BS005</t>
        </is>
      </c>
      <c r="H127" t="inlineStr">
        <is>
          <t>20 Januari 2022</t>
        </is>
      </c>
      <c r="I127" s="2" t="n">
        <v>46233</v>
      </c>
      <c r="J127" t="inlineStr">
        <is>
          <t>Disetujui</t>
        </is>
      </c>
      <c r="K127" t="n">
        <v>30</v>
      </c>
      <c r="L127" t="inlineStr">
        <is>
          <t>30 Juli 2026</t>
        </is>
      </c>
      <c r="M127" t="inlineStr">
        <is>
          <t>Konstruksi Bangunan Sipil Pengolahan Air Bersih</t>
        </is>
      </c>
      <c r="N127" t="inlineStr">
        <is>
          <t>K</t>
        </is>
      </c>
      <c r="O127" t="inlineStr">
        <is>
          <t>20230731</t>
        </is>
      </c>
      <c r="P127" t="inlineStr">
        <is>
          <t>Maluku</t>
        </is>
      </c>
      <c r="Q127" t="inlineStr"/>
    </row>
    <row r="128">
      <c r="A128" t="inlineStr">
        <is>
          <t>RAYN</t>
        </is>
      </c>
      <c r="B128" t="inlineStr">
        <is>
          <t>Kab. Cirebon</t>
        </is>
      </c>
      <c r="C128" t="inlineStr">
        <is>
          <t>082152719603</t>
        </is>
      </c>
      <c r="D128" t="inlineStr">
        <is>
          <t>cvrayn@gmail.com</t>
        </is>
      </c>
      <c r="E128" t="inlineStr">
        <is>
          <t>https://lpjk.pu.go.id/search-badan-usaha-detail/a0FodGRnZmszRkd0cExONlcybXo1dz09</t>
        </is>
      </c>
      <c r="F128" t="n">
        <v>4</v>
      </c>
      <c r="G128" t="inlineStr">
        <is>
          <t>RK001, RK002, RK003, RK005</t>
        </is>
      </c>
      <c r="H128" t="inlineStr">
        <is>
          <t>2 Maret 2023</t>
        </is>
      </c>
      <c r="I128" s="2" t="n">
        <v>46233</v>
      </c>
      <c r="J128" t="inlineStr">
        <is>
          <t>Disetujui</t>
        </is>
      </c>
      <c r="K128" t="n">
        <v>30</v>
      </c>
      <c r="L128" t="inlineStr">
        <is>
          <t>30 Juli 2026</t>
        </is>
      </c>
      <c r="M128" t="inlineStr">
        <is>
          <t>Jasa Rekayasa Konstruksi Bangunan Gedung Hunian dan Non Hunian, Jasa Rekayasa Lainnya, Jasa Rekayasa Pekerjaan Teknik Sipil Sumber Daya Air, Jasa Rekayasa Pekerjaan Teknik Sipil Transportasi</t>
        </is>
      </c>
      <c r="N128" t="inlineStr">
        <is>
          <t>K</t>
        </is>
      </c>
      <c r="O128" t="inlineStr">
        <is>
          <t>20230725</t>
        </is>
      </c>
      <c r="P128" t="inlineStr">
        <is>
          <t>Jawa Barat</t>
        </is>
      </c>
      <c r="Q128" t="inlineStr"/>
    </row>
    <row r="129">
      <c r="A129" t="inlineStr">
        <is>
          <t>RAZAAQI SELARAS PERSADA</t>
        </is>
      </c>
      <c r="B129" t="inlineStr">
        <is>
          <t>Kota Adm. Jakarta Selatan</t>
        </is>
      </c>
      <c r="C129" t="inlineStr">
        <is>
          <t>02157940757</t>
        </is>
      </c>
      <c r="D129" t="inlineStr">
        <is>
          <t>razaaqi_sp@yahoo.com</t>
        </is>
      </c>
      <c r="E129" t="inlineStr">
        <is>
          <t>https://lpjk.pu.go.id/search-badan-usaha-detail/cGRrWHA2WWk5eUhRR0pKdG5uY2dvQT09</t>
        </is>
      </c>
      <c r="F129" t="n">
        <v>1</v>
      </c>
      <c r="G129" t="inlineStr">
        <is>
          <t>BG005</t>
        </is>
      </c>
      <c r="H129" t="inlineStr">
        <is>
          <t>8 September 2004</t>
        </is>
      </c>
      <c r="I129" s="2" t="n">
        <v>46233</v>
      </c>
      <c r="J129" t="inlineStr">
        <is>
          <t>Pembekuan</t>
        </is>
      </c>
      <c r="K129" t="n">
        <v>30</v>
      </c>
      <c r="L129" t="inlineStr">
        <is>
          <t>30 Juli 2026</t>
        </is>
      </c>
      <c r="M129" t="inlineStr">
        <is>
          <t>Konstruksi Gedung Kesehatan</t>
        </is>
      </c>
      <c r="N129" t="inlineStr">
        <is>
          <t>M</t>
        </is>
      </c>
      <c r="O129" t="inlineStr">
        <is>
          <t>20230728</t>
        </is>
      </c>
      <c r="P129" t="inlineStr">
        <is>
          <t>DKI Jakarta</t>
        </is>
      </c>
      <c r="Q129" t="inlineStr"/>
    </row>
    <row r="130">
      <c r="A130" t="inlineStr">
        <is>
          <t>REGENT SEMESTA INDONESIA</t>
        </is>
      </c>
      <c r="B130" t="inlineStr">
        <is>
          <t>Kota Adm. Jakarta Selatan</t>
        </is>
      </c>
      <c r="C130" t="inlineStr">
        <is>
          <t>0217870088</t>
        </is>
      </c>
      <c r="D130" t="inlineStr">
        <is>
          <t>regent@regent.co.id</t>
        </is>
      </c>
      <c r="E130" t="inlineStr">
        <is>
          <t>https://lpjk.pu.go.id/search-badan-usaha-detail/elpLZkU1eGdBNFJoWnB1NlFnWTRyZz09</t>
        </is>
      </c>
      <c r="F130" t="n">
        <v>2</v>
      </c>
      <c r="G130" t="inlineStr">
        <is>
          <t>BG009, BS009</t>
        </is>
      </c>
      <c r="H130" t="inlineStr">
        <is>
          <t>27 Juli 2000</t>
        </is>
      </c>
      <c r="I130" s="2" t="n">
        <v>46233</v>
      </c>
      <c r="J130" t="inlineStr">
        <is>
          <t>Disetujui</t>
        </is>
      </c>
      <c r="K130" t="n">
        <v>30</v>
      </c>
      <c r="L130" t="inlineStr">
        <is>
          <t>30 Juli 2026</t>
        </is>
      </c>
      <c r="M130" t="inlineStr">
        <is>
          <t>Konstruksi Gedung Lainnya, Konstruksi Sentral Telekomunikasi</t>
        </is>
      </c>
      <c r="N130" t="inlineStr">
        <is>
          <t>M</t>
        </is>
      </c>
      <c r="O130" t="inlineStr">
        <is>
          <t>20230720</t>
        </is>
      </c>
      <c r="P130" t="inlineStr">
        <is>
          <t>DKI Jakarta</t>
        </is>
      </c>
      <c r="Q130" t="inlineStr"/>
    </row>
    <row r="131">
      <c r="A131" t="inlineStr">
        <is>
          <t>REZEKI ANANDA BERKAH</t>
        </is>
      </c>
      <c r="B131" t="inlineStr">
        <is>
          <t>Kota Medan</t>
        </is>
      </c>
      <c r="C131" t="inlineStr">
        <is>
          <t>082360436868</t>
        </is>
      </c>
      <c r="D131" t="inlineStr">
        <is>
          <t>anandaberkahrezeki@gmail.com</t>
        </is>
      </c>
      <c r="E131" t="inlineStr">
        <is>
          <t>https://lpjk.pu.go.id/search-badan-usaha-detail/TGlTRnRMdHBMM2dMS1l6bE1Wd0wxdz09</t>
        </is>
      </c>
      <c r="F131" t="n">
        <v>3</v>
      </c>
      <c r="G131" t="inlineStr">
        <is>
          <t>BG001, BG002, BG009</t>
        </is>
      </c>
      <c r="H131" t="inlineStr">
        <is>
          <t>16 Mei 2018</t>
        </is>
      </c>
      <c r="I131" s="2" t="n">
        <v>46233</v>
      </c>
      <c r="J131" t="inlineStr">
        <is>
          <t>Disetujui</t>
        </is>
      </c>
      <c r="K131" t="n">
        <v>30</v>
      </c>
      <c r="L131" t="inlineStr">
        <is>
          <t>30 Juli 2026</t>
        </is>
      </c>
      <c r="M131" t="inlineStr">
        <is>
          <t>Konstruksi Gedung Hunian, Konstruksi Gedung Lainnya, Konstruksi Gedung Perkantoran</t>
        </is>
      </c>
      <c r="N131" t="inlineStr">
        <is>
          <t>K</t>
        </is>
      </c>
      <c r="O131" t="inlineStr">
        <is>
          <t>20230731</t>
        </is>
      </c>
      <c r="P131" t="inlineStr">
        <is>
          <t>Sumatera Utara</t>
        </is>
      </c>
      <c r="Q131" t="inlineStr"/>
    </row>
    <row r="132">
      <c r="A132" t="inlineStr">
        <is>
          <t>REZKY PRATAMA MEKA</t>
        </is>
      </c>
      <c r="B132" t="inlineStr">
        <is>
          <t>Kab. Langkat</t>
        </is>
      </c>
      <c r="C132" t="inlineStr">
        <is>
          <t>082181096625</t>
        </is>
      </c>
      <c r="D132" t="inlineStr">
        <is>
          <t>pt.rpm@yahoo.com</t>
        </is>
      </c>
      <c r="E132" t="inlineStr">
        <is>
          <t>https://lpjk.pu.go.id/search-badan-usaha-detail/Q2ZFaDRFeFBaL0ZWSnhrQmVLdVZWUT09</t>
        </is>
      </c>
      <c r="F132" t="n">
        <v>1</v>
      </c>
      <c r="G132" t="inlineStr">
        <is>
          <t>BG009</t>
        </is>
      </c>
      <c r="H132" t="inlineStr">
        <is>
          <t>22 Agustus 2013</t>
        </is>
      </c>
      <c r="I132" s="2" t="n">
        <v>46233</v>
      </c>
      <c r="J132" t="inlineStr">
        <is>
          <t>Pencabutan</t>
        </is>
      </c>
      <c r="K132" t="n">
        <v>30</v>
      </c>
      <c r="L132" t="inlineStr">
        <is>
          <t>30 Juli 2026</t>
        </is>
      </c>
      <c r="M132" t="inlineStr">
        <is>
          <t>Konstruksi Gedung Lainnya</t>
        </is>
      </c>
      <c r="N132" t="inlineStr">
        <is>
          <t>K</t>
        </is>
      </c>
      <c r="O132" t="inlineStr">
        <is>
          <t>20230721</t>
        </is>
      </c>
      <c r="P132" t="inlineStr">
        <is>
          <t>Sumatera Utara</t>
        </is>
      </c>
      <c r="Q132" t="inlineStr"/>
    </row>
    <row r="133">
      <c r="A133" t="inlineStr">
        <is>
          <t>RIFQI PRATAMA</t>
        </is>
      </c>
      <c r="B133" t="inlineStr">
        <is>
          <t>Kab. Tanjung Jabung Barat</t>
        </is>
      </c>
      <c r="C133" t="inlineStr">
        <is>
          <t>085384153005</t>
        </is>
      </c>
      <c r="D133" t="inlineStr">
        <is>
          <t>rifqi.pratama2020@gmail.com</t>
        </is>
      </c>
      <c r="E133" t="inlineStr">
        <is>
          <t>https://lpjk.pu.go.id/search-badan-usaha-detail/cFh3M3FxLy9wNmhSaDJjclQzRXQ0UT09</t>
        </is>
      </c>
      <c r="F133" t="n">
        <v>1</v>
      </c>
      <c r="G133" t="inlineStr">
        <is>
          <t>BS002</t>
        </is>
      </c>
      <c r="H133" t="inlineStr">
        <is>
          <t>13 Januari 2020</t>
        </is>
      </c>
      <c r="I133" s="2" t="n">
        <v>46233</v>
      </c>
      <c r="J133" t="inlineStr">
        <is>
          <t>Disetujui</t>
        </is>
      </c>
      <c r="K133" t="n">
        <v>30</v>
      </c>
      <c r="L133" t="inlineStr">
        <is>
          <t>30 Juli 2026</t>
        </is>
      </c>
      <c r="M133" t="inlineStr">
        <is>
          <t>Bangunan Sipil Jembatan, Jalan Layang, Fly Over, dan Underpass</t>
        </is>
      </c>
      <c r="N133" t="inlineStr">
        <is>
          <t>K</t>
        </is>
      </c>
      <c r="O133" t="inlineStr">
        <is>
          <t>20230726</t>
        </is>
      </c>
      <c r="P133" t="inlineStr">
        <is>
          <t>Jambi</t>
        </is>
      </c>
      <c r="Q133" t="inlineStr"/>
    </row>
    <row r="134">
      <c r="A134" t="inlineStr">
        <is>
          <t>RIZKI UTAMA</t>
        </is>
      </c>
      <c r="B134" t="inlineStr">
        <is>
          <t>Kab. Bondowoso</t>
        </is>
      </c>
      <c r="C134" t="inlineStr">
        <is>
          <t>085231377788</t>
        </is>
      </c>
      <c r="D134" t="inlineStr">
        <is>
          <t>djajuscv@gmail.com</t>
        </is>
      </c>
      <c r="E134" t="inlineStr">
        <is>
          <t>https://lpjk.pu.go.id/search-badan-usaha-detail/QlpMajMyU2JMOVYxR1VEQytpQ3FkZz09</t>
        </is>
      </c>
      <c r="F134" t="n">
        <v>1</v>
      </c>
      <c r="G134" t="inlineStr">
        <is>
          <t>BS001</t>
        </is>
      </c>
      <c r="H134" t="inlineStr">
        <is>
          <t>30 Desember 2002</t>
        </is>
      </c>
      <c r="I134" s="2" t="n">
        <v>46233</v>
      </c>
      <c r="J134" t="inlineStr">
        <is>
          <t>Disetujui</t>
        </is>
      </c>
      <c r="K134" t="n">
        <v>30</v>
      </c>
      <c r="L134" t="inlineStr">
        <is>
          <t>30 Juli 2026</t>
        </is>
      </c>
      <c r="M134" t="inlineStr">
        <is>
          <t>Konstruksi Bangunan Sipil Jalan</t>
        </is>
      </c>
      <c r="N134" t="inlineStr">
        <is>
          <t>K</t>
        </is>
      </c>
      <c r="O134" t="inlineStr">
        <is>
          <t>20230714</t>
        </is>
      </c>
      <c r="P134" t="inlineStr">
        <is>
          <t>Jawa Timur</t>
        </is>
      </c>
      <c r="Q134" t="inlineStr"/>
    </row>
    <row r="135">
      <c r="A135" t="inlineStr">
        <is>
          <t>SAHABAT MITRA SEJATI</t>
        </is>
      </c>
      <c r="B135" t="inlineStr">
        <is>
          <t>Kota Jambi</t>
        </is>
      </c>
      <c r="C135" t="inlineStr">
        <is>
          <t>085266901114</t>
        </is>
      </c>
      <c r="D135" t="inlineStr">
        <is>
          <t>oss.sahabatmitrasejati@gmail.com</t>
        </is>
      </c>
      <c r="E135" t="inlineStr">
        <is>
          <t>https://lpjk.pu.go.id/search-badan-usaha-detail/UGFGTFgwNGFDQjdIL3RDQmJjdFg0UT09</t>
        </is>
      </c>
      <c r="F135" t="n">
        <v>1</v>
      </c>
      <c r="G135" t="inlineStr">
        <is>
          <t>BG006</t>
        </is>
      </c>
      <c r="H135" t="inlineStr">
        <is>
          <t>29 Juli 2015</t>
        </is>
      </c>
      <c r="I135" s="2" t="n">
        <v>46233</v>
      </c>
      <c r="J135" t="inlineStr">
        <is>
          <t>Disetujui</t>
        </is>
      </c>
      <c r="K135" t="n">
        <v>30</v>
      </c>
      <c r="L135" t="inlineStr">
        <is>
          <t>30 Juli 2026</t>
        </is>
      </c>
      <c r="M135" t="inlineStr">
        <is>
          <t>Konstruksi Gedung Pendidikan</t>
        </is>
      </c>
      <c r="N135" t="inlineStr">
        <is>
          <t>K</t>
        </is>
      </c>
      <c r="O135" t="inlineStr">
        <is>
          <t>20230605</t>
        </is>
      </c>
      <c r="P135" t="inlineStr">
        <is>
          <t>Jambi</t>
        </is>
      </c>
      <c r="Q135" t="inlineStr"/>
    </row>
    <row r="136">
      <c r="A136" t="inlineStr">
        <is>
          <t>SAMUDERA REKSO ASRI</t>
        </is>
      </c>
      <c r="B136" t="inlineStr">
        <is>
          <t>Kota Adm. Jakarta Barat</t>
        </is>
      </c>
      <c r="C136" t="inlineStr">
        <is>
          <t>02153675605</t>
        </is>
      </c>
      <c r="D136" t="inlineStr">
        <is>
          <t>info.oss.sra@samudera.id</t>
        </is>
      </c>
      <c r="E136" t="inlineStr">
        <is>
          <t>https://lpjk.pu.go.id/search-badan-usaha-detail/N1psSjNENk5EZEFBb1hGMEhXNGcxQT09</t>
        </is>
      </c>
      <c r="F136" t="n">
        <v>1</v>
      </c>
      <c r="G136" t="inlineStr">
        <is>
          <t>BG002</t>
        </is>
      </c>
      <c r="H136" t="inlineStr">
        <is>
          <t>28 April 2011</t>
        </is>
      </c>
      <c r="I136" s="2" t="n">
        <v>46233</v>
      </c>
      <c r="J136" t="inlineStr">
        <is>
          <t>Disetujui</t>
        </is>
      </c>
      <c r="K136" t="n">
        <v>30</v>
      </c>
      <c r="L136" t="inlineStr">
        <is>
          <t>30 Juli 2026</t>
        </is>
      </c>
      <c r="M136" t="inlineStr">
        <is>
          <t>Konstruksi Gedung Perkantoran</t>
        </is>
      </c>
      <c r="N136" t="inlineStr">
        <is>
          <t>K</t>
        </is>
      </c>
      <c r="O136" t="inlineStr">
        <is>
          <t>20230724</t>
        </is>
      </c>
      <c r="P136" t="inlineStr">
        <is>
          <t>DKI Jakarta</t>
        </is>
      </c>
      <c r="Q136" t="inlineStr"/>
    </row>
    <row r="137">
      <c r="A137" t="inlineStr">
        <is>
          <t>SEBAYANG INDAH MANDIRI</t>
        </is>
      </c>
      <c r="B137" t="inlineStr">
        <is>
          <t>Kab. Merangin</t>
        </is>
      </c>
      <c r="C137" t="inlineStr">
        <is>
          <t>082238206597</t>
        </is>
      </c>
      <c r="D137" t="inlineStr">
        <is>
          <t>sebayangindahmandiri@gmail.com</t>
        </is>
      </c>
      <c r="E137" t="inlineStr">
        <is>
          <t>https://lpjk.pu.go.id/search-badan-usaha-detail/dTNqWlRIay93OHA0TTRLd0tYQW5qZz09</t>
        </is>
      </c>
      <c r="F137" t="n">
        <v>2</v>
      </c>
      <c r="G137" t="inlineStr">
        <is>
          <t>BG005, BG006</t>
        </is>
      </c>
      <c r="H137" t="inlineStr">
        <is>
          <t>21 Juni 2023</t>
        </is>
      </c>
      <c r="I137" s="2" t="n">
        <v>46233</v>
      </c>
      <c r="J137" t="inlineStr">
        <is>
          <t>Disetujui</t>
        </is>
      </c>
      <c r="K137" t="n">
        <v>30</v>
      </c>
      <c r="L137" t="inlineStr">
        <is>
          <t>30 Juli 2026</t>
        </is>
      </c>
      <c r="M137" t="inlineStr">
        <is>
          <t>Konstruksi Gedung Kesehatan, Konstruksi Gedung Pendidikan</t>
        </is>
      </c>
      <c r="N137" t="inlineStr">
        <is>
          <t>K</t>
        </is>
      </c>
      <c r="O137" t="inlineStr">
        <is>
          <t>20230724, 20230725</t>
        </is>
      </c>
      <c r="P137" t="inlineStr">
        <is>
          <t>Jambi</t>
        </is>
      </c>
      <c r="Q137" t="inlineStr"/>
    </row>
    <row r="138">
      <c r="A138" t="inlineStr">
        <is>
          <t>SENAMBAH PUTRA</t>
        </is>
      </c>
      <c r="B138" t="inlineStr">
        <is>
          <t>Kota Samarinda</t>
        </is>
      </c>
      <c r="C138" t="inlineStr">
        <is>
          <t>08115590774</t>
        </is>
      </c>
      <c r="D138" t="inlineStr">
        <is>
          <t>cv_senambahputra@yahoo.com</t>
        </is>
      </c>
      <c r="E138" t="inlineStr">
        <is>
          <t>https://lpjk.pu.go.id/search-badan-usaha-detail/WWNuekxESGV5RkxzNlhUWTJBdWxGdz09</t>
        </is>
      </c>
      <c r="F138" t="n">
        <v>1</v>
      </c>
      <c r="G138" t="inlineStr">
        <is>
          <t>BG006</t>
        </is>
      </c>
      <c r="H138" t="inlineStr">
        <is>
          <t>27 Februari 1982</t>
        </is>
      </c>
      <c r="I138" s="2" t="n">
        <v>46233</v>
      </c>
      <c r="J138" t="inlineStr">
        <is>
          <t>Disetujui</t>
        </is>
      </c>
      <c r="K138" t="n">
        <v>30</v>
      </c>
      <c r="L138" t="inlineStr">
        <is>
          <t>30 Juli 2026</t>
        </is>
      </c>
      <c r="M138" t="inlineStr">
        <is>
          <t>Konstruksi Gedung Pendidikan</t>
        </is>
      </c>
      <c r="N138" t="inlineStr">
        <is>
          <t>K</t>
        </is>
      </c>
      <c r="O138" t="inlineStr">
        <is>
          <t>20230517</t>
        </is>
      </c>
      <c r="P138" t="inlineStr">
        <is>
          <t>Kalimantan Timur</t>
        </is>
      </c>
      <c r="Q138" t="inlineStr"/>
    </row>
    <row r="139">
      <c r="A139" t="inlineStr">
        <is>
          <t>SERUMPUN MUTIARA PETUNG</t>
        </is>
      </c>
      <c r="B139" t="inlineStr">
        <is>
          <t>Kab. Penajam Paser Utara</t>
        </is>
      </c>
      <c r="C139" t="inlineStr">
        <is>
          <t>081253437033</t>
        </is>
      </c>
      <c r="D139" t="inlineStr">
        <is>
          <t>pt.mutiarapetung@gmail.com</t>
        </is>
      </c>
      <c r="E139" t="inlineStr">
        <is>
          <t>https://lpjk.pu.go.id/search-badan-usaha-detail/WjdOckhmdHFSWVZuU3poQ0xFdytBUT09</t>
        </is>
      </c>
      <c r="F139" t="n">
        <v>1</v>
      </c>
      <c r="G139" t="inlineStr">
        <is>
          <t>BG001</t>
        </is>
      </c>
      <c r="H139" t="inlineStr">
        <is>
          <t>27 November 2018</t>
        </is>
      </c>
      <c r="I139" s="2" t="n">
        <v>46233</v>
      </c>
      <c r="J139" t="inlineStr">
        <is>
          <t>Pencabutan</t>
        </is>
      </c>
      <c r="K139" t="n">
        <v>30</v>
      </c>
      <c r="L139" t="inlineStr">
        <is>
          <t>30 Juli 2026</t>
        </is>
      </c>
      <c r="M139" t="inlineStr">
        <is>
          <t>Konstruksi Gedung Hunian</t>
        </is>
      </c>
      <c r="N139" t="inlineStr">
        <is>
          <t>K</t>
        </is>
      </c>
      <c r="O139" t="inlineStr">
        <is>
          <t>20230726</t>
        </is>
      </c>
      <c r="P139" t="inlineStr">
        <is>
          <t>Kalimantan Timur</t>
        </is>
      </c>
      <c r="Q139" t="inlineStr"/>
    </row>
    <row r="140">
      <c r="A140" t="inlineStr">
        <is>
          <t>SINERGI INVESTAMA</t>
        </is>
      </c>
      <c r="B140" t="inlineStr">
        <is>
          <t>Kab. Rembang</t>
        </is>
      </c>
      <c r="C140" t="inlineStr">
        <is>
          <t>087831424478</t>
        </is>
      </c>
      <c r="D140" t="inlineStr">
        <is>
          <t>sinergiinvestama2023@gmail.com</t>
        </is>
      </c>
      <c r="E140" t="inlineStr">
        <is>
          <t>https://lpjk.pu.go.id/search-badan-usaha-detail/cnZGQUNlNEk0QVpNRTBLK2VvSGsyZz09</t>
        </is>
      </c>
      <c r="F140" t="n">
        <v>1</v>
      </c>
      <c r="G140" t="inlineStr">
        <is>
          <t>BG006</t>
        </is>
      </c>
      <c r="H140" t="inlineStr">
        <is>
          <t>3 Januari 2023</t>
        </is>
      </c>
      <c r="I140" s="2" t="n">
        <v>46233</v>
      </c>
      <c r="J140" t="inlineStr">
        <is>
          <t>Disetujui</t>
        </is>
      </c>
      <c r="K140" t="n">
        <v>30</v>
      </c>
      <c r="L140" t="inlineStr">
        <is>
          <t>30 Juli 2026</t>
        </is>
      </c>
      <c r="M140" t="inlineStr">
        <is>
          <t>Konstruksi Gedung Pendidikan</t>
        </is>
      </c>
      <c r="N140" t="inlineStr">
        <is>
          <t>K</t>
        </is>
      </c>
      <c r="O140" t="inlineStr">
        <is>
          <t>20230727</t>
        </is>
      </c>
      <c r="P140" t="inlineStr">
        <is>
          <t>Jawa Tengah</t>
        </is>
      </c>
      <c r="Q140" t="inlineStr"/>
    </row>
    <row r="141">
      <c r="A141" t="inlineStr">
        <is>
          <t>SINERGI LARAS ARSITEKTUR</t>
        </is>
      </c>
      <c r="B141" t="inlineStr">
        <is>
          <t>Kab. Sidoarjo</t>
        </is>
      </c>
      <c r="C141" t="inlineStr">
        <is>
          <t>03186333864</t>
        </is>
      </c>
      <c r="D141" t="inlineStr">
        <is>
          <t>slametarsitek@yahoo.co.id</t>
        </is>
      </c>
      <c r="E141" t="inlineStr">
        <is>
          <t>https://lpjk.pu.go.id/search-badan-usaha-detail/QzZjOWdFS2pZM2pKbG5IZGhkMFpqUT09</t>
        </is>
      </c>
      <c r="F141" t="n">
        <v>4</v>
      </c>
      <c r="G141" t="inlineStr">
        <is>
          <t>AR001, AR002, AR003, RK001</t>
        </is>
      </c>
      <c r="H141" t="inlineStr">
        <is>
          <t>6 Januari 2012</t>
        </is>
      </c>
      <c r="I141" s="2" t="n">
        <v>46233</v>
      </c>
      <c r="J141" t="inlineStr">
        <is>
          <t>Disetujui</t>
        </is>
      </c>
      <c r="K141" t="n">
        <v>30</v>
      </c>
      <c r="L141" t="inlineStr">
        <is>
          <t>30 Juli 2026</t>
        </is>
      </c>
      <c r="M141" t="inlineStr">
        <is>
          <t>Jasa Arsitektural Bangunan Gedung Hunian dan Non Hunian, Jasa Arsitektural Lainnya, Jasa Desain Interior pada Bangunan Gedung dan Bangunan Sipil, Jasa Rekayasa Konstruksi Bangunan Gedung Hunian dan Non Hunian</t>
        </is>
      </c>
      <c r="N141" t="inlineStr">
        <is>
          <t>K</t>
        </is>
      </c>
      <c r="O141" t="inlineStr">
        <is>
          <t>20230725</t>
        </is>
      </c>
      <c r="P141" t="inlineStr">
        <is>
          <t>Jawa Timur</t>
        </is>
      </c>
      <c r="Q141" t="inlineStr"/>
    </row>
    <row r="142">
      <c r="A142" t="inlineStr">
        <is>
          <t>SUMBER REZEKI TEGAR JAYA</t>
        </is>
      </c>
      <c r="B142" t="inlineStr">
        <is>
          <t>Kab. Langkat</t>
        </is>
      </c>
      <c r="C142" t="inlineStr">
        <is>
          <t>081397057371</t>
        </is>
      </c>
      <c r="D142" t="inlineStr">
        <is>
          <t>pt.sumberrezekitegarjaya@yahoo.com</t>
        </is>
      </c>
      <c r="E142" t="inlineStr">
        <is>
          <t>https://lpjk.pu.go.id/search-badan-usaha-detail/YTFZSjJKZGFkMWc4MDFSRmQ0YmZ6Zz09</t>
        </is>
      </c>
      <c r="F142" t="n">
        <v>3</v>
      </c>
      <c r="G142" t="inlineStr">
        <is>
          <t>BG001, BG003, BG009</t>
        </is>
      </c>
      <c r="H142" t="inlineStr">
        <is>
          <t>15 Juli 2011</t>
        </is>
      </c>
      <c r="I142" s="2" t="n">
        <v>46233</v>
      </c>
      <c r="J142" t="inlineStr">
        <is>
          <t>Disetujui</t>
        </is>
      </c>
      <c r="K142" t="n">
        <v>30</v>
      </c>
      <c r="L142" t="inlineStr">
        <is>
          <t>30 Juli 2026</t>
        </is>
      </c>
      <c r="M142" t="inlineStr">
        <is>
          <t>Konstruksi Gedung Hunian, Konstruksi Gedung Industri, Konstruksi Gedung Lainnya</t>
        </is>
      </c>
      <c r="N142" t="inlineStr">
        <is>
          <t>K</t>
        </is>
      </c>
      <c r="O142" t="inlineStr">
        <is>
          <t>20230725, 20230726</t>
        </is>
      </c>
      <c r="P142" t="inlineStr">
        <is>
          <t>Sumatera Utara</t>
        </is>
      </c>
      <c r="Q142" t="inlineStr"/>
    </row>
    <row r="143">
      <c r="A143" t="inlineStr">
        <is>
          <t>SUMBER RINA</t>
        </is>
      </c>
      <c r="B143" t="inlineStr">
        <is>
          <t>Kab. Manokwari</t>
        </is>
      </c>
      <c r="C143" t="inlineStr">
        <is>
          <t>0822458960</t>
        </is>
      </c>
      <c r="D143" t="inlineStr">
        <is>
          <t>sumberrina06@gmail.com</t>
        </is>
      </c>
      <c r="E143" t="inlineStr">
        <is>
          <t>https://lpjk.pu.go.id/search-badan-usaha-detail/ZzdST2kvT1lFT1dURFBuRUxvaUFkQT09</t>
        </is>
      </c>
      <c r="F143" t="n">
        <v>1</v>
      </c>
      <c r="G143" t="inlineStr">
        <is>
          <t>BG005</t>
        </is>
      </c>
      <c r="H143" t="inlineStr">
        <is>
          <t>6 Desember 2019</t>
        </is>
      </c>
      <c r="I143" s="2" t="n">
        <v>46233</v>
      </c>
      <c r="J143" t="inlineStr">
        <is>
          <t>Disetujui</t>
        </is>
      </c>
      <c r="K143" t="n">
        <v>30</v>
      </c>
      <c r="L143" t="inlineStr">
        <is>
          <t>30 Juli 2026</t>
        </is>
      </c>
      <c r="M143" t="inlineStr">
        <is>
          <t>Konstruksi Gedung Kesehatan</t>
        </is>
      </c>
      <c r="N143" t="inlineStr">
        <is>
          <t>K</t>
        </is>
      </c>
      <c r="O143" t="inlineStr">
        <is>
          <t>20230728</t>
        </is>
      </c>
      <c r="P143" t="inlineStr">
        <is>
          <t>Papua Barat</t>
        </is>
      </c>
      <c r="Q143" t="inlineStr"/>
    </row>
    <row r="144">
      <c r="A144" t="inlineStr">
        <is>
          <t>SUMBER WADI</t>
        </is>
      </c>
      <c r="B144" t="inlineStr">
        <is>
          <t>Kota Medan</t>
        </is>
      </c>
      <c r="C144" t="inlineStr">
        <is>
          <t>085261666601</t>
        </is>
      </c>
      <c r="D144" t="inlineStr">
        <is>
          <t>sumber_wadi.cv@yahoo.com</t>
        </is>
      </c>
      <c r="E144" t="inlineStr">
        <is>
          <t>https://lpjk.pu.go.id/search-badan-usaha-detail/emZpMDFRVlc0N2wwSTlXaEg5eTlzdz09</t>
        </is>
      </c>
      <c r="F144" t="n">
        <v>1</v>
      </c>
      <c r="G144" t="inlineStr">
        <is>
          <t>IN001</t>
        </is>
      </c>
      <c r="H144" t="inlineStr">
        <is>
          <t>7 November 2012</t>
        </is>
      </c>
      <c r="I144" s="2" t="n">
        <v>46233</v>
      </c>
      <c r="J144" t="inlineStr">
        <is>
          <t>Pencabutan</t>
        </is>
      </c>
      <c r="K144" t="n">
        <v>30</v>
      </c>
      <c r="L144" t="inlineStr">
        <is>
          <t>30 Juli 2026</t>
        </is>
      </c>
      <c r="M144" t="inlineStr">
        <is>
          <t>Instalasi Mekanikal</t>
        </is>
      </c>
      <c r="N144" t="inlineStr">
        <is>
          <t>Spesialis</t>
        </is>
      </c>
      <c r="O144" t="inlineStr">
        <is>
          <t>20230729</t>
        </is>
      </c>
      <c r="P144" t="inlineStr">
        <is>
          <t>Sumatera Utara</t>
        </is>
      </c>
      <c r="Q144" t="inlineStr"/>
    </row>
    <row r="145">
      <c r="A145" t="inlineStr">
        <is>
          <t>SURYA SAMUDRA</t>
        </is>
      </c>
      <c r="B145" t="inlineStr">
        <is>
          <t>Kab. Bandung</t>
        </is>
      </c>
      <c r="C145" t="inlineStr">
        <is>
          <t>08122430456</t>
        </is>
      </c>
      <c r="D145" t="inlineStr">
        <is>
          <t>suryasamudra@ymail.com</t>
        </is>
      </c>
      <c r="E145" t="inlineStr">
        <is>
          <t>https://lpjk.pu.go.id/search-badan-usaha-detail/b1VvQXh6bEw4UlQ5K09xWHNiZXpNUT09</t>
        </is>
      </c>
      <c r="F145" t="n">
        <v>2</v>
      </c>
      <c r="G145" t="inlineStr">
        <is>
          <t>BG009, BS002</t>
        </is>
      </c>
      <c r="H145" t="inlineStr">
        <is>
          <t>21 Januari 2006</t>
        </is>
      </c>
      <c r="I145" s="2" t="n">
        <v>46233</v>
      </c>
      <c r="J145" t="inlineStr">
        <is>
          <t>Disetujui</t>
        </is>
      </c>
      <c r="K145" t="n">
        <v>30</v>
      </c>
      <c r="L145" t="inlineStr">
        <is>
          <t>30 Juli 2026</t>
        </is>
      </c>
      <c r="M145" t="inlineStr">
        <is>
          <t>Bangunan Sipil Jembatan, Jalan Layang, Fly Over, dan Underpass, Konstruksi Gedung Lainnya</t>
        </is>
      </c>
      <c r="N145" t="inlineStr">
        <is>
          <t>K</t>
        </is>
      </c>
      <c r="O145" t="inlineStr">
        <is>
          <t>20230725, 20230726</t>
        </is>
      </c>
      <c r="P145" t="inlineStr">
        <is>
          <t>Jawa Barat</t>
        </is>
      </c>
      <c r="Q145" t="inlineStr"/>
    </row>
    <row r="146">
      <c r="A146" t="inlineStr">
        <is>
          <t>TALAGA RANO</t>
        </is>
      </c>
      <c r="B146" t="inlineStr">
        <is>
          <t>Kab. Merauke</t>
        </is>
      </c>
      <c r="C146" t="inlineStr">
        <is>
          <t>081240333910</t>
        </is>
      </c>
      <c r="D146" t="inlineStr">
        <is>
          <t>talagarano23@gmail.com</t>
        </is>
      </c>
      <c r="E146" t="inlineStr">
        <is>
          <t>https://lpjk.pu.go.id/search-badan-usaha-detail/cEVoaDcvNlV0QU1CZHpvWVNCeDJOZz09</t>
        </is>
      </c>
      <c r="F146" t="n">
        <v>1</v>
      </c>
      <c r="G146" t="inlineStr">
        <is>
          <t>BG005</t>
        </is>
      </c>
      <c r="H146" t="inlineStr">
        <is>
          <t>17 Juli 2023</t>
        </is>
      </c>
      <c r="I146" s="2" t="n">
        <v>46233</v>
      </c>
      <c r="J146" t="inlineStr">
        <is>
          <t>Disetujui</t>
        </is>
      </c>
      <c r="K146" t="n">
        <v>30</v>
      </c>
      <c r="L146" t="inlineStr">
        <is>
          <t>30 Juli 2026</t>
        </is>
      </c>
      <c r="M146" t="inlineStr">
        <is>
          <t>Konstruksi Gedung Kesehatan</t>
        </is>
      </c>
      <c r="N146" t="inlineStr">
        <is>
          <t>K</t>
        </is>
      </c>
      <c r="O146" t="inlineStr">
        <is>
          <t>20230729</t>
        </is>
      </c>
      <c r="P146" t="inlineStr">
        <is>
          <t>Papua Selatan</t>
        </is>
      </c>
      <c r="Q146" t="inlineStr"/>
    </row>
    <row r="147">
      <c r="A147" t="inlineStr">
        <is>
          <t>TALANG KARYA</t>
        </is>
      </c>
      <c r="B147" t="inlineStr">
        <is>
          <t>Kab. Lampung Timur</t>
        </is>
      </c>
      <c r="C147" t="inlineStr">
        <is>
          <t>081379756983</t>
        </is>
      </c>
      <c r="D147" t="inlineStr">
        <is>
          <t>karyatalang@gmail.com</t>
        </is>
      </c>
      <c r="E147" t="inlineStr">
        <is>
          <t>https://lpjk.pu.go.id/search-badan-usaha-detail/eUYzRXJzVHpOSjBYNE1FWkliYTZ2dz09</t>
        </is>
      </c>
      <c r="F147" t="n">
        <v>1</v>
      </c>
      <c r="G147" t="inlineStr">
        <is>
          <t>BS004</t>
        </is>
      </c>
      <c r="H147" t="inlineStr">
        <is>
          <t>16 Agustus 1999</t>
        </is>
      </c>
      <c r="I147" s="2" t="n">
        <v>46233</v>
      </c>
      <c r="J147" t="inlineStr">
        <is>
          <t>Pencabutan</t>
        </is>
      </c>
      <c r="K147" t="n">
        <v>30</v>
      </c>
      <c r="L147" t="inlineStr">
        <is>
          <t>30 Juli 2026</t>
        </is>
      </c>
      <c r="M147" t="inlineStr">
        <is>
          <t>Konstruksi Jaringan Irigasi dan Drainase</t>
        </is>
      </c>
      <c r="N147" t="inlineStr">
        <is>
          <t>K</t>
        </is>
      </c>
      <c r="O147" t="inlineStr">
        <is>
          <t>20230414</t>
        </is>
      </c>
      <c r="P147" t="inlineStr">
        <is>
          <t>Lampung</t>
        </is>
      </c>
      <c r="Q147" t="inlineStr"/>
    </row>
    <row r="148">
      <c r="A148" t="inlineStr">
        <is>
          <t>TAMANAN BERKARYA</t>
        </is>
      </c>
      <c r="B148" t="inlineStr">
        <is>
          <t>Kab. Bantul</t>
        </is>
      </c>
      <c r="C148" t="inlineStr">
        <is>
          <t>02744221393</t>
        </is>
      </c>
      <c r="D148" t="inlineStr">
        <is>
          <t>cvtamananberkarya@gmail.com</t>
        </is>
      </c>
      <c r="E148" t="inlineStr">
        <is>
          <t>https://lpjk.pu.go.id/search-badan-usaha-detail/aGt3RGNoeUM1Ym5rYk9WMnZIK21OZz09</t>
        </is>
      </c>
      <c r="F148" t="n">
        <v>2</v>
      </c>
      <c r="G148" t="inlineStr">
        <is>
          <t>PB010</t>
        </is>
      </c>
      <c r="H148" t="inlineStr">
        <is>
          <t>28 Mei 2020</t>
        </is>
      </c>
      <c r="I148" s="2" t="n">
        <v>46233</v>
      </c>
      <c r="J148" t="inlineStr">
        <is>
          <t>Disetujui</t>
        </is>
      </c>
      <c r="K148" t="n">
        <v>30</v>
      </c>
      <c r="L148" t="inlineStr">
        <is>
          <t>30 Juli 2026</t>
        </is>
      </c>
      <c r="M148" t="inlineStr">
        <is>
          <t>Pekerjaan Lanskap, Pertamanan, dan Penanaman Vegetasi</t>
        </is>
      </c>
      <c r="N148" t="inlineStr">
        <is>
          <t>Spesialis</t>
        </is>
      </c>
      <c r="O148" t="inlineStr">
        <is>
          <t>20230726</t>
        </is>
      </c>
      <c r="P148" t="inlineStr">
        <is>
          <t>DI Yogyakarta</t>
        </is>
      </c>
      <c r="Q148" t="inlineStr"/>
    </row>
    <row r="149">
      <c r="A149" t="inlineStr">
        <is>
          <t>TANGGUH SAYEKTI</t>
        </is>
      </c>
      <c r="B149" t="inlineStr">
        <is>
          <t>Kab. Sleman</t>
        </is>
      </c>
      <c r="C149" t="inlineStr">
        <is>
          <t>081328036624</t>
        </is>
      </c>
      <c r="D149" t="inlineStr">
        <is>
          <t>tangguh.sayekti@gmail.com</t>
        </is>
      </c>
      <c r="E149" t="inlineStr">
        <is>
          <t>https://lpjk.pu.go.id/search-badan-usaha-detail/NEVZZlF6Q0NFU2ZJUXBWQkt1VXJjQT09</t>
        </is>
      </c>
      <c r="F149" t="n">
        <v>5</v>
      </c>
      <c r="G149" t="inlineStr">
        <is>
          <t>BG002, BG006, BG009, BS001, BS004</t>
        </is>
      </c>
      <c r="H149" t="inlineStr">
        <is>
          <t>16 Agustus 2001</t>
        </is>
      </c>
      <c r="I149" s="2" t="n">
        <v>46233</v>
      </c>
      <c r="J149" t="inlineStr">
        <is>
          <t>Disetujui</t>
        </is>
      </c>
      <c r="K149" t="n">
        <v>30</v>
      </c>
      <c r="L149" t="inlineStr">
        <is>
          <t>30 Juli 2026</t>
        </is>
      </c>
      <c r="M149" t="inlineStr">
        <is>
          <t>Konstruksi Bangunan Sipil Jalan, Konstruksi Gedung Lainnya, Konstruksi Gedung Pendidikan, Konstruksi Gedung Perkantoran, Konstruksi Jaringan Irigasi dan Drainase</t>
        </is>
      </c>
      <c r="N149" t="inlineStr">
        <is>
          <t>K</t>
        </is>
      </c>
      <c r="O149" t="inlineStr">
        <is>
          <t>20230714, 20230715, 20230717</t>
        </is>
      </c>
      <c r="P149" t="inlineStr">
        <is>
          <t>DI Yogyakarta</t>
        </is>
      </c>
      <c r="Q149" t="inlineStr"/>
    </row>
    <row r="150">
      <c r="A150" t="inlineStr">
        <is>
          <t>TEAM BROTHERS</t>
        </is>
      </c>
      <c r="B150" t="inlineStr">
        <is>
          <t>Kota Sawahlunto</t>
        </is>
      </c>
      <c r="C150" t="inlineStr">
        <is>
          <t>081363240000</t>
        </is>
      </c>
      <c r="D150" t="inlineStr">
        <is>
          <t>cvteambrothers@gmail.com</t>
        </is>
      </c>
      <c r="E150" t="inlineStr">
        <is>
          <t>https://lpjk.pu.go.id/search-badan-usaha-detail/bDlndHhWWVRCczJlNUFuYTJpSWZyUT09</t>
        </is>
      </c>
      <c r="F150" t="n">
        <v>2</v>
      </c>
      <c r="G150" t="inlineStr">
        <is>
          <t>BG005, BS005</t>
        </is>
      </c>
      <c r="H150" t="inlineStr">
        <is>
          <t>23 Januari 2017</t>
        </is>
      </c>
      <c r="I150" s="2" t="n">
        <v>46233</v>
      </c>
      <c r="J150" t="inlineStr">
        <is>
          <t>Disetujui</t>
        </is>
      </c>
      <c r="K150" t="n">
        <v>30</v>
      </c>
      <c r="L150" t="inlineStr">
        <is>
          <t>30 Juli 2026</t>
        </is>
      </c>
      <c r="M150" t="inlineStr">
        <is>
          <t>Konstruksi Bangunan Sipil Pengolahan Air Bersih, Konstruksi Gedung Kesehatan</t>
        </is>
      </c>
      <c r="N150" t="inlineStr">
        <is>
          <t>K</t>
        </is>
      </c>
      <c r="O150" t="inlineStr">
        <is>
          <t>20230721, 20230723</t>
        </is>
      </c>
      <c r="P150" t="inlineStr">
        <is>
          <t>Sumatera Barat</t>
        </is>
      </c>
      <c r="Q150" t="inlineStr"/>
    </row>
    <row r="151">
      <c r="A151" t="inlineStr">
        <is>
          <t>TEGUH PUTRA BUNGSU</t>
        </is>
      </c>
      <c r="B151" t="inlineStr">
        <is>
          <t>Kab. Tangerang</t>
        </is>
      </c>
      <c r="C151" t="inlineStr">
        <is>
          <t>085945795122</t>
        </is>
      </c>
      <c r="D151" t="inlineStr">
        <is>
          <t>teguhputrab73@yahoo.com</t>
        </is>
      </c>
      <c r="E151" t="inlineStr">
        <is>
          <t>https://lpjk.pu.go.id/search-badan-usaha-detail/dFhtUDIxK2pVcjNJRWROclhpdnB4Zz09</t>
        </is>
      </c>
      <c r="F151" t="n">
        <v>1</v>
      </c>
      <c r="G151" t="inlineStr">
        <is>
          <t>BG009</t>
        </is>
      </c>
      <c r="H151" t="inlineStr">
        <is>
          <t>3 Juni 2015</t>
        </is>
      </c>
      <c r="I151" s="2" t="n">
        <v>46233</v>
      </c>
      <c r="J151" t="inlineStr">
        <is>
          <t>Disetujui</t>
        </is>
      </c>
      <c r="K151" t="n">
        <v>30</v>
      </c>
      <c r="L151" t="inlineStr">
        <is>
          <t>30 Juli 2026</t>
        </is>
      </c>
      <c r="M151" t="inlineStr">
        <is>
          <t>Konstruksi Gedung Lainnya</t>
        </is>
      </c>
      <c r="N151" t="inlineStr">
        <is>
          <t>K</t>
        </is>
      </c>
      <c r="O151" t="inlineStr">
        <is>
          <t>20230727</t>
        </is>
      </c>
      <c r="P151" t="inlineStr">
        <is>
          <t>Banten</t>
        </is>
      </c>
      <c r="Q151" t="inlineStr"/>
    </row>
    <row r="152">
      <c r="A152" t="inlineStr">
        <is>
          <t>TETRA KONSTRUKSINDO</t>
        </is>
      </c>
      <c r="B152" t="inlineStr">
        <is>
          <t>Kota Adm. Jakarta Pusat</t>
        </is>
      </c>
      <c r="C152" t="inlineStr">
        <is>
          <t>0213518910</t>
        </is>
      </c>
      <c r="D152" t="inlineStr">
        <is>
          <t>tender@tetra.co.id</t>
        </is>
      </c>
      <c r="E152" t="inlineStr">
        <is>
          <t>https://lpjk.pu.go.id/search-badan-usaha-detail/NVlld0RVYTAxMlNIK0c3cUJKbkdZdz09</t>
        </is>
      </c>
      <c r="F152" t="n">
        <v>1</v>
      </c>
      <c r="G152" t="inlineStr">
        <is>
          <t>BG009</t>
        </is>
      </c>
      <c r="H152" t="inlineStr">
        <is>
          <t>24 September 2001</t>
        </is>
      </c>
      <c r="I152" s="2" t="n">
        <v>46233</v>
      </c>
      <c r="J152" t="inlineStr">
        <is>
          <t>Disetujui</t>
        </is>
      </c>
      <c r="K152" t="n">
        <v>30</v>
      </c>
      <c r="L152" t="inlineStr">
        <is>
          <t>30 Juli 2026</t>
        </is>
      </c>
      <c r="M152" t="inlineStr">
        <is>
          <t>Konstruksi Gedung Lainnya</t>
        </is>
      </c>
      <c r="N152" t="inlineStr">
        <is>
          <t>M</t>
        </is>
      </c>
      <c r="O152" t="inlineStr">
        <is>
          <t>20230727</t>
        </is>
      </c>
      <c r="P152" t="inlineStr">
        <is>
          <t>DKI Jakarta</t>
        </is>
      </c>
      <c r="Q152" t="inlineStr"/>
    </row>
    <row r="153">
      <c r="A153" t="inlineStr">
        <is>
          <t>TIGA PUTRI FAMILY</t>
        </is>
      </c>
      <c r="B153" t="inlineStr">
        <is>
          <t>Kab. Muko Muko</t>
        </is>
      </c>
      <c r="C153" t="inlineStr">
        <is>
          <t>081270638245</t>
        </is>
      </c>
      <c r="D153" t="inlineStr">
        <is>
          <t>aguanbarbera@gmail.com</t>
        </is>
      </c>
      <c r="E153" t="inlineStr">
        <is>
          <t>https://lpjk.pu.go.id/search-badan-usaha-detail/YUlVR1NTMEFsaFY1ZDRkajRQN0JOdz09</t>
        </is>
      </c>
      <c r="F153" t="n">
        <v>1</v>
      </c>
      <c r="G153" t="inlineStr">
        <is>
          <t>BS001</t>
        </is>
      </c>
      <c r="H153" t="inlineStr">
        <is>
          <t>9 Januari 2020</t>
        </is>
      </c>
      <c r="I153" s="2" t="n">
        <v>46233</v>
      </c>
      <c r="J153" t="inlineStr">
        <is>
          <t>Disetujui</t>
        </is>
      </c>
      <c r="K153" t="n">
        <v>30</v>
      </c>
      <c r="L153" t="inlineStr">
        <is>
          <t>30 Juli 2026</t>
        </is>
      </c>
      <c r="M153" t="inlineStr">
        <is>
          <t>Konstruksi Bangunan Sipil Jalan</t>
        </is>
      </c>
      <c r="N153" t="inlineStr">
        <is>
          <t>K</t>
        </is>
      </c>
      <c r="O153" t="inlineStr">
        <is>
          <t>20230729</t>
        </is>
      </c>
      <c r="P153" t="inlineStr">
        <is>
          <t>Bengkulu</t>
        </is>
      </c>
      <c r="Q153" t="inlineStr"/>
    </row>
    <row r="154">
      <c r="A154" t="inlineStr">
        <is>
          <t>TIGA SAUDARA BERKARYA</t>
        </is>
      </c>
      <c r="B154" t="inlineStr">
        <is>
          <t>Kota Palu</t>
        </is>
      </c>
      <c r="C154" t="inlineStr">
        <is>
          <t>085342472004</t>
        </is>
      </c>
      <c r="D154" t="inlineStr">
        <is>
          <t>tigasaudara.adm@gmail.com</t>
        </is>
      </c>
      <c r="E154" t="inlineStr">
        <is>
          <t>https://lpjk.pu.go.id/search-badan-usaha-detail/NTkwOXQyL0VCKy9JTGMxaDNCcEdGUT09</t>
        </is>
      </c>
      <c r="F154" t="n">
        <v>1</v>
      </c>
      <c r="G154" t="inlineStr">
        <is>
          <t>BG009</t>
        </is>
      </c>
      <c r="H154" t="inlineStr">
        <is>
          <t>2 Maret 2016</t>
        </is>
      </c>
      <c r="I154" s="2" t="n">
        <v>46233</v>
      </c>
      <c r="J154" t="inlineStr">
        <is>
          <t>Disetujui</t>
        </is>
      </c>
      <c r="K154" t="n">
        <v>30</v>
      </c>
      <c r="L154" t="inlineStr">
        <is>
          <t>30 Juli 2026</t>
        </is>
      </c>
      <c r="M154" t="inlineStr">
        <is>
          <t>Konstruksi Gedung Lainnya</t>
        </is>
      </c>
      <c r="N154" t="inlineStr">
        <is>
          <t>K</t>
        </is>
      </c>
      <c r="O154" t="inlineStr">
        <is>
          <t>20230721</t>
        </is>
      </c>
      <c r="P154" t="inlineStr">
        <is>
          <t>Sulawesi Tengah</t>
        </is>
      </c>
      <c r="Q154" t="inlineStr"/>
    </row>
    <row r="155">
      <c r="A155" t="inlineStr">
        <is>
          <t>TIGA SAUDARA KARYA</t>
        </is>
      </c>
      <c r="B155" t="inlineStr">
        <is>
          <t>Kab. Pesisir Selatan</t>
        </is>
      </c>
      <c r="C155" t="inlineStr">
        <is>
          <t>085355790579</t>
        </is>
      </c>
      <c r="D155" t="inlineStr">
        <is>
          <t>cvtigasaudarakarya11@gmail.com</t>
        </is>
      </c>
      <c r="E155" t="inlineStr">
        <is>
          <t>https://lpjk.pu.go.id/search-badan-usaha-detail/SVhWeXV1cGVUU2gyT2g3UHd6TXNkUT09</t>
        </is>
      </c>
      <c r="F155" t="n">
        <v>1</v>
      </c>
      <c r="G155" t="inlineStr">
        <is>
          <t>BG006</t>
        </is>
      </c>
      <c r="H155" t="inlineStr">
        <is>
          <t>28 September 1992</t>
        </is>
      </c>
      <c r="I155" s="2" t="n">
        <v>46233</v>
      </c>
      <c r="J155" t="inlineStr">
        <is>
          <t>Disetujui</t>
        </is>
      </c>
      <c r="K155" t="n">
        <v>30</v>
      </c>
      <c r="L155" t="inlineStr">
        <is>
          <t>30 Juli 2026</t>
        </is>
      </c>
      <c r="M155" t="inlineStr">
        <is>
          <t>Konstruksi Gedung Pendidikan</t>
        </is>
      </c>
      <c r="N155" t="inlineStr">
        <is>
          <t>K</t>
        </is>
      </c>
      <c r="O155" t="inlineStr">
        <is>
          <t>20230731</t>
        </is>
      </c>
      <c r="P155" t="inlineStr">
        <is>
          <t>Sumatera Barat</t>
        </is>
      </c>
      <c r="Q155" t="inlineStr"/>
    </row>
    <row r="156">
      <c r="A156" t="inlineStr">
        <is>
          <t>TIGA TIGA TUJUH CONSULTANT</t>
        </is>
      </c>
      <c r="B156" t="inlineStr">
        <is>
          <t>Kota Makassar</t>
        </is>
      </c>
      <c r="C156" t="inlineStr">
        <is>
          <t>085399098839</t>
        </is>
      </c>
      <c r="D156" t="inlineStr">
        <is>
          <t>tiga3tujuh.consultant@gmail.com</t>
        </is>
      </c>
      <c r="E156" t="inlineStr">
        <is>
          <t>https://lpjk.pu.go.id/search-badan-usaha-detail/YzkzQTRUOXRGQkVZS1JnZkVLR3k1dz09</t>
        </is>
      </c>
      <c r="F156" t="n">
        <v>1</v>
      </c>
      <c r="G156" t="inlineStr">
        <is>
          <t>AR001</t>
        </is>
      </c>
      <c r="H156" t="inlineStr">
        <is>
          <t>22 Februari 2016</t>
        </is>
      </c>
      <c r="I156" s="2" t="n">
        <v>46233</v>
      </c>
      <c r="J156" t="inlineStr">
        <is>
          <t>Disetujui</t>
        </is>
      </c>
      <c r="K156" t="n">
        <v>30</v>
      </c>
      <c r="L156" t="inlineStr">
        <is>
          <t>30 Juli 2026</t>
        </is>
      </c>
      <c r="M156" t="inlineStr">
        <is>
          <t>Jasa Arsitektural Bangunan Gedung Hunian dan Non Hunian</t>
        </is>
      </c>
      <c r="N156" t="inlineStr">
        <is>
          <t>K</t>
        </is>
      </c>
      <c r="O156" t="inlineStr">
        <is>
          <t>20230724</t>
        </is>
      </c>
      <c r="P156" t="inlineStr">
        <is>
          <t>Sulawesi Selatan</t>
        </is>
      </c>
      <c r="Q156" t="inlineStr"/>
    </row>
    <row r="157">
      <c r="A157" t="inlineStr">
        <is>
          <t>TIMUR CEPAT</t>
        </is>
      </c>
      <c r="B157" t="inlineStr">
        <is>
          <t>Kab. Minahasa Selatan</t>
        </is>
      </c>
      <c r="C157" t="inlineStr">
        <is>
          <t>08114317171</t>
        </is>
      </c>
      <c r="D157" t="inlineStr">
        <is>
          <t>timurcepat254@gmail.com</t>
        </is>
      </c>
      <c r="E157" t="inlineStr">
        <is>
          <t>https://lpjk.pu.go.id/search-badan-usaha-detail/OHNxQXVLNXZrZjVWK1MwOXcvWXN2Zz09</t>
        </is>
      </c>
      <c r="F157" t="n">
        <v>1</v>
      </c>
      <c r="G157" t="inlineStr">
        <is>
          <t>BG006</t>
        </is>
      </c>
      <c r="H157" t="inlineStr">
        <is>
          <t>4 Februari 2019</t>
        </is>
      </c>
      <c r="I157" s="2" t="n">
        <v>46233</v>
      </c>
      <c r="J157" t="inlineStr">
        <is>
          <t>Disetujui</t>
        </is>
      </c>
      <c r="K157" t="n">
        <v>30</v>
      </c>
      <c r="L157" t="inlineStr">
        <is>
          <t>30 Juli 2026</t>
        </is>
      </c>
      <c r="M157" t="inlineStr">
        <is>
          <t>Konstruksi Gedung Pendidikan</t>
        </is>
      </c>
      <c r="N157" t="inlineStr">
        <is>
          <t>K</t>
        </is>
      </c>
      <c r="O157" t="inlineStr">
        <is>
          <t>20230730</t>
        </is>
      </c>
      <c r="P157" t="inlineStr">
        <is>
          <t>Sulawesi Utara</t>
        </is>
      </c>
      <c r="Q157" t="inlineStr"/>
    </row>
    <row r="158">
      <c r="A158" t="inlineStr">
        <is>
          <t>TOTAL CITRA CONSULTANT</t>
        </is>
      </c>
      <c r="B158" t="inlineStr">
        <is>
          <t>Kota Padang</t>
        </is>
      </c>
      <c r="C158" t="inlineStr">
        <is>
          <t>082388112112</t>
        </is>
      </c>
      <c r="D158" t="inlineStr">
        <is>
          <t>totalcitracons@gmail.com</t>
        </is>
      </c>
      <c r="E158" t="inlineStr">
        <is>
          <t>https://lpjk.pu.go.id/search-badan-usaha-detail/SndOcUY3YlcvK1Z3bHdsK29DWHM5Zz09</t>
        </is>
      </c>
      <c r="F158" t="n">
        <v>3</v>
      </c>
      <c r="G158" t="inlineStr">
        <is>
          <t>RK001, RK002, RK003</t>
        </is>
      </c>
      <c r="H158" t="inlineStr">
        <is>
          <t>31 Januari 2013</t>
        </is>
      </c>
      <c r="I158" s="2" t="n">
        <v>46233</v>
      </c>
      <c r="J158" t="inlineStr">
        <is>
          <t>Disetujui</t>
        </is>
      </c>
      <c r="K158" t="n">
        <v>30</v>
      </c>
      <c r="L158" t="inlineStr">
        <is>
          <t>30 Juli 2026</t>
        </is>
      </c>
      <c r="M158" t="inlineStr">
        <is>
          <t>Jasa Rekayasa Konstruksi Bangunan Gedung Hunian dan Non Hunian, Jasa Rekayasa Pekerjaan Teknik Sipil Sumber Daya Air, Jasa Rekayasa Pekerjaan Teknik Sipil Transportasi</t>
        </is>
      </c>
      <c r="N158" t="inlineStr">
        <is>
          <t>K</t>
        </is>
      </c>
      <c r="O158" t="inlineStr">
        <is>
          <t>20230718</t>
        </is>
      </c>
      <c r="P158" t="inlineStr">
        <is>
          <t>Sumatera Barat</t>
        </is>
      </c>
      <c r="Q158" t="inlineStr"/>
    </row>
    <row r="159">
      <c r="A159" t="inlineStr">
        <is>
          <t>TRI TUNGGAL</t>
        </is>
      </c>
      <c r="B159" t="inlineStr">
        <is>
          <t>Kab. Minahasa Selatan</t>
        </is>
      </c>
      <c r="C159" t="inlineStr">
        <is>
          <t>085216387547</t>
        </is>
      </c>
      <c r="D159" t="inlineStr">
        <is>
          <t>tritunggalminsel@gmail.com</t>
        </is>
      </c>
      <c r="E159" t="inlineStr">
        <is>
          <t>https://lpjk.pu.go.id/search-badan-usaha-detail/Ym5KQWFCK3VHVThST2ZYczJQZzFvZz09</t>
        </is>
      </c>
      <c r="F159" t="n">
        <v>1</v>
      </c>
      <c r="G159" t="inlineStr">
        <is>
          <t>BS001</t>
        </is>
      </c>
      <c r="H159" t="inlineStr">
        <is>
          <t>28 Januari 2022</t>
        </is>
      </c>
      <c r="I159" s="2" t="n">
        <v>46233</v>
      </c>
      <c r="J159" t="inlineStr">
        <is>
          <t>Disetujui</t>
        </is>
      </c>
      <c r="K159" t="n">
        <v>30</v>
      </c>
      <c r="L159" t="inlineStr">
        <is>
          <t>30 Juli 2026</t>
        </is>
      </c>
      <c r="M159" t="inlineStr">
        <is>
          <t>Konstruksi Bangunan Sipil Jalan</t>
        </is>
      </c>
      <c r="N159" t="inlineStr">
        <is>
          <t>K</t>
        </is>
      </c>
      <c r="O159" t="inlineStr">
        <is>
          <t>20230727</t>
        </is>
      </c>
      <c r="P159" t="inlineStr">
        <is>
          <t>Sulawesi Utara</t>
        </is>
      </c>
      <c r="Q159" t="inlineStr"/>
    </row>
    <row r="160">
      <c r="A160" t="inlineStr">
        <is>
          <t>TUNAS CAHAYA MANDIRI WIDYATAMA</t>
        </is>
      </c>
      <c r="B160" t="inlineStr">
        <is>
          <t>Kota Palembang</t>
        </is>
      </c>
      <c r="C160" t="inlineStr">
        <is>
          <t>0711819414</t>
        </is>
      </c>
      <c r="D160" t="inlineStr">
        <is>
          <t>weni@tcmandiri.com</t>
        </is>
      </c>
      <c r="E160" t="inlineStr">
        <is>
          <t>https://lpjk.pu.go.id/search-badan-usaha-detail/UXhOVk5waHR2VGsxMExUQmRMa1VSdz09</t>
        </is>
      </c>
      <c r="F160" t="n">
        <v>1</v>
      </c>
      <c r="G160" t="inlineStr">
        <is>
          <t>IN002</t>
        </is>
      </c>
      <c r="H160" t="inlineStr">
        <is>
          <t>9 September 2011</t>
        </is>
      </c>
      <c r="I160" s="2" t="n">
        <v>46233</v>
      </c>
      <c r="J160" t="inlineStr">
        <is>
          <t>Disetujui</t>
        </is>
      </c>
      <c r="K160" t="n">
        <v>30</v>
      </c>
      <c r="L160" t="inlineStr">
        <is>
          <t>30 Juli 2026</t>
        </is>
      </c>
      <c r="M160" t="inlineStr">
        <is>
          <t>Instalasi Telekomunikasi</t>
        </is>
      </c>
      <c r="N160" t="inlineStr">
        <is>
          <t>Spesialis</t>
        </is>
      </c>
      <c r="O160" t="inlineStr">
        <is>
          <t>20230713</t>
        </is>
      </c>
      <c r="P160" t="inlineStr">
        <is>
          <t>Sumatera Selatan</t>
        </is>
      </c>
      <c r="Q160" t="inlineStr"/>
    </row>
    <row r="161">
      <c r="A161" t="inlineStr">
        <is>
          <t>TWIN'S SEJAHTERA</t>
        </is>
      </c>
      <c r="B161" t="inlineStr">
        <is>
          <t>Kota Malang</t>
        </is>
      </c>
      <c r="C161" t="inlineStr">
        <is>
          <t>081235401146</t>
        </is>
      </c>
      <c r="D161" t="inlineStr">
        <is>
          <t>twinsejahtera.mlg@gmail.com</t>
        </is>
      </c>
      <c r="E161" t="inlineStr">
        <is>
          <t>https://lpjk.pu.go.id/search-badan-usaha-detail/bllmNllPR2x3Q3I5RENRSXhDeEpkZz09</t>
        </is>
      </c>
      <c r="F161" t="n">
        <v>1</v>
      </c>
      <c r="G161" t="inlineStr">
        <is>
          <t>BS001</t>
        </is>
      </c>
      <c r="H161" t="inlineStr">
        <is>
          <t>9 Desember 2014</t>
        </is>
      </c>
      <c r="I161" s="2" t="n">
        <v>46233</v>
      </c>
      <c r="J161" t="inlineStr">
        <is>
          <t>Disetujui</t>
        </is>
      </c>
      <c r="K161" t="n">
        <v>30</v>
      </c>
      <c r="L161" t="inlineStr">
        <is>
          <t>30 Juli 2026</t>
        </is>
      </c>
      <c r="M161" t="inlineStr">
        <is>
          <t>Konstruksi Bangunan Sipil Jalan</t>
        </is>
      </c>
      <c r="N161" t="inlineStr">
        <is>
          <t>K</t>
        </is>
      </c>
      <c r="O161" t="inlineStr">
        <is>
          <t>20230724</t>
        </is>
      </c>
      <c r="P161" t="inlineStr">
        <is>
          <t>Jawa Timur</t>
        </is>
      </c>
      <c r="Q161" t="inlineStr"/>
    </row>
    <row r="162">
      <c r="A162" t="inlineStr">
        <is>
          <t>USAHA MAULIDA</t>
        </is>
      </c>
      <c r="B162" t="inlineStr">
        <is>
          <t>Kab. Gresik</t>
        </is>
      </c>
      <c r="C162" t="inlineStr">
        <is>
          <t>085850922214</t>
        </is>
      </c>
      <c r="D162" t="inlineStr">
        <is>
          <t>usahamaulidah@gmail.com</t>
        </is>
      </c>
      <c r="E162" t="inlineStr">
        <is>
          <t>https://lpjk.pu.go.id/search-badan-usaha-detail/bm83R3oxU0U1VCtuNDJ5VGpUbVIvUT09</t>
        </is>
      </c>
      <c r="F162" t="n">
        <v>1</v>
      </c>
      <c r="G162" t="inlineStr">
        <is>
          <t>BG005</t>
        </is>
      </c>
      <c r="H162" t="inlineStr">
        <is>
          <t>9 Maret 2000</t>
        </is>
      </c>
      <c r="I162" s="2" t="n">
        <v>46233</v>
      </c>
      <c r="J162" t="inlineStr">
        <is>
          <t>Disetujui</t>
        </is>
      </c>
      <c r="K162" t="n">
        <v>30</v>
      </c>
      <c r="L162" t="inlineStr">
        <is>
          <t>30 Juli 2026</t>
        </is>
      </c>
      <c r="M162" t="inlineStr">
        <is>
          <t>Konstruksi Gedung Kesehatan</t>
        </is>
      </c>
      <c r="N162" t="inlineStr">
        <is>
          <t>K</t>
        </is>
      </c>
      <c r="O162" t="inlineStr">
        <is>
          <t>20230731</t>
        </is>
      </c>
      <c r="P162" t="inlineStr">
        <is>
          <t>Jawa Timur</t>
        </is>
      </c>
      <c r="Q162" t="inlineStr"/>
    </row>
    <row r="163">
      <c r="A163" t="inlineStr">
        <is>
          <t>VIRRA ARINKA PRATAMA</t>
        </is>
      </c>
      <c r="B163" t="inlineStr">
        <is>
          <t>Kab. Purwakarta</t>
        </is>
      </c>
      <c r="C163" t="inlineStr">
        <is>
          <t>081312479720</t>
        </is>
      </c>
      <c r="D163" t="inlineStr">
        <is>
          <t>virraarinka@gmail.com</t>
        </is>
      </c>
      <c r="E163" t="inlineStr">
        <is>
          <t>https://lpjk.pu.go.id/search-badan-usaha-detail/NG9lUkhleElRcmNUQUdab2JmNGdkZz09</t>
        </is>
      </c>
      <c r="F163" t="n">
        <v>1</v>
      </c>
      <c r="G163" t="inlineStr">
        <is>
          <t>BS001</t>
        </is>
      </c>
      <c r="H163" t="inlineStr">
        <is>
          <t>15 April 2011</t>
        </is>
      </c>
      <c r="I163" s="2" t="n">
        <v>46233</v>
      </c>
      <c r="J163" t="inlineStr">
        <is>
          <t>Disetujui</t>
        </is>
      </c>
      <c r="K163" t="n">
        <v>30</v>
      </c>
      <c r="L163" t="inlineStr">
        <is>
          <t>30 Juli 2026</t>
        </is>
      </c>
      <c r="M163" t="inlineStr">
        <is>
          <t>Konstruksi Bangunan Sipil Jalan</t>
        </is>
      </c>
      <c r="N163" t="inlineStr">
        <is>
          <t>K</t>
        </is>
      </c>
      <c r="O163" t="inlineStr">
        <is>
          <t>20230620</t>
        </is>
      </c>
      <c r="P163" t="inlineStr">
        <is>
          <t>Jawa Barat</t>
        </is>
      </c>
      <c r="Q163" t="inlineStr"/>
    </row>
    <row r="164">
      <c r="A164" t="inlineStr">
        <is>
          <t>WAHANA MULTIKARYA CONSULTAN</t>
        </is>
      </c>
      <c r="B164" t="inlineStr">
        <is>
          <t>Kota Sorong</t>
        </is>
      </c>
      <c r="C164" t="inlineStr">
        <is>
          <t>081248485555</t>
        </is>
      </c>
      <c r="D164" t="inlineStr">
        <is>
          <t>cv.wahanamultikaryaconsultan@yahoo.co.id</t>
        </is>
      </c>
      <c r="E164" t="inlineStr">
        <is>
          <t>https://lpjk.pu.go.id/search-badan-usaha-detail/TGdnN2thNU5kQkp1YlJzQkJ5Mkttdz09</t>
        </is>
      </c>
      <c r="F164" t="n">
        <v>1</v>
      </c>
      <c r="G164" t="inlineStr">
        <is>
          <t>RK003</t>
        </is>
      </c>
      <c r="H164" t="inlineStr">
        <is>
          <t>2 Februari 2007</t>
        </is>
      </c>
      <c r="I164" s="2" t="n">
        <v>46233</v>
      </c>
      <c r="J164" t="inlineStr">
        <is>
          <t>Disetujui</t>
        </is>
      </c>
      <c r="K164" t="n">
        <v>30</v>
      </c>
      <c r="L164" t="inlineStr">
        <is>
          <t>30 Juli 2026</t>
        </is>
      </c>
      <c r="M164" t="inlineStr">
        <is>
          <t>Jasa Rekayasa Pekerjaan Teknik Sipil Transportasi</t>
        </is>
      </c>
      <c r="N164" t="inlineStr">
        <is>
          <t>K</t>
        </is>
      </c>
      <c r="O164" t="inlineStr">
        <is>
          <t>20230721</t>
        </is>
      </c>
      <c r="P164" t="inlineStr">
        <is>
          <t>Papua Barat</t>
        </is>
      </c>
      <c r="Q164" t="inlineStr"/>
    </row>
    <row r="165">
      <c r="A165" t="inlineStr">
        <is>
          <t>WIDIYA PUTRI UTAMI</t>
        </is>
      </c>
      <c r="B165" t="inlineStr">
        <is>
          <t>Kota Tasikmalaya</t>
        </is>
      </c>
      <c r="C165" t="inlineStr">
        <is>
          <t>085222951415</t>
        </is>
      </c>
      <c r="D165" t="inlineStr">
        <is>
          <t>widiyaputriutami38@gmail.com</t>
        </is>
      </c>
      <c r="E165" t="inlineStr">
        <is>
          <t>https://lpjk.pu.go.id/search-badan-usaha-detail/TTYxMTNybUZydjJlYlZpeEorQ3hFdz09</t>
        </is>
      </c>
      <c r="F165" t="n">
        <v>4</v>
      </c>
      <c r="G165" t="inlineStr">
        <is>
          <t>BS001, BS004</t>
        </is>
      </c>
      <c r="H165" t="inlineStr">
        <is>
          <t>3 Juni 2005</t>
        </is>
      </c>
      <c r="I165" s="2" t="n">
        <v>46233</v>
      </c>
      <c r="J165" t="inlineStr">
        <is>
          <t>Disetujui</t>
        </is>
      </c>
      <c r="K165" t="n">
        <v>30</v>
      </c>
      <c r="L165" t="inlineStr">
        <is>
          <t>30 Juli 2026</t>
        </is>
      </c>
      <c r="M165" t="inlineStr">
        <is>
          <t>Konstruksi Bangunan Sipil Jalan, Konstruksi Jaringan Irigasi dan Drainase</t>
        </is>
      </c>
      <c r="N165" t="inlineStr">
        <is>
          <t>K</t>
        </is>
      </c>
      <c r="O165" t="inlineStr">
        <is>
          <t>20230718</t>
        </is>
      </c>
      <c r="P165" t="inlineStr">
        <is>
          <t>Jawa Barat</t>
        </is>
      </c>
      <c r="Q165" t="inlineStr"/>
    </row>
    <row r="166">
      <c r="A166" t="inlineStr">
        <is>
          <t>WIDYATAMA BANGUN PERSADA</t>
        </is>
      </c>
      <c r="B166" t="inlineStr">
        <is>
          <t>Kota Serang</t>
        </is>
      </c>
      <c r="C166" t="inlineStr">
        <is>
          <t>081806258164</t>
        </is>
      </c>
      <c r="D166" t="inlineStr">
        <is>
          <t>widyatama.bp@gmail.com</t>
        </is>
      </c>
      <c r="E166" t="inlineStr">
        <is>
          <t>https://lpjk.pu.go.id/search-badan-usaha-detail/RE0xQngrNENLcWdQSEtTbFpOOXBKZz09</t>
        </is>
      </c>
      <c r="F166" t="n">
        <v>4</v>
      </c>
      <c r="G166" t="inlineStr">
        <is>
          <t>BG009, BS001</t>
        </is>
      </c>
      <c r="H166" t="inlineStr">
        <is>
          <t>4 November 2016</t>
        </is>
      </c>
      <c r="I166" s="2" t="n">
        <v>46233</v>
      </c>
      <c r="J166" t="inlineStr">
        <is>
          <t>Disetujui</t>
        </is>
      </c>
      <c r="K166" t="n">
        <v>30</v>
      </c>
      <c r="L166" t="inlineStr">
        <is>
          <t>30 Juli 2026</t>
        </is>
      </c>
      <c r="M166" t="inlineStr">
        <is>
          <t>Konstruksi Bangunan Sipil Jalan, Konstruksi Gedung Lainnya</t>
        </is>
      </c>
      <c r="N166" t="inlineStr">
        <is>
          <t>M</t>
        </is>
      </c>
      <c r="O166" t="inlineStr">
        <is>
          <t>20230725</t>
        </is>
      </c>
      <c r="P166" t="inlineStr">
        <is>
          <t>Banten</t>
        </is>
      </c>
      <c r="Q1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2026-06-30T02:22:09Z</dcterms:created>
  <dcterms:modified xsi:type="dcterms:W3CDTF">2026-06-30T02:22:09Z</dcterms:modified>
</cp:coreProperties>
</file>