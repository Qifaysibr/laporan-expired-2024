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3"/>
  <sheetViews>
    <sheetView workbookViewId="0">
      <selection activeCell="A1" sqref="A1"/>
    </sheetView>
  </sheetViews>
  <sheetFormatPr baseColWidth="8" defaultRowHeight="15"/>
  <cols>
    <col width="43"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ANUGERAH KARYA SEKAWAN</t>
        </is>
      </c>
      <c r="B2" t="inlineStr">
        <is>
          <t>Kota Depok</t>
        </is>
      </c>
      <c r="C2" t="inlineStr">
        <is>
          <t>081283780827</t>
        </is>
      </c>
      <c r="D2" t="inlineStr">
        <is>
          <t>anugerahkaryasekawan@gmail.com</t>
        </is>
      </c>
      <c r="E2" t="inlineStr">
        <is>
          <t>https://lpjk.pu.go.id/search-badan-usaha-detail/QSs5VExJaHVNNm0zWFJud3NCaHcrdz09</t>
        </is>
      </c>
      <c r="F2" t="n">
        <v>2</v>
      </c>
      <c r="G2" t="inlineStr">
        <is>
          <t>BG009, BS007</t>
        </is>
      </c>
      <c r="H2" t="inlineStr">
        <is>
          <t>28 Mei 2012</t>
        </is>
      </c>
      <c r="I2" s="2" t="n">
        <v>46314</v>
      </c>
      <c r="J2" t="inlineStr">
        <is>
          <t>Disetujui</t>
        </is>
      </c>
      <c r="K2" t="n">
        <v>90</v>
      </c>
      <c r="L2" t="inlineStr">
        <is>
          <t>19 Oktober 2026</t>
        </is>
      </c>
      <c r="M2" t="inlineStr">
        <is>
          <t>Konstruksi Bangunan Sipil Elektrikal, Konstruksi Gedung Lainnya</t>
        </is>
      </c>
      <c r="N2" t="inlineStr">
        <is>
          <t>K</t>
        </is>
      </c>
      <c r="O2" t="inlineStr">
        <is>
          <t>20231016</t>
        </is>
      </c>
      <c r="P2" t="inlineStr">
        <is>
          <t>Jawa Barat</t>
        </is>
      </c>
      <c r="Q2" s="3">
        <f>HYPERLINK("https://wa.me/6281283780827?text=Selamat siang Bapak/Ibu pimpinan ANUGERAH KARYA SEKAWAN,%0A%0ASemoga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ANUGGRAH JAYA INSPIRASI</t>
        </is>
      </c>
      <c r="B3" t="inlineStr">
        <is>
          <t>Kab. Bogor</t>
        </is>
      </c>
      <c r="C3" t="inlineStr">
        <is>
          <t>085888807388</t>
        </is>
      </c>
      <c r="D3" t="inlineStr">
        <is>
          <t>anuggrahjayainspirasi@gmail.com</t>
        </is>
      </c>
      <c r="E3" t="inlineStr">
        <is>
          <t>https://lpjk.pu.go.id/search-badan-usaha-detail/eU9yZ0lZZG5EM1c4UFNiL0RWM095dz09</t>
        </is>
      </c>
      <c r="F3" t="n">
        <v>1</v>
      </c>
      <c r="G3" t="inlineStr">
        <is>
          <t>AR001</t>
        </is>
      </c>
      <c r="H3" t="inlineStr">
        <is>
          <t>16 Februari 2021</t>
        </is>
      </c>
      <c r="I3" s="2" t="n">
        <v>46314</v>
      </c>
      <c r="J3" t="inlineStr">
        <is>
          <t>Disetujui</t>
        </is>
      </c>
      <c r="K3" t="n">
        <v>90</v>
      </c>
      <c r="L3" t="inlineStr">
        <is>
          <t>19 Oktober 2026</t>
        </is>
      </c>
      <c r="M3" t="inlineStr">
        <is>
          <t>Jasa Arsitektural Bangunan Gedung Hunian dan Non Hunian</t>
        </is>
      </c>
      <c r="N3" t="inlineStr">
        <is>
          <t>K</t>
        </is>
      </c>
      <c r="O3" t="inlineStr">
        <is>
          <t>20231011</t>
        </is>
      </c>
      <c r="P3" t="inlineStr">
        <is>
          <t>Jawa Barat</t>
        </is>
      </c>
      <c r="Q3" s="3">
        <f>HYPERLINK("https://wa.me/6285888807388?text=Selamat siang Bapak/Ibu pimpinan ANUGGRAH JAYA INSPIRASI,%0A%0ASemoga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ASAKARYA UTAMA</t>
        </is>
      </c>
      <c r="B4" t="inlineStr">
        <is>
          <t>Kota Bekasi</t>
        </is>
      </c>
      <c r="C4" t="inlineStr">
        <is>
          <t>0811883643</t>
        </is>
      </c>
      <c r="D4" t="inlineStr">
        <is>
          <t>asakaryautama@gmail.com</t>
        </is>
      </c>
      <c r="E4" t="inlineStr">
        <is>
          <t>https://lpjk.pu.go.id/search-badan-usaha-detail/S1N3Wll6S3RsdVU0NWJmT0RCOGJFZz09</t>
        </is>
      </c>
      <c r="F4" t="n">
        <v>3</v>
      </c>
      <c r="G4" t="inlineStr">
        <is>
          <t>BG001, BG003, BG004</t>
        </is>
      </c>
      <c r="H4" t="inlineStr">
        <is>
          <t>23 Oktober 1996</t>
        </is>
      </c>
      <c r="I4" s="2" t="n">
        <v>46314</v>
      </c>
      <c r="J4" t="inlineStr">
        <is>
          <t>Disetujui</t>
        </is>
      </c>
      <c r="K4" t="n">
        <v>90</v>
      </c>
      <c r="L4" t="inlineStr">
        <is>
          <t>19 Oktober 2026</t>
        </is>
      </c>
      <c r="M4" t="inlineStr">
        <is>
          <t>Konstruksi Gedung Hunian, Konstruksi Gedung Industri, Konstruksi Gedung Perbelanjaan</t>
        </is>
      </c>
      <c r="N4" t="inlineStr">
        <is>
          <t>K</t>
        </is>
      </c>
      <c r="O4" t="inlineStr">
        <is>
          <t>20231017, 20231018</t>
        </is>
      </c>
      <c r="P4" t="inlineStr">
        <is>
          <t>Jawa Barat</t>
        </is>
      </c>
      <c r="Q4" s="3">
        <f>HYPERLINK("https://wa.me/62811883643?text=Selamat siang Bapak/Ibu pimpinan ASAKARYA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BINTANG BEKASI PERKASA</t>
        </is>
      </c>
      <c r="B5" t="inlineStr">
        <is>
          <t>Kota Bekasi</t>
        </is>
      </c>
      <c r="C5" t="inlineStr">
        <is>
          <t>0218821327</t>
        </is>
      </c>
      <c r="D5" t="inlineStr">
        <is>
          <t>bintangbekasiperkasa@gmail.com</t>
        </is>
      </c>
      <c r="E5" t="inlineStr">
        <is>
          <t>https://lpjk.pu.go.id/search-badan-usaha-detail/aENZMXd1TVk2M2c1eGFTbkhIN3hOdz09</t>
        </is>
      </c>
      <c r="F5" t="n">
        <v>2</v>
      </c>
      <c r="G5" t="inlineStr">
        <is>
          <t>BG009</t>
        </is>
      </c>
      <c r="H5" t="inlineStr">
        <is>
          <t>9 September 2020</t>
        </is>
      </c>
      <c r="I5" s="2" t="n">
        <v>46314</v>
      </c>
      <c r="J5" t="inlineStr">
        <is>
          <t>Disetujui</t>
        </is>
      </c>
      <c r="K5" t="n">
        <v>90</v>
      </c>
      <c r="L5" t="inlineStr">
        <is>
          <t>19 Oktober 2026</t>
        </is>
      </c>
      <c r="M5" t="inlineStr">
        <is>
          <t>Konstruksi Gedung Lainnya</t>
        </is>
      </c>
      <c r="N5" t="inlineStr">
        <is>
          <t>K</t>
        </is>
      </c>
      <c r="O5" t="inlineStr">
        <is>
          <t>20231018</t>
        </is>
      </c>
      <c r="P5" t="inlineStr">
        <is>
          <t>Jawa Barat</t>
        </is>
      </c>
      <c r="Q5" t="inlineStr"/>
    </row>
    <row r="6">
      <c r="A6" t="inlineStr">
        <is>
          <t>BUTUHA BOSI FRIMA</t>
        </is>
      </c>
      <c r="B6" t="inlineStr">
        <is>
          <t>Kota Depok</t>
        </is>
      </c>
      <c r="C6" t="inlineStr">
        <is>
          <t>081381005030</t>
        </is>
      </c>
      <c r="D6" t="inlineStr">
        <is>
          <t>bosibutuha@yahoo.com</t>
        </is>
      </c>
      <c r="E6" t="inlineStr">
        <is>
          <t>https://lpjk.pu.go.id/search-badan-usaha-detail/WW1DTnM5UkZ0K0htV2NqOUZlVVdZdz09</t>
        </is>
      </c>
      <c r="F6" t="n">
        <v>2</v>
      </c>
      <c r="G6" t="inlineStr">
        <is>
          <t>BS001, BS004</t>
        </is>
      </c>
      <c r="H6" t="inlineStr">
        <is>
          <t>29 Desember 2014</t>
        </is>
      </c>
      <c r="I6" s="2" t="n">
        <v>46314</v>
      </c>
      <c r="J6" t="inlineStr">
        <is>
          <t>Disetujui</t>
        </is>
      </c>
      <c r="K6" t="n">
        <v>90</v>
      </c>
      <c r="L6" t="inlineStr">
        <is>
          <t>19 Oktober 2026</t>
        </is>
      </c>
      <c r="M6" t="inlineStr">
        <is>
          <t>Konstruksi Bangunan Sipil Jalan, Konstruksi Jaringan Irigasi dan Drainase</t>
        </is>
      </c>
      <c r="N6" t="inlineStr">
        <is>
          <t>K</t>
        </is>
      </c>
      <c r="O6" t="inlineStr">
        <is>
          <t>20231017</t>
        </is>
      </c>
      <c r="P6" t="inlineStr">
        <is>
          <t>Jawa Barat</t>
        </is>
      </c>
      <c r="Q6" s="3">
        <f>HYPERLINK("https://wa.me/6281381005030?text=Selamat siang Bapak/Ibu pimpinan BUTUHA BOSI FRIMA,%0A%0ASemoga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ENVIRO KARYA INDONESIA</t>
        </is>
      </c>
      <c r="B7" t="inlineStr">
        <is>
          <t>Kota Bekasi</t>
        </is>
      </c>
      <c r="C7" t="inlineStr">
        <is>
          <t>087779318003</t>
        </is>
      </c>
      <c r="D7" t="inlineStr">
        <is>
          <t>envirokaryaindonesia@gmail.com</t>
        </is>
      </c>
      <c r="E7" t="inlineStr">
        <is>
          <t>https://lpjk.pu.go.id/search-badan-usaha-detail/TnlkbDBWOW02ZlIwVG5LbXNLU2lOUT09</t>
        </is>
      </c>
      <c r="F7" t="n">
        <v>3</v>
      </c>
      <c r="G7" t="inlineStr">
        <is>
          <t>AR001, AR002, AR003</t>
        </is>
      </c>
      <c r="H7" t="inlineStr">
        <is>
          <t>12 April 2018</t>
        </is>
      </c>
      <c r="I7" s="2" t="n">
        <v>46314</v>
      </c>
      <c r="J7" t="inlineStr">
        <is>
          <t>Disetujui</t>
        </is>
      </c>
      <c r="K7" t="n">
        <v>90</v>
      </c>
      <c r="L7" t="inlineStr">
        <is>
          <t>19 Oktober 2026</t>
        </is>
      </c>
      <c r="M7" t="inlineStr">
        <is>
          <t>Jasa Arsitektural Bangunan Gedung Hunian dan Non Hunian, Jasa Arsitektural Lainnya, Jasa Desain Interior pada Bangunan Gedung dan Bangunan Sipil</t>
        </is>
      </c>
      <c r="N7" t="inlineStr">
        <is>
          <t>K</t>
        </is>
      </c>
      <c r="O7" t="inlineStr">
        <is>
          <t>20230921</t>
        </is>
      </c>
      <c r="P7" t="inlineStr">
        <is>
          <t>Jawa Barat</t>
        </is>
      </c>
      <c r="Q7" s="3">
        <f>HYPERLINK("https://wa.me/6287779318003?text=Selamat siang Bapak/Ibu pimpinan ENVIRO KARYA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JOSHUN KONSTRUKSI INDONESIA</t>
        </is>
      </c>
      <c r="B8" t="inlineStr">
        <is>
          <t>Kab. Bekasi</t>
        </is>
      </c>
      <c r="C8" t="inlineStr">
        <is>
          <t>087889833382</t>
        </is>
      </c>
      <c r="D8" t="inlineStr">
        <is>
          <t>joshun.jki@gmail.com</t>
        </is>
      </c>
      <c r="E8" t="inlineStr">
        <is>
          <t>https://lpjk.pu.go.id/search-badan-usaha-detail/d0dybVZES011SFVCYUgyMjh0Rkw1UT09</t>
        </is>
      </c>
      <c r="F8" t="n">
        <v>4</v>
      </c>
      <c r="G8" t="inlineStr">
        <is>
          <t>BG002, BG003, BG004, BG009</t>
        </is>
      </c>
      <c r="H8" t="inlineStr">
        <is>
          <t>9 Oktober 2023</t>
        </is>
      </c>
      <c r="I8" s="2" t="n">
        <v>46314</v>
      </c>
      <c r="J8" t="inlineStr">
        <is>
          <t>Disetujui</t>
        </is>
      </c>
      <c r="K8" t="n">
        <v>90</v>
      </c>
      <c r="L8" t="inlineStr">
        <is>
          <t>19 Oktober 2026</t>
        </is>
      </c>
      <c r="M8" t="inlineStr">
        <is>
          <t>Konstruksi Gedung Industri, Konstruksi Gedung Lainnya, Konstruksi Gedung Perbelanjaan, Konstruksi Gedung Perkantoran</t>
        </is>
      </c>
      <c r="N8" t="inlineStr">
        <is>
          <t>K</t>
        </is>
      </c>
      <c r="O8" t="inlineStr">
        <is>
          <t>20231019</t>
        </is>
      </c>
      <c r="P8" t="inlineStr">
        <is>
          <t>Jawa Barat</t>
        </is>
      </c>
      <c r="Q8" s="3">
        <f>HYPERLINK("https://wa.me/6287889833382?text=Selamat siang Bapak/Ibu pimpinan JOSHUN KONSTRUKSI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NOBEL KONTRUKSI SYSTEM</t>
        </is>
      </c>
      <c r="B9" t="inlineStr">
        <is>
          <t>Kota Bekasi</t>
        </is>
      </c>
      <c r="C9" t="inlineStr">
        <is>
          <t>081316481124</t>
        </is>
      </c>
      <c r="D9" t="inlineStr">
        <is>
          <t>nobelkontruksisystem@gmail.com</t>
        </is>
      </c>
      <c r="E9" t="inlineStr">
        <is>
          <t>https://lpjk.pu.go.id/search-badan-usaha-detail/c3oyeXlqYnhXVlJUREtvMlJyWmpkdz09</t>
        </is>
      </c>
      <c r="F9" t="n">
        <v>2</v>
      </c>
      <c r="G9" t="inlineStr">
        <is>
          <t>BS001, BS004</t>
        </is>
      </c>
      <c r="H9" t="inlineStr">
        <is>
          <t>4 Januari 2023</t>
        </is>
      </c>
      <c r="I9" s="2" t="n">
        <v>46314</v>
      </c>
      <c r="J9" t="inlineStr">
        <is>
          <t>Disetujui</t>
        </is>
      </c>
      <c r="K9" t="n">
        <v>90</v>
      </c>
      <c r="L9" t="inlineStr">
        <is>
          <t>19 Oktober 2026</t>
        </is>
      </c>
      <c r="M9" t="inlineStr">
        <is>
          <t>Konstruksi Bangunan Sipil Jalan, Konstruksi Jaringan Irigasi dan Drainase</t>
        </is>
      </c>
      <c r="N9" t="inlineStr">
        <is>
          <t>K</t>
        </is>
      </c>
      <c r="O9" t="inlineStr">
        <is>
          <t>20230404, 20231017</t>
        </is>
      </c>
      <c r="P9" t="inlineStr">
        <is>
          <t>Jawa Barat</t>
        </is>
      </c>
      <c r="Q9" s="3">
        <f>HYPERLINK("https://wa.me/6281316481124?text=Selamat siang Bapak/Ibu pimpinan NOBEL KONTRUKSI SYSTEM,%0A%0ASemoga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RAMA PERKASA</t>
        </is>
      </c>
      <c r="B10" t="inlineStr">
        <is>
          <t>Kota Depok</t>
        </is>
      </c>
      <c r="C10" t="inlineStr">
        <is>
          <t>02187712763</t>
        </is>
      </c>
      <c r="D10" t="inlineStr">
        <is>
          <t>ramaperkasa@gmail.com</t>
        </is>
      </c>
      <c r="E10" t="inlineStr">
        <is>
          <t>https://lpjk.pu.go.id/search-badan-usaha-detail/SzFNeWtJSk1jVWU0QzlOWHZTanY1UT09</t>
        </is>
      </c>
      <c r="F10" t="n">
        <v>1</v>
      </c>
      <c r="G10" t="inlineStr">
        <is>
          <t>BS004</t>
        </is>
      </c>
      <c r="H10" t="inlineStr">
        <is>
          <t>18 Juni 2008</t>
        </is>
      </c>
      <c r="I10" s="2" t="n">
        <v>46314</v>
      </c>
      <c r="J10" t="inlineStr">
        <is>
          <t>Disetujui</t>
        </is>
      </c>
      <c r="K10" t="n">
        <v>90</v>
      </c>
      <c r="L10" t="inlineStr">
        <is>
          <t>19 Oktober 2026</t>
        </is>
      </c>
      <c r="M10" t="inlineStr">
        <is>
          <t>Konstruksi Jaringan Irigasi dan Drainase</t>
        </is>
      </c>
      <c r="N10" t="inlineStr">
        <is>
          <t>K</t>
        </is>
      </c>
      <c r="O10" t="inlineStr">
        <is>
          <t>20231011</t>
        </is>
      </c>
      <c r="P10" t="inlineStr">
        <is>
          <t>Jawa Barat</t>
        </is>
      </c>
      <c r="Q10" t="inlineStr"/>
    </row>
    <row r="11">
      <c r="A11" t="inlineStr">
        <is>
          <t>RANGGA JAYA</t>
        </is>
      </c>
      <c r="B11" t="inlineStr">
        <is>
          <t>Kota Bekasi</t>
        </is>
      </c>
      <c r="C11" t="inlineStr">
        <is>
          <t>0218215003</t>
        </is>
      </c>
      <c r="D11" t="inlineStr">
        <is>
          <t>cv.ranggajaya.bekasi@gmail.com</t>
        </is>
      </c>
      <c r="E11" t="inlineStr">
        <is>
          <t>https://lpjk.pu.go.id/search-badan-usaha-detail/ekhHQ3FvN3pWcFJlNlNLMGNvY1U5dz09</t>
        </is>
      </c>
      <c r="F11" t="n">
        <v>1</v>
      </c>
      <c r="G11" t="inlineStr">
        <is>
          <t>BS002</t>
        </is>
      </c>
      <c r="H11" t="inlineStr">
        <is>
          <t>8 Januari 2003</t>
        </is>
      </c>
      <c r="I11" s="2" t="n">
        <v>46314</v>
      </c>
      <c r="J11" t="inlineStr">
        <is>
          <t>Disetujui</t>
        </is>
      </c>
      <c r="K11" t="n">
        <v>90</v>
      </c>
      <c r="L11" t="inlineStr">
        <is>
          <t>19 Oktober 2026</t>
        </is>
      </c>
      <c r="M11" t="inlineStr">
        <is>
          <t>Bangunan Sipil Jembatan, Jalan Layang, Fly Over, dan Underpass</t>
        </is>
      </c>
      <c r="N11" t="inlineStr">
        <is>
          <t>K</t>
        </is>
      </c>
      <c r="O11" t="inlineStr">
        <is>
          <t>20231018</t>
        </is>
      </c>
      <c r="P11" t="inlineStr">
        <is>
          <t>Jawa Barat</t>
        </is>
      </c>
      <c r="Q11" t="inlineStr"/>
    </row>
    <row r="12">
      <c r="A12" t="inlineStr">
        <is>
          <t>RIVADA SEJAHTERA ABADI</t>
        </is>
      </c>
      <c r="B12" t="inlineStr">
        <is>
          <t>Kota Adm. Jakarta Timur</t>
        </is>
      </c>
      <c r="C12" t="inlineStr">
        <is>
          <t>02122865859</t>
        </is>
      </c>
      <c r="D12" t="inlineStr">
        <is>
          <t>pt_rivadasejahteraabadi@yahoo.com</t>
        </is>
      </c>
      <c r="E12" t="inlineStr">
        <is>
          <t>https://lpjk.pu.go.id/search-badan-usaha-detail/RmYyQVJ6TmgrblZRRnF6WHY0N2hPdz09</t>
        </is>
      </c>
      <c r="F12" t="n">
        <v>1</v>
      </c>
      <c r="G12" t="inlineStr">
        <is>
          <t>IN001</t>
        </is>
      </c>
      <c r="H12" t="inlineStr">
        <is>
          <t>28 Oktober 2014</t>
        </is>
      </c>
      <c r="I12" s="2" t="n">
        <v>46314</v>
      </c>
      <c r="J12" t="inlineStr">
        <is>
          <t>Pembekuan</t>
        </is>
      </c>
      <c r="K12" t="n">
        <v>90</v>
      </c>
      <c r="L12" t="inlineStr">
        <is>
          <t>19 Oktober 2026</t>
        </is>
      </c>
      <c r="M12" t="inlineStr">
        <is>
          <t>Instalasi Mekanikal</t>
        </is>
      </c>
      <c r="N12" t="inlineStr">
        <is>
          <t>Spesialis</t>
        </is>
      </c>
      <c r="O12" t="inlineStr">
        <is>
          <t>20231017</t>
        </is>
      </c>
      <c r="P12" t="inlineStr">
        <is>
          <t>DKI Jakarta</t>
        </is>
      </c>
      <c r="Q12" t="inlineStr"/>
    </row>
    <row r="13">
      <c r="A13" t="inlineStr">
        <is>
          <t>SEKAR WANGI</t>
        </is>
      </c>
      <c r="B13" t="inlineStr">
        <is>
          <t>Kota Adm. Jakarta Timur</t>
        </is>
      </c>
      <c r="C13" t="inlineStr">
        <is>
          <t>0218446183</t>
        </is>
      </c>
      <c r="D13" t="inlineStr">
        <is>
          <t>cvsekarwangi@yahoo.com</t>
        </is>
      </c>
      <c r="E13" t="inlineStr">
        <is>
          <t>https://lpjk.pu.go.id/search-badan-usaha-detail/WkovcFM4bVIweHFTRlJhM2pOZ1dYUT09</t>
        </is>
      </c>
      <c r="F13" t="n">
        <v>2</v>
      </c>
      <c r="G13" t="inlineStr">
        <is>
          <t>IN011</t>
        </is>
      </c>
      <c r="H13" t="inlineStr">
        <is>
          <t>17 Februari 2004</t>
        </is>
      </c>
      <c r="I13" s="2" t="n">
        <v>46314</v>
      </c>
      <c r="J13" t="inlineStr">
        <is>
          <t>Pembekuan</t>
        </is>
      </c>
      <c r="K13" t="n">
        <v>90</v>
      </c>
      <c r="L13" t="inlineStr">
        <is>
          <t>19 Oktober 2026</t>
        </is>
      </c>
      <c r="M13" t="inlineStr">
        <is>
          <t>Instalasi Sinyal dan Rambu-rambu Jalan Raya</t>
        </is>
      </c>
      <c r="N13" t="inlineStr">
        <is>
          <t>Spesialis</t>
        </is>
      </c>
      <c r="O13" t="inlineStr">
        <is>
          <t>20231019</t>
        </is>
      </c>
      <c r="P13" t="inlineStr">
        <is>
          <t>DKI Jakarta</t>
        </is>
      </c>
      <c r="Q13" t="inlineStr"/>
    </row>
    <row r="14">
      <c r="A14" t="inlineStr">
        <is>
          <t>THE BARRA CONSULTANT</t>
        </is>
      </c>
      <c r="B14" t="inlineStr">
        <is>
          <t>Kota Adm. Jakarta Timur</t>
        </is>
      </c>
      <c r="C14" t="inlineStr">
        <is>
          <t>087781483888</t>
        </is>
      </c>
      <c r="D14" t="inlineStr">
        <is>
          <t>thebarraconsultant@gmail.com</t>
        </is>
      </c>
      <c r="E14" t="inlineStr">
        <is>
          <t>https://lpjk.pu.go.id/search-badan-usaha-detail/S1VaTVZlbC9ic1NEUGVyWmhVQzFkUT09</t>
        </is>
      </c>
      <c r="F14" t="n">
        <v>2</v>
      </c>
      <c r="G14" t="inlineStr">
        <is>
          <t>AR001, AR002</t>
        </is>
      </c>
      <c r="H14" t="inlineStr">
        <is>
          <t>9 Februari 2023</t>
        </is>
      </c>
      <c r="I14" s="2" t="n">
        <v>46314</v>
      </c>
      <c r="J14" t="inlineStr">
        <is>
          <t>Disetujui</t>
        </is>
      </c>
      <c r="K14" t="n">
        <v>90</v>
      </c>
      <c r="L14" t="inlineStr">
        <is>
          <t>19 Oktober 2026</t>
        </is>
      </c>
      <c r="M14" t="inlineStr">
        <is>
          <t>Jasa Arsitektural Bangunan Gedung Hunian dan Non Hunian, Jasa Arsitektural Lainnya</t>
        </is>
      </c>
      <c r="N14" t="inlineStr">
        <is>
          <t>K</t>
        </is>
      </c>
      <c r="O14" t="inlineStr">
        <is>
          <t>20231016</t>
        </is>
      </c>
      <c r="P14" t="inlineStr">
        <is>
          <t>DKI Jakarta</t>
        </is>
      </c>
      <c r="Q14" s="3">
        <f>HYPERLINK("https://wa.me/6287781483888?text=Selamat siang Bapak/Ibu pimpinan THE BARRA CONSULTANT,%0A%0ASemoga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TOTAL TANJUNG INDAH</t>
        </is>
      </c>
      <c r="B15" t="inlineStr">
        <is>
          <t>Kota Adm. Jakarta Timur</t>
        </is>
      </c>
      <c r="C15" t="inlineStr">
        <is>
          <t>02147885123</t>
        </is>
      </c>
      <c r="D15" t="inlineStr">
        <is>
          <t>delfanitti@gmail.com</t>
        </is>
      </c>
      <c r="E15" t="inlineStr">
        <is>
          <t>https://lpjk.pu.go.id/search-badan-usaha-detail/T3VMeFZ4OHZFa2dpSlBwTTQzNjZKdz09</t>
        </is>
      </c>
      <c r="F15" t="n">
        <v>2</v>
      </c>
      <c r="G15" t="inlineStr">
        <is>
          <t>BG009</t>
        </is>
      </c>
      <c r="H15" t="inlineStr">
        <is>
          <t>3 Maret 2004</t>
        </is>
      </c>
      <c r="I15" s="2" t="n">
        <v>46314</v>
      </c>
      <c r="J15" t="inlineStr">
        <is>
          <t>Pencabutan</t>
        </is>
      </c>
      <c r="K15" t="n">
        <v>90</v>
      </c>
      <c r="L15" t="inlineStr">
        <is>
          <t>19 Oktober 2026</t>
        </is>
      </c>
      <c r="M15" t="inlineStr">
        <is>
          <t>Konstruksi Gedung Lainnya</t>
        </is>
      </c>
      <c r="N15" t="inlineStr">
        <is>
          <t>M</t>
        </is>
      </c>
      <c r="O15" t="inlineStr">
        <is>
          <t>20230921</t>
        </is>
      </c>
      <c r="P15" t="inlineStr">
        <is>
          <t>DKI Jakarta</t>
        </is>
      </c>
      <c r="Q15" t="inlineStr"/>
    </row>
    <row r="16">
      <c r="A16" t="inlineStr">
        <is>
          <t>WIRASAKTI PALAGUNA</t>
        </is>
      </c>
      <c r="B16" t="inlineStr">
        <is>
          <t>Kota Adm. Jakarta Timur</t>
        </is>
      </c>
      <c r="C16" t="inlineStr">
        <is>
          <t>02186617188</t>
        </is>
      </c>
      <c r="D16" t="inlineStr">
        <is>
          <t>pt.wirasaktipalaguna@yahoo.com</t>
        </is>
      </c>
      <c r="E16" t="inlineStr">
        <is>
          <t>https://lpjk.pu.go.id/search-badan-usaha-detail/bFUvdmxBSlpEKzZtTW5mbFpDWWZQUT09</t>
        </is>
      </c>
      <c r="F16" t="n">
        <v>1</v>
      </c>
      <c r="G16" t="inlineStr">
        <is>
          <t>BS004</t>
        </is>
      </c>
      <c r="H16" t="inlineStr">
        <is>
          <t>22 Desember 1995</t>
        </is>
      </c>
      <c r="I16" s="2" t="n">
        <v>46314</v>
      </c>
      <c r="J16" t="inlineStr">
        <is>
          <t>Disetujui</t>
        </is>
      </c>
      <c r="K16" t="n">
        <v>90</v>
      </c>
      <c r="L16" t="inlineStr">
        <is>
          <t>19 Oktober 2026</t>
        </is>
      </c>
      <c r="M16" t="inlineStr">
        <is>
          <t>Konstruksi Jaringan Irigasi dan Drainase</t>
        </is>
      </c>
      <c r="N16" t="inlineStr">
        <is>
          <t>K</t>
        </is>
      </c>
      <c r="O16" t="inlineStr">
        <is>
          <t>20231019</t>
        </is>
      </c>
      <c r="P16" t="inlineStr">
        <is>
          <t>DKI Jakarta</t>
        </is>
      </c>
      <c r="Q16" t="inlineStr"/>
    </row>
    <row r="17">
      <c r="A17" t="inlineStr">
        <is>
          <t>YUSUKHA GABE PRATAMA</t>
        </is>
      </c>
      <c r="B17" t="inlineStr">
        <is>
          <t>Kab. Bogor</t>
        </is>
      </c>
      <c r="C17" t="inlineStr">
        <is>
          <t>08111850109</t>
        </is>
      </c>
      <c r="D17" t="inlineStr">
        <is>
          <t>yusukhagabepratama@gmail.com</t>
        </is>
      </c>
      <c r="E17" t="inlineStr">
        <is>
          <t>https://lpjk.pu.go.id/search-badan-usaha-detail/eFZ5UDhKOEM4ekJpRDYvUnVuOE42Zz09</t>
        </is>
      </c>
      <c r="F17" t="n">
        <v>1</v>
      </c>
      <c r="G17" t="inlineStr">
        <is>
          <t>BS009</t>
        </is>
      </c>
      <c r="H17" t="inlineStr">
        <is>
          <t>27 September 2023</t>
        </is>
      </c>
      <c r="I17" s="2" t="n">
        <v>46314</v>
      </c>
      <c r="J17" t="inlineStr">
        <is>
          <t>Pencabutan</t>
        </is>
      </c>
      <c r="K17" t="n">
        <v>90</v>
      </c>
      <c r="L17" t="inlineStr">
        <is>
          <t>19 Oktober 2026</t>
        </is>
      </c>
      <c r="M17" t="inlineStr">
        <is>
          <t>Konstruksi Sentral Telekomunikasi</t>
        </is>
      </c>
      <c r="N17" t="inlineStr">
        <is>
          <t>K</t>
        </is>
      </c>
      <c r="O17" t="inlineStr">
        <is>
          <t>20231010</t>
        </is>
      </c>
      <c r="P17" t="inlineStr">
        <is>
          <t>Jawa Barat</t>
        </is>
      </c>
      <c r="Q17" s="3">
        <f>HYPERLINK("https://wa.me/628111850109?text=Selamat siang Bapak/Ibu pimpinan YUSUKHA GABE PRATAMA,%0A%0ASemoga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ABADI NUSANTARA MANDIRI</t>
        </is>
      </c>
      <c r="B18" t="inlineStr">
        <is>
          <t>Kab. Langkat</t>
        </is>
      </c>
      <c r="C18" t="inlineStr">
        <is>
          <t>082250901075</t>
        </is>
      </c>
      <c r="D18" t="inlineStr">
        <is>
          <t>cvabadinusantaramandiri20@gmail.com</t>
        </is>
      </c>
      <c r="E18" t="inlineStr">
        <is>
          <t>https://lpjk.pu.go.id/search-badan-usaha-detail/a29NRGFsSHFnRFYyc1p0MzFGNFUxdz09</t>
        </is>
      </c>
      <c r="F18" t="n">
        <v>2</v>
      </c>
      <c r="G18" t="inlineStr">
        <is>
          <t>BS001</t>
        </is>
      </c>
      <c r="H18" t="inlineStr">
        <is>
          <t>14 September 2023</t>
        </is>
      </c>
      <c r="I18" s="2" t="n">
        <v>46314</v>
      </c>
      <c r="J18" t="inlineStr">
        <is>
          <t>Disetujui</t>
        </is>
      </c>
      <c r="K18" t="n">
        <v>90</v>
      </c>
      <c r="L18" t="inlineStr">
        <is>
          <t>19 Oktober 2026</t>
        </is>
      </c>
      <c r="M18" t="inlineStr">
        <is>
          <t>Konstruksi Bangunan Sipil Jalan</t>
        </is>
      </c>
      <c r="N18" t="inlineStr">
        <is>
          <t>K</t>
        </is>
      </c>
      <c r="O18" t="inlineStr">
        <is>
          <t>20231019</t>
        </is>
      </c>
      <c r="P18" t="inlineStr">
        <is>
          <t>Sumatera Utara</t>
        </is>
      </c>
      <c r="Q18" t="inlineStr"/>
    </row>
    <row r="19">
      <c r="A19" t="inlineStr">
        <is>
          <t>ADI KARYA</t>
        </is>
      </c>
      <c r="B19" t="inlineStr">
        <is>
          <t>Kab. Manggarai Timur</t>
        </is>
      </c>
      <c r="C19" t="inlineStr">
        <is>
          <t>085239203636</t>
        </is>
      </c>
      <c r="D19" t="inlineStr">
        <is>
          <t>adikariacv@gmail.com</t>
        </is>
      </c>
      <c r="E19" t="inlineStr">
        <is>
          <t>https://lpjk.pu.go.id/search-badan-usaha-detail/amswUEtrVHZPRThrbmhsNVRKSHdEQT09</t>
        </is>
      </c>
      <c r="F19" t="n">
        <v>2</v>
      </c>
      <c r="G19" t="inlineStr">
        <is>
          <t>BG006, BS001</t>
        </is>
      </c>
      <c r="H19" t="inlineStr">
        <is>
          <t>17 November 2011</t>
        </is>
      </c>
      <c r="I19" s="2" t="n">
        <v>46314</v>
      </c>
      <c r="J19" t="inlineStr">
        <is>
          <t>Disetujui</t>
        </is>
      </c>
      <c r="K19" t="n">
        <v>90</v>
      </c>
      <c r="L19" t="inlineStr">
        <is>
          <t>19 Oktober 2026</t>
        </is>
      </c>
      <c r="M19" t="inlineStr">
        <is>
          <t>Konstruksi Bangunan Sipil Jalan, Konstruksi Gedung Pendidikan</t>
        </is>
      </c>
      <c r="N19" t="inlineStr">
        <is>
          <t>K</t>
        </is>
      </c>
      <c r="O19" t="inlineStr">
        <is>
          <t>20231018</t>
        </is>
      </c>
      <c r="P19" t="inlineStr">
        <is>
          <t>Nusa Tenggara Timur</t>
        </is>
      </c>
      <c r="Q19" t="inlineStr"/>
    </row>
    <row r="20">
      <c r="A20" t="inlineStr">
        <is>
          <t>ADI PRIMA GRAHA</t>
        </is>
      </c>
      <c r="B20" t="inlineStr">
        <is>
          <t>Kota Padang</t>
        </is>
      </c>
      <c r="C20" t="inlineStr">
        <is>
          <t>081298705352</t>
        </is>
      </c>
      <c r="D20" t="inlineStr">
        <is>
          <t>cv.adiprimagraha412@gmail.com</t>
        </is>
      </c>
      <c r="E20" t="inlineStr">
        <is>
          <t>https://lpjk.pu.go.id/search-badan-usaha-detail/S2Y5a2VvbElvdzhrb2drOFROS1lxdz09</t>
        </is>
      </c>
      <c r="F20" t="n">
        <v>1</v>
      </c>
      <c r="G20" t="inlineStr">
        <is>
          <t>BS001</t>
        </is>
      </c>
      <c r="H20" t="inlineStr">
        <is>
          <t>3 Desember 2019</t>
        </is>
      </c>
      <c r="I20" s="2" t="n">
        <v>46314</v>
      </c>
      <c r="J20" t="inlineStr">
        <is>
          <t>Disetujui</t>
        </is>
      </c>
      <c r="K20" t="n">
        <v>90</v>
      </c>
      <c r="L20" t="inlineStr">
        <is>
          <t>19 Oktober 2026</t>
        </is>
      </c>
      <c r="M20" t="inlineStr">
        <is>
          <t>Konstruksi Bangunan Sipil Jalan</t>
        </is>
      </c>
      <c r="N20" t="inlineStr">
        <is>
          <t>K</t>
        </is>
      </c>
      <c r="O20" t="inlineStr">
        <is>
          <t>20231019</t>
        </is>
      </c>
      <c r="P20" t="inlineStr">
        <is>
          <t>Sumatera Barat</t>
        </is>
      </c>
      <c r="Q20" t="inlineStr"/>
    </row>
    <row r="21">
      <c r="A21" t="inlineStr">
        <is>
          <t>AFSHEEN</t>
        </is>
      </c>
      <c r="B21" t="inlineStr">
        <is>
          <t>Kab. Kolaka</t>
        </is>
      </c>
      <c r="C21" t="inlineStr">
        <is>
          <t>085255122442</t>
        </is>
      </c>
      <c r="D21" t="inlineStr">
        <is>
          <t>afsheenkdi@gmail.com</t>
        </is>
      </c>
      <c r="E21" t="inlineStr">
        <is>
          <t>https://lpjk.pu.go.id/search-badan-usaha-detail/eXhmZE5md295T3lYdnNDRGgvT0Z2Zz09</t>
        </is>
      </c>
      <c r="F21" t="n">
        <v>4</v>
      </c>
      <c r="G21" t="inlineStr">
        <is>
          <t>BG001, BG005, BS001, BS004</t>
        </is>
      </c>
      <c r="H21" t="inlineStr">
        <is>
          <t>28 Juli 2023</t>
        </is>
      </c>
      <c r="I21" s="2" t="n">
        <v>46314</v>
      </c>
      <c r="J21" t="inlineStr">
        <is>
          <t>Disetujui</t>
        </is>
      </c>
      <c r="K21" t="n">
        <v>90</v>
      </c>
      <c r="L21" t="inlineStr">
        <is>
          <t>19 Oktober 2026</t>
        </is>
      </c>
      <c r="M21" t="inlineStr">
        <is>
          <t>Konstruksi Bangunan Sipil Jalan, Konstruksi Gedung Hunian, Konstruksi Gedung Kesehatan, Konstruksi Jaringan Irigasi dan Drainase</t>
        </is>
      </c>
      <c r="N21" t="inlineStr">
        <is>
          <t>K</t>
        </is>
      </c>
      <c r="O21" t="inlineStr">
        <is>
          <t>20231017</t>
        </is>
      </c>
      <c r="P21" t="inlineStr">
        <is>
          <t>Sulawesi Tenggara</t>
        </is>
      </c>
      <c r="Q21" t="inlineStr"/>
    </row>
    <row r="22">
      <c r="A22" t="inlineStr">
        <is>
          <t>AMANAH MUTIARA MAHAKAM</t>
        </is>
      </c>
      <c r="B22" t="inlineStr">
        <is>
          <t>Kab. Kutai Kartanegara</t>
        </is>
      </c>
      <c r="C22" t="inlineStr">
        <is>
          <t>085246283726</t>
        </is>
      </c>
      <c r="D22" t="inlineStr">
        <is>
          <t>amanahkoperasikonsumen@gmail.com</t>
        </is>
      </c>
      <c r="E22" t="inlineStr">
        <is>
          <t>https://lpjk.pu.go.id/search-badan-usaha-detail/UTJobHk1MDd2bkdxM2MycGFKbXluQT09</t>
        </is>
      </c>
      <c r="F22" t="n">
        <v>3</v>
      </c>
      <c r="G22" t="inlineStr">
        <is>
          <t>BS002</t>
        </is>
      </c>
      <c r="H22" t="inlineStr">
        <is>
          <t>31 Agustus 2021</t>
        </is>
      </c>
      <c r="I22" s="2" t="n">
        <v>46314</v>
      </c>
      <c r="J22" t="inlineStr">
        <is>
          <t>Disetujui</t>
        </is>
      </c>
      <c r="K22" t="n">
        <v>90</v>
      </c>
      <c r="L22" t="inlineStr">
        <is>
          <t>19 Oktober 2026</t>
        </is>
      </c>
      <c r="M22" t="inlineStr">
        <is>
          <t>Bangunan Sipil Jembatan, Jalan Layang, Fly Over, dan Underpass</t>
        </is>
      </c>
      <c r="N22" t="inlineStr">
        <is>
          <t>K</t>
        </is>
      </c>
      <c r="O22" t="inlineStr">
        <is>
          <t>20231017</t>
        </is>
      </c>
      <c r="P22" t="inlineStr">
        <is>
          <t>Kalimantan Timur</t>
        </is>
      </c>
      <c r="Q22" t="inlineStr"/>
    </row>
    <row r="23">
      <c r="A23" t="inlineStr">
        <is>
          <t>AMANDA PERDANA</t>
        </is>
      </c>
      <c r="B23" t="inlineStr">
        <is>
          <t>Kota Makassar</t>
        </is>
      </c>
      <c r="C23" t="inlineStr">
        <is>
          <t>081355213822</t>
        </is>
      </c>
      <c r="D23" t="inlineStr">
        <is>
          <t>amandaperdana035@gmail.com</t>
        </is>
      </c>
      <c r="E23" t="inlineStr">
        <is>
          <t>https://lpjk.pu.go.id/search-badan-usaha-detail/U0tMVFZUNE1QN3pNWGhDanpycTlkQT09</t>
        </is>
      </c>
      <c r="F23" t="n">
        <v>2</v>
      </c>
      <c r="G23" t="inlineStr">
        <is>
          <t>BG001</t>
        </is>
      </c>
      <c r="H23" t="inlineStr">
        <is>
          <t>15 Juni 2004</t>
        </is>
      </c>
      <c r="I23" s="2" t="n">
        <v>46314</v>
      </c>
      <c r="J23" t="inlineStr">
        <is>
          <t>Disetujui</t>
        </is>
      </c>
      <c r="K23" t="n">
        <v>90</v>
      </c>
      <c r="L23" t="inlineStr">
        <is>
          <t>19 Oktober 2026</t>
        </is>
      </c>
      <c r="M23" t="inlineStr">
        <is>
          <t>Konstruksi Gedung Hunian</t>
        </is>
      </c>
      <c r="N23" t="inlineStr">
        <is>
          <t>K</t>
        </is>
      </c>
      <c r="O23" t="inlineStr">
        <is>
          <t>20231012</t>
        </is>
      </c>
      <c r="P23" t="inlineStr">
        <is>
          <t>Sulawesi Selatan</t>
        </is>
      </c>
      <c r="Q23" t="inlineStr"/>
    </row>
    <row r="24">
      <c r="A24" t="inlineStr">
        <is>
          <t>ANAGATA ABISATYA VISITAMA</t>
        </is>
      </c>
      <c r="B24" t="inlineStr">
        <is>
          <t>Kota Bandung</t>
        </is>
      </c>
      <c r="C24" t="inlineStr">
        <is>
          <t>08122004498</t>
        </is>
      </c>
      <c r="D24" t="inlineStr">
        <is>
          <t>anagataabivisitama.cv@gmail.com</t>
        </is>
      </c>
      <c r="E24" t="inlineStr">
        <is>
          <t>https://lpjk.pu.go.id/search-badan-usaha-detail/MDdLNmF4aTNWendHZEM1WUpDaGVyUT09</t>
        </is>
      </c>
      <c r="F24" t="n">
        <v>3</v>
      </c>
      <c r="G24" t="inlineStr">
        <is>
          <t>BG002, BG005, BG009</t>
        </is>
      </c>
      <c r="H24" t="inlineStr">
        <is>
          <t>11 November 2022</t>
        </is>
      </c>
      <c r="I24" s="2" t="n">
        <v>46314</v>
      </c>
      <c r="J24" t="inlineStr">
        <is>
          <t>Disetujui</t>
        </is>
      </c>
      <c r="K24" t="n">
        <v>90</v>
      </c>
      <c r="L24" t="inlineStr">
        <is>
          <t>19 Oktober 2026</t>
        </is>
      </c>
      <c r="M24" t="inlineStr">
        <is>
          <t>Konstruksi Gedung Kesehatan, Konstruksi Gedung Lainnya, Konstruksi Gedung Perkantoran</t>
        </is>
      </c>
      <c r="N24" t="inlineStr">
        <is>
          <t>K</t>
        </is>
      </c>
      <c r="O24" t="inlineStr">
        <is>
          <t>20230919, 20230920</t>
        </is>
      </c>
      <c r="P24" t="inlineStr">
        <is>
          <t>Jawa Barat</t>
        </is>
      </c>
      <c r="Q24" t="inlineStr"/>
    </row>
    <row r="25">
      <c r="A25" t="inlineStr">
        <is>
          <t>ANANTA KARYA</t>
        </is>
      </c>
      <c r="B25" t="inlineStr">
        <is>
          <t>Kab. Jember</t>
        </is>
      </c>
      <c r="C25" t="inlineStr">
        <is>
          <t>085236371240</t>
        </is>
      </c>
      <c r="D25" t="inlineStr">
        <is>
          <t>anantakaryajember@gmail.com</t>
        </is>
      </c>
      <c r="E25" t="inlineStr">
        <is>
          <t>https://lpjk.pu.go.id/search-badan-usaha-detail/UUUwRG44d2dyaG9OOE1uOXZhR0xsdz09</t>
        </is>
      </c>
      <c r="F25" t="n">
        <v>1</v>
      </c>
      <c r="G25" t="inlineStr">
        <is>
          <t>BS002</t>
        </is>
      </c>
      <c r="H25" t="inlineStr">
        <is>
          <t>11 November 2016</t>
        </is>
      </c>
      <c r="I25" s="2" t="n">
        <v>46314</v>
      </c>
      <c r="J25" t="inlineStr">
        <is>
          <t>Disetujui</t>
        </is>
      </c>
      <c r="K25" t="n">
        <v>90</v>
      </c>
      <c r="L25" t="inlineStr">
        <is>
          <t>19 Oktober 2026</t>
        </is>
      </c>
      <c r="M25" t="inlineStr">
        <is>
          <t>Bangunan Sipil Jembatan, Jalan Layang, Fly Over, dan Underpass</t>
        </is>
      </c>
      <c r="N25" t="inlineStr">
        <is>
          <t>K</t>
        </is>
      </c>
      <c r="O25" t="inlineStr">
        <is>
          <t>20231018</t>
        </is>
      </c>
      <c r="P25" t="inlineStr">
        <is>
          <t>Jawa Timur</t>
        </is>
      </c>
      <c r="Q25" t="inlineStr"/>
    </row>
    <row r="26">
      <c r="A26" t="inlineStr">
        <is>
          <t>ANEKA MATERIAL PERSADA</t>
        </is>
      </c>
      <c r="B26" t="inlineStr">
        <is>
          <t>Kota Adm. Jakarta Utara</t>
        </is>
      </c>
      <c r="C26" t="inlineStr">
        <is>
          <t>02164701032</t>
        </is>
      </c>
      <c r="D26" t="inlineStr">
        <is>
          <t>anekamaterialpersada@yahoo.co.id</t>
        </is>
      </c>
      <c r="E26" t="inlineStr">
        <is>
          <t>https://lpjk.pu.go.id/search-badan-usaha-detail/UG95Nk0yS2xpTC92ZERBNTM1Q0hLQT09</t>
        </is>
      </c>
      <c r="F26" t="n">
        <v>2</v>
      </c>
      <c r="G26" t="inlineStr">
        <is>
          <t>BG009</t>
        </is>
      </c>
      <c r="H26" t="inlineStr">
        <is>
          <t>2 Agustus 2021</t>
        </is>
      </c>
      <c r="I26" s="2" t="n">
        <v>46314</v>
      </c>
      <c r="J26" t="inlineStr">
        <is>
          <t>Disetujui</t>
        </is>
      </c>
      <c r="K26" t="n">
        <v>90</v>
      </c>
      <c r="L26" t="inlineStr">
        <is>
          <t>19 Oktober 2026</t>
        </is>
      </c>
      <c r="M26" t="inlineStr">
        <is>
          <t>Konstruksi Gedung Lainnya</t>
        </is>
      </c>
      <c r="N26" t="inlineStr">
        <is>
          <t>K</t>
        </is>
      </c>
      <c r="O26" t="inlineStr">
        <is>
          <t>20231019</t>
        </is>
      </c>
      <c r="P26" t="inlineStr">
        <is>
          <t>DKI Jakarta</t>
        </is>
      </c>
      <c r="Q26" t="inlineStr"/>
    </row>
    <row r="27">
      <c r="A27" t="inlineStr">
        <is>
          <t>ANGKASA BIRU SEJAHTERA</t>
        </is>
      </c>
      <c r="B27" t="inlineStr">
        <is>
          <t>Kota Samarinda</t>
        </is>
      </c>
      <c r="C27" t="inlineStr">
        <is>
          <t>08125530928</t>
        </is>
      </c>
      <c r="D27" t="inlineStr">
        <is>
          <t>angkasabiruengineering@gmail.com</t>
        </is>
      </c>
      <c r="E27" t="inlineStr">
        <is>
          <t>https://lpjk.pu.go.id/search-badan-usaha-detail/Y2dlTlJtYVRJdWhXTjNRcmtVMnFjdz09</t>
        </is>
      </c>
      <c r="F27" t="n">
        <v>6</v>
      </c>
      <c r="G27" t="inlineStr">
        <is>
          <t>BS001, BS002, BS004</t>
        </is>
      </c>
      <c r="H27" t="inlineStr">
        <is>
          <t>11 November 2020</t>
        </is>
      </c>
      <c r="I27" s="2" t="n">
        <v>46314</v>
      </c>
      <c r="J27" t="inlineStr">
        <is>
          <t>Disetujui</t>
        </is>
      </c>
      <c r="K27" t="n">
        <v>90</v>
      </c>
      <c r="L27" t="inlineStr">
        <is>
          <t>19 Oktober 2026</t>
        </is>
      </c>
      <c r="M27" t="inlineStr">
        <is>
          <t>Bangunan Sipil Jembatan, Jalan Layang, Fly Over, dan Underpass, Konstruksi Bangunan Sipil Jalan, Konstruksi Jaringan Irigasi dan Drainase</t>
        </is>
      </c>
      <c r="N27" t="inlineStr">
        <is>
          <t>K</t>
        </is>
      </c>
      <c r="O27" t="inlineStr">
        <is>
          <t>20231019</t>
        </is>
      </c>
      <c r="P27" t="inlineStr">
        <is>
          <t>Kalimantan Timur</t>
        </is>
      </c>
      <c r="Q27" t="inlineStr"/>
    </row>
    <row r="28">
      <c r="A28" t="inlineStr">
        <is>
          <t>ANGKASA PRATAMA KONSTRUKSI</t>
        </is>
      </c>
      <c r="B28" t="inlineStr">
        <is>
          <t>Kota Banjarmasin</t>
        </is>
      </c>
      <c r="C28" t="inlineStr">
        <is>
          <t>081913502378</t>
        </is>
      </c>
      <c r="D28" t="inlineStr">
        <is>
          <t>angkasapratama.426@gmail.com</t>
        </is>
      </c>
      <c r="E28" t="inlineStr">
        <is>
          <t>https://lpjk.pu.go.id/search-badan-usaha-detail/c0xwWFV6T2VGVEt5UjVtbGwvRXRlQT09</t>
        </is>
      </c>
      <c r="F28" t="n">
        <v>6</v>
      </c>
      <c r="G28" t="inlineStr">
        <is>
          <t>BG006, BS001, BS004</t>
        </is>
      </c>
      <c r="H28" t="inlineStr">
        <is>
          <t>4 Agustus 2023</t>
        </is>
      </c>
      <c r="I28" s="2" t="n">
        <v>46314</v>
      </c>
      <c r="J28" t="inlineStr">
        <is>
          <t>Disetujui</t>
        </is>
      </c>
      <c r="K28" t="n">
        <v>90</v>
      </c>
      <c r="L28" t="inlineStr">
        <is>
          <t>19 Oktober 2026</t>
        </is>
      </c>
      <c r="M28" t="inlineStr">
        <is>
          <t>Konstruksi Bangunan Sipil Jalan, Konstruksi Gedung Pendidikan, Konstruksi Jaringan Irigasi dan Drainase</t>
        </is>
      </c>
      <c r="N28" t="inlineStr">
        <is>
          <t>K</t>
        </is>
      </c>
      <c r="O28" t="inlineStr">
        <is>
          <t>20231018</t>
        </is>
      </c>
      <c r="P28" t="inlineStr">
        <is>
          <t>Kalimantan Selatan</t>
        </is>
      </c>
      <c r="Q28" t="inlineStr"/>
    </row>
    <row r="29">
      <c r="A29" t="inlineStr">
        <is>
          <t>ANUGERAH DIGOEL</t>
        </is>
      </c>
      <c r="B29" t="inlineStr">
        <is>
          <t>Kab. Mappi</t>
        </is>
      </c>
      <c r="C29" t="inlineStr">
        <is>
          <t>085219534094</t>
        </is>
      </c>
      <c r="D29" t="inlineStr">
        <is>
          <t>cv.anugerahdigoel@gmail.com</t>
        </is>
      </c>
      <c r="E29" t="inlineStr">
        <is>
          <t>https://lpjk.pu.go.id/search-badan-usaha-detail/emZ2bXpwN1RNQitCZU05SENwdjJXQT09</t>
        </is>
      </c>
      <c r="F29" t="n">
        <v>1</v>
      </c>
      <c r="G29" t="inlineStr">
        <is>
          <t>BG001</t>
        </is>
      </c>
      <c r="H29" t="inlineStr">
        <is>
          <t>5 Agustus 2020</t>
        </is>
      </c>
      <c r="I29" s="2" t="n">
        <v>46314</v>
      </c>
      <c r="J29" t="inlineStr">
        <is>
          <t>Disetujui</t>
        </is>
      </c>
      <c r="K29" t="n">
        <v>90</v>
      </c>
      <c r="L29" t="inlineStr">
        <is>
          <t>19 Oktober 2026</t>
        </is>
      </c>
      <c r="M29" t="inlineStr">
        <is>
          <t>Konstruksi Gedung Hunian</t>
        </is>
      </c>
      <c r="N29" t="inlineStr">
        <is>
          <t>K</t>
        </is>
      </c>
      <c r="O29" t="inlineStr">
        <is>
          <t>20230922</t>
        </is>
      </c>
      <c r="P29" t="inlineStr">
        <is>
          <t>Papua Selatan</t>
        </is>
      </c>
      <c r="Q29" t="inlineStr"/>
    </row>
    <row r="30">
      <c r="A30" t="inlineStr">
        <is>
          <t>ANUGRAH KARYA GROUP</t>
        </is>
      </c>
      <c r="B30" t="inlineStr">
        <is>
          <t>Kab. Kulon Progo</t>
        </is>
      </c>
      <c r="C30" t="inlineStr">
        <is>
          <t>081911485256</t>
        </is>
      </c>
      <c r="D30" t="inlineStr">
        <is>
          <t>anugrahkaryagroup@gmail.com</t>
        </is>
      </c>
      <c r="E30" t="inlineStr">
        <is>
          <t>https://lpjk.pu.go.id/search-badan-usaha-detail/MXptazY4aFNYazJiRHZuQmR2VVd2UT09</t>
        </is>
      </c>
      <c r="F30" t="n">
        <v>2</v>
      </c>
      <c r="G30" t="inlineStr">
        <is>
          <t>BS001</t>
        </is>
      </c>
      <c r="H30" t="inlineStr">
        <is>
          <t>22 Juni 2012</t>
        </is>
      </c>
      <c r="I30" s="2" t="n">
        <v>46314</v>
      </c>
      <c r="J30" t="inlineStr">
        <is>
          <t>Disetujui</t>
        </is>
      </c>
      <c r="K30" t="n">
        <v>90</v>
      </c>
      <c r="L30" t="inlineStr">
        <is>
          <t>19 Oktober 2026</t>
        </is>
      </c>
      <c r="M30" t="inlineStr">
        <is>
          <t>Konstruksi Bangunan Sipil Jalan</t>
        </is>
      </c>
      <c r="N30" t="inlineStr">
        <is>
          <t>K</t>
        </is>
      </c>
      <c r="O30" t="inlineStr">
        <is>
          <t>20230829</t>
        </is>
      </c>
      <c r="P30" t="inlineStr">
        <is>
          <t>DI Yogyakarta</t>
        </is>
      </c>
      <c r="Q30" t="inlineStr"/>
    </row>
    <row r="31">
      <c r="A31" t="inlineStr">
        <is>
          <t>ANUGRAH MAHA KARYA PERSADA</t>
        </is>
      </c>
      <c r="B31" t="inlineStr">
        <is>
          <t>Kab. Tuban</t>
        </is>
      </c>
      <c r="C31" t="inlineStr">
        <is>
          <t>082143196801</t>
        </is>
      </c>
      <c r="D31" t="inlineStr">
        <is>
          <t>pt.amkpersada@gmail.com</t>
        </is>
      </c>
      <c r="E31" t="inlineStr">
        <is>
          <t>https://lpjk.pu.go.id/search-badan-usaha-detail/WWtvUElndjdnNGNDbXdOUiswalhhZz09</t>
        </is>
      </c>
      <c r="F31" t="n">
        <v>2</v>
      </c>
      <c r="G31" t="inlineStr">
        <is>
          <t>BG004</t>
        </is>
      </c>
      <c r="H31" t="inlineStr">
        <is>
          <t>11 Maret 2020</t>
        </is>
      </c>
      <c r="I31" s="2" t="n">
        <v>46314</v>
      </c>
      <c r="J31" t="inlineStr">
        <is>
          <t>Disetujui</t>
        </is>
      </c>
      <c r="K31" t="n">
        <v>90</v>
      </c>
      <c r="L31" t="inlineStr">
        <is>
          <t>19 Oktober 2026</t>
        </is>
      </c>
      <c r="M31" t="inlineStr">
        <is>
          <t>Konstruksi Gedung Perbelanjaan</t>
        </is>
      </c>
      <c r="N31" t="inlineStr">
        <is>
          <t>K</t>
        </is>
      </c>
      <c r="O31" t="inlineStr">
        <is>
          <t>20231017</t>
        </is>
      </c>
      <c r="P31" t="inlineStr">
        <is>
          <t>Jawa Timur</t>
        </is>
      </c>
      <c r="Q31" t="inlineStr"/>
    </row>
    <row r="32">
      <c r="A32" t="inlineStr">
        <is>
          <t>ANUGRAH PUTRA UTAMA</t>
        </is>
      </c>
      <c r="B32" t="inlineStr">
        <is>
          <t>Kab. Pidie</t>
        </is>
      </c>
      <c r="C32" t="inlineStr">
        <is>
          <t>082362822346</t>
        </is>
      </c>
      <c r="D32" t="inlineStr">
        <is>
          <t>anugrahputra.utama987@gmail.com</t>
        </is>
      </c>
      <c r="E32" t="inlineStr">
        <is>
          <t>https://lpjk.pu.go.id/search-badan-usaha-detail/eExUWE8zcHJTdW11bnJsOWVqSXZWZz09</t>
        </is>
      </c>
      <c r="F32" t="n">
        <v>4</v>
      </c>
      <c r="G32" t="inlineStr">
        <is>
          <t>BG001, BG005</t>
        </is>
      </c>
      <c r="H32" t="inlineStr">
        <is>
          <t>9 Oktober 1998</t>
        </is>
      </c>
      <c r="I32" s="2" t="n">
        <v>46314</v>
      </c>
      <c r="J32" t="inlineStr">
        <is>
          <t>Disetujui</t>
        </is>
      </c>
      <c r="K32" t="n">
        <v>90</v>
      </c>
      <c r="L32" t="inlineStr">
        <is>
          <t>19 Oktober 2026</t>
        </is>
      </c>
      <c r="M32" t="inlineStr">
        <is>
          <t>Konstruksi Gedung Hunian, Konstruksi Gedung Kesehatan</t>
        </is>
      </c>
      <c r="N32" t="inlineStr">
        <is>
          <t>K</t>
        </is>
      </c>
      <c r="O32" t="inlineStr">
        <is>
          <t>20231014</t>
        </is>
      </c>
      <c r="P32" t="inlineStr">
        <is>
          <t>Aceh</t>
        </is>
      </c>
      <c r="Q32" t="inlineStr"/>
    </row>
    <row r="33">
      <c r="A33" t="inlineStr">
        <is>
          <t>AYU SUSILA KARYA</t>
        </is>
      </c>
      <c r="B33" t="inlineStr">
        <is>
          <t>Kab. Banyuwangi</t>
        </is>
      </c>
      <c r="C33" t="inlineStr">
        <is>
          <t>081358154982</t>
        </is>
      </c>
      <c r="D33" t="inlineStr">
        <is>
          <t>ayususilakarya@ymail.com</t>
        </is>
      </c>
      <c r="E33" t="inlineStr">
        <is>
          <t>https://lpjk.pu.go.id/search-badan-usaha-detail/cHlhQk1FMmtPN3UweU1nY1dLMlVXZz09</t>
        </is>
      </c>
      <c r="F33" t="n">
        <v>1</v>
      </c>
      <c r="G33" t="inlineStr">
        <is>
          <t>BS004</t>
        </is>
      </c>
      <c r="H33" t="inlineStr">
        <is>
          <t>23 Oktober 1990</t>
        </is>
      </c>
      <c r="I33" s="2" t="n">
        <v>46314</v>
      </c>
      <c r="J33" t="inlineStr">
        <is>
          <t>Disetujui</t>
        </is>
      </c>
      <c r="K33" t="n">
        <v>90</v>
      </c>
      <c r="L33" t="inlineStr">
        <is>
          <t>19 Oktober 2026</t>
        </is>
      </c>
      <c r="M33" t="inlineStr">
        <is>
          <t>Konstruksi Jaringan Irigasi dan Drainase</t>
        </is>
      </c>
      <c r="N33" t="inlineStr">
        <is>
          <t>K</t>
        </is>
      </c>
      <c r="O33" t="inlineStr">
        <is>
          <t>20231016</t>
        </is>
      </c>
      <c r="P33" t="inlineStr">
        <is>
          <t>Jawa Timur</t>
        </is>
      </c>
      <c r="Q33" t="inlineStr"/>
    </row>
    <row r="34">
      <c r="A34" t="inlineStr">
        <is>
          <t>AYU TENAN</t>
        </is>
      </c>
      <c r="B34" t="inlineStr">
        <is>
          <t>Kota Kediri</t>
        </is>
      </c>
      <c r="C34" t="inlineStr">
        <is>
          <t>081553514335</t>
        </is>
      </c>
      <c r="D34" t="inlineStr">
        <is>
          <t>cvayutenankdr@gmail.com</t>
        </is>
      </c>
      <c r="E34" t="inlineStr">
        <is>
          <t>https://lpjk.pu.go.id/search-badan-usaha-detail/ajRKQTdpM3JGamI5TFFjNnRCb3U3Zz09</t>
        </is>
      </c>
      <c r="F34" t="n">
        <v>1</v>
      </c>
      <c r="G34" t="inlineStr">
        <is>
          <t>BG005</t>
        </is>
      </c>
      <c r="H34" t="inlineStr">
        <is>
          <t>21 Februari 2011</t>
        </is>
      </c>
      <c r="I34" s="2" t="n">
        <v>46314</v>
      </c>
      <c r="J34" t="inlineStr">
        <is>
          <t>Disetujui</t>
        </is>
      </c>
      <c r="K34" t="n">
        <v>90</v>
      </c>
      <c r="L34" t="inlineStr">
        <is>
          <t>19 Oktober 2026</t>
        </is>
      </c>
      <c r="M34" t="inlineStr">
        <is>
          <t>Konstruksi Gedung Kesehatan</t>
        </is>
      </c>
      <c r="N34" t="inlineStr">
        <is>
          <t>K</t>
        </is>
      </c>
      <c r="O34" t="inlineStr">
        <is>
          <t>20230328</t>
        </is>
      </c>
      <c r="P34" t="inlineStr">
        <is>
          <t>Jawa Timur</t>
        </is>
      </c>
      <c r="Q34" t="inlineStr"/>
    </row>
    <row r="35">
      <c r="A35" t="inlineStr">
        <is>
          <t>BAKTI MEKINDO TATAMULIA</t>
        </is>
      </c>
      <c r="B35" t="inlineStr">
        <is>
          <t>Kota Mataram</t>
        </is>
      </c>
      <c r="C35" t="inlineStr">
        <is>
          <t>0370633436</t>
        </is>
      </c>
      <c r="D35" t="inlineStr">
        <is>
          <t>pt.bmt1group@gmail.com</t>
        </is>
      </c>
      <c r="E35" t="inlineStr">
        <is>
          <t>https://lpjk.pu.go.id/search-badan-usaha-detail/NzlPTXVUYzJ2TXVYNHU1UlM3ejhjZz09</t>
        </is>
      </c>
      <c r="F35" t="n">
        <v>2</v>
      </c>
      <c r="G35" t="inlineStr">
        <is>
          <t>BG002, BG005</t>
        </is>
      </c>
      <c r="H35" t="inlineStr">
        <is>
          <t>30 November 2005</t>
        </is>
      </c>
      <c r="I35" s="2" t="n">
        <v>46314</v>
      </c>
      <c r="J35" t="inlineStr">
        <is>
          <t>Disetujui</t>
        </is>
      </c>
      <c r="K35" t="n">
        <v>90</v>
      </c>
      <c r="L35" t="inlineStr">
        <is>
          <t>19 Oktober 2026</t>
        </is>
      </c>
      <c r="M35" t="inlineStr">
        <is>
          <t>Konstruksi Gedung Kesehatan, Konstruksi Gedung Perkantoran</t>
        </is>
      </c>
      <c r="N35" t="inlineStr">
        <is>
          <t>K</t>
        </is>
      </c>
      <c r="O35" t="inlineStr">
        <is>
          <t>20231017, 20231018</t>
        </is>
      </c>
      <c r="P35" t="inlineStr">
        <is>
          <t>Nusa Tenggara Barat</t>
        </is>
      </c>
      <c r="Q35" t="inlineStr"/>
    </row>
    <row r="36">
      <c r="A36" t="inlineStr">
        <is>
          <t>BANGUN BESAR BERSAMA</t>
        </is>
      </c>
      <c r="B36" t="inlineStr">
        <is>
          <t>Kota Surakarta</t>
        </is>
      </c>
      <c r="C36" t="inlineStr">
        <is>
          <t>08129980736</t>
        </is>
      </c>
      <c r="D36" t="inlineStr">
        <is>
          <t>bangunbesarb@gmail.com</t>
        </is>
      </c>
      <c r="E36" t="inlineStr">
        <is>
          <t>https://lpjk.pu.go.id/search-badan-usaha-detail/SWY5MVR2NndHeFpBYUgwdmRzRzZRUT09</t>
        </is>
      </c>
      <c r="F36" t="n">
        <v>1</v>
      </c>
      <c r="G36" t="inlineStr">
        <is>
          <t>BG005</t>
        </is>
      </c>
      <c r="H36" t="inlineStr">
        <is>
          <t>28 Agustus 2023</t>
        </is>
      </c>
      <c r="I36" s="2" t="n">
        <v>46314</v>
      </c>
      <c r="J36" t="inlineStr">
        <is>
          <t>Disetujui</t>
        </is>
      </c>
      <c r="K36" t="n">
        <v>90</v>
      </c>
      <c r="L36" t="inlineStr">
        <is>
          <t>19 Oktober 2026</t>
        </is>
      </c>
      <c r="M36" t="inlineStr">
        <is>
          <t>Konstruksi Gedung Kesehatan</t>
        </is>
      </c>
      <c r="N36" t="inlineStr">
        <is>
          <t>K</t>
        </is>
      </c>
      <c r="O36" t="inlineStr">
        <is>
          <t>20231019</t>
        </is>
      </c>
      <c r="P36" t="inlineStr">
        <is>
          <t>Jawa Tengah</t>
        </is>
      </c>
      <c r="Q36" t="inlineStr"/>
    </row>
    <row r="37">
      <c r="A37" t="inlineStr">
        <is>
          <t>BANGUN PERSADA JAYA ENGINEERING</t>
        </is>
      </c>
      <c r="B37" t="inlineStr">
        <is>
          <t>Kota Langsa</t>
        </is>
      </c>
      <c r="C37" t="inlineStr">
        <is>
          <t>085260267311</t>
        </is>
      </c>
      <c r="D37" t="inlineStr">
        <is>
          <t>bpjengineering@gmail.com</t>
        </is>
      </c>
      <c r="E37" t="inlineStr">
        <is>
          <t>https://lpjk.pu.go.id/search-badan-usaha-detail/cDI3MFFyMGJUUGZvQWZUOWlobndqQT09</t>
        </is>
      </c>
      <c r="F37" t="n">
        <v>1</v>
      </c>
      <c r="G37" t="inlineStr">
        <is>
          <t>BG002</t>
        </is>
      </c>
      <c r="H37" t="inlineStr">
        <is>
          <t>14 Maret 2016</t>
        </is>
      </c>
      <c r="I37" s="2" t="n">
        <v>46314</v>
      </c>
      <c r="J37" t="inlineStr">
        <is>
          <t>Disetujui</t>
        </is>
      </c>
      <c r="K37" t="n">
        <v>90</v>
      </c>
      <c r="L37" t="inlineStr">
        <is>
          <t>19 Oktober 2026</t>
        </is>
      </c>
      <c r="M37" t="inlineStr">
        <is>
          <t>Konstruksi Gedung Perkantoran</t>
        </is>
      </c>
      <c r="N37" t="inlineStr">
        <is>
          <t>K</t>
        </is>
      </c>
      <c r="O37" t="inlineStr">
        <is>
          <t>20231015</t>
        </is>
      </c>
      <c r="P37" t="inlineStr">
        <is>
          <t>Aceh</t>
        </is>
      </c>
      <c r="Q37" t="inlineStr"/>
    </row>
    <row r="38">
      <c r="A38" t="inlineStr">
        <is>
          <t>BARISTA GEOINFORMATIK</t>
        </is>
      </c>
      <c r="B38" t="inlineStr">
        <is>
          <t>Kota Bandung</t>
        </is>
      </c>
      <c r="C38" t="inlineStr">
        <is>
          <t>02287529118</t>
        </is>
      </c>
      <c r="D38" t="inlineStr">
        <is>
          <t>geoinformatik.barista@gmail.com</t>
        </is>
      </c>
      <c r="E38" t="inlineStr">
        <is>
          <t>https://lpjk.pu.go.id/search-badan-usaha-detail/K2cyc1FYRkt3cGZsSXZZVHVwQTJidz09</t>
        </is>
      </c>
      <c r="F38" t="n">
        <v>4</v>
      </c>
      <c r="G38" t="inlineStr">
        <is>
          <t>IT002, IT003</t>
        </is>
      </c>
      <c r="H38" t="inlineStr">
        <is>
          <t>12 September 2002</t>
        </is>
      </c>
      <c r="I38" s="2" t="n">
        <v>46314</v>
      </c>
      <c r="J38" t="inlineStr">
        <is>
          <t>Disetujui</t>
        </is>
      </c>
      <c r="K38" t="n">
        <v>90</v>
      </c>
      <c r="L38" t="inlineStr">
        <is>
          <t>19 Oktober 2026</t>
        </is>
      </c>
      <c r="M38" t="inlineStr">
        <is>
          <t>Jasa Konsultansi Ilmiah dan Teknis Bawah Tanah, Jasa Konsultansi Ilmiah dan Teknis Permukaan Tanah dan Pembuatan Peta</t>
        </is>
      </c>
      <c r="N38" t="inlineStr">
        <is>
          <t>Spesialis</t>
        </is>
      </c>
      <c r="O38" t="inlineStr">
        <is>
          <t>20231011</t>
        </is>
      </c>
      <c r="P38" t="inlineStr">
        <is>
          <t>Jawa Barat</t>
        </is>
      </c>
      <c r="Q38" t="inlineStr"/>
    </row>
    <row r="39">
      <c r="A39" t="inlineStr">
        <is>
          <t>BAROKAH MAKMUR PERKASA</t>
        </is>
      </c>
      <c r="B39" t="inlineStr">
        <is>
          <t>Kab. Trenggalek</t>
        </is>
      </c>
      <c r="C39" t="inlineStr">
        <is>
          <t>081359203436</t>
        </is>
      </c>
      <c r="D39" t="inlineStr">
        <is>
          <t>ptbarokahmakmurperkasa@gmail.com</t>
        </is>
      </c>
      <c r="E39" t="inlineStr">
        <is>
          <t>https://lpjk.pu.go.id/search-badan-usaha-detail/K0JZM0RPNkwyaS9XZVA1dHJIY1gvQT09</t>
        </is>
      </c>
      <c r="F39" t="n">
        <v>14</v>
      </c>
      <c r="G39" t="inlineStr">
        <is>
          <t>BG002, BG005, BG006, BG009, BS001, BS002, BS004</t>
        </is>
      </c>
      <c r="H39" t="inlineStr">
        <is>
          <t>8 April 2017</t>
        </is>
      </c>
      <c r="I39" s="2" t="n">
        <v>46314</v>
      </c>
      <c r="J39" t="inlineStr">
        <is>
          <t>Disetujui</t>
        </is>
      </c>
      <c r="K39" t="n">
        <v>90</v>
      </c>
      <c r="L39" t="inlineStr">
        <is>
          <t>19 Oktober 2026</t>
        </is>
      </c>
      <c r="M39" t="inlineStr">
        <is>
          <t>Bangunan Sipil Jembatan, Jalan Layang, Fly Over, dan Underpass, Konstruksi Bangunan Sipil Jalan, Konstruksi Gedung Kesehatan, Konstruksi Gedung Lainnya, Konstruksi Gedung Pendidikan, Konstruksi Gedung Perkantoran, Konstruksi Jaringan Irigasi dan Drainase</t>
        </is>
      </c>
      <c r="N39" t="inlineStr">
        <is>
          <t>K</t>
        </is>
      </c>
      <c r="O39" t="inlineStr">
        <is>
          <t>20231013, 20231016</t>
        </is>
      </c>
      <c r="P39" t="inlineStr">
        <is>
          <t>Jawa Timur</t>
        </is>
      </c>
      <c r="Q39" t="inlineStr"/>
    </row>
    <row r="40">
      <c r="A40" t="inlineStr">
        <is>
          <t>BAYU INDAH PERKASA</t>
        </is>
      </c>
      <c r="B40" t="inlineStr">
        <is>
          <t>Kota Batam</t>
        </is>
      </c>
      <c r="C40" t="inlineStr">
        <is>
          <t>07784080163</t>
        </is>
      </c>
      <c r="D40" t="inlineStr">
        <is>
          <t>bayuindahperkasa@gmail.com</t>
        </is>
      </c>
      <c r="E40" t="inlineStr">
        <is>
          <t>https://lpjk.pu.go.id/search-badan-usaha-detail/anlHTlBWY1psUXlleTlpS2F1ZWQwQT09</t>
        </is>
      </c>
      <c r="F40" t="n">
        <v>1</v>
      </c>
      <c r="G40" t="inlineStr">
        <is>
          <t>BG005</t>
        </is>
      </c>
      <c r="H40" t="inlineStr">
        <is>
          <t>20 April 2013</t>
        </is>
      </c>
      <c r="I40" s="2" t="n">
        <v>46314</v>
      </c>
      <c r="J40" t="inlineStr">
        <is>
          <t>Pencabutan</t>
        </is>
      </c>
      <c r="K40" t="n">
        <v>90</v>
      </c>
      <c r="L40" t="inlineStr">
        <is>
          <t>19 Oktober 2026</t>
        </is>
      </c>
      <c r="M40" t="inlineStr">
        <is>
          <t>Konstruksi Gedung Kesehatan</t>
        </is>
      </c>
      <c r="N40" t="inlineStr">
        <is>
          <t>K</t>
        </is>
      </c>
      <c r="O40" t="inlineStr">
        <is>
          <t>20231018</t>
        </is>
      </c>
      <c r="P40" t="inlineStr">
        <is>
          <t>Kepulauan Riau</t>
        </is>
      </c>
      <c r="Q40" t="inlineStr"/>
    </row>
    <row r="41">
      <c r="A41" t="inlineStr">
        <is>
          <t>BAYUNTORO</t>
        </is>
      </c>
      <c r="B41" t="inlineStr">
        <is>
          <t>Kab. Gunungkidul</t>
        </is>
      </c>
      <c r="C41" t="inlineStr">
        <is>
          <t>081393025958</t>
        </is>
      </c>
      <c r="D41" t="inlineStr">
        <is>
          <t>cvbayuntoro23@gmail.com</t>
        </is>
      </c>
      <c r="E41" t="inlineStr">
        <is>
          <t>https://lpjk.pu.go.id/search-badan-usaha-detail/VSs1eUxmZVgwTFp1MXdEaDcvQU1xdz09</t>
        </is>
      </c>
      <c r="F41" t="n">
        <v>1</v>
      </c>
      <c r="G41" t="inlineStr">
        <is>
          <t>BS001</t>
        </is>
      </c>
      <c r="H41" t="inlineStr">
        <is>
          <t>2 Oktober 2006</t>
        </is>
      </c>
      <c r="I41" s="2" t="n">
        <v>46314</v>
      </c>
      <c r="J41" t="inlineStr">
        <is>
          <t>Disetujui</t>
        </is>
      </c>
      <c r="K41" t="n">
        <v>90</v>
      </c>
      <c r="L41" t="inlineStr">
        <is>
          <t>19 Oktober 2026</t>
        </is>
      </c>
      <c r="M41" t="inlineStr">
        <is>
          <t>Konstruksi Bangunan Sipil Jalan</t>
        </is>
      </c>
      <c r="N41" t="inlineStr">
        <is>
          <t>K</t>
        </is>
      </c>
      <c r="O41" t="inlineStr">
        <is>
          <t>20231009</t>
        </is>
      </c>
      <c r="P41" t="inlineStr">
        <is>
          <t>DI Yogyakarta</t>
        </is>
      </c>
      <c r="Q41" t="inlineStr"/>
    </row>
    <row r="42">
      <c r="A42" t="inlineStr">
        <is>
          <t>BENTANG BUANA SUKSES</t>
        </is>
      </c>
      <c r="B42" t="inlineStr">
        <is>
          <t>Kota Adm. Jakarta Barat</t>
        </is>
      </c>
      <c r="C42" t="inlineStr">
        <is>
          <t>0186915522</t>
        </is>
      </c>
      <c r="D42" t="inlineStr">
        <is>
          <t>bentang015@gmail.com</t>
        </is>
      </c>
      <c r="E42" t="inlineStr">
        <is>
          <t>https://lpjk.pu.go.id/search-badan-usaha-detail/UG01M0QxbUxRR1dnNEtJZGh3b0F0Zz09</t>
        </is>
      </c>
      <c r="F42" t="n">
        <v>1</v>
      </c>
      <c r="G42" t="inlineStr">
        <is>
          <t>BS009</t>
        </is>
      </c>
      <c r="H42" t="inlineStr">
        <is>
          <t>29 Mei 2019</t>
        </is>
      </c>
      <c r="I42" s="2" t="n">
        <v>46314</v>
      </c>
      <c r="J42" t="inlineStr">
        <is>
          <t>Disetujui</t>
        </is>
      </c>
      <c r="K42" t="n">
        <v>90</v>
      </c>
      <c r="L42" t="inlineStr">
        <is>
          <t>19 Oktober 2026</t>
        </is>
      </c>
      <c r="M42" t="inlineStr">
        <is>
          <t>Konstruksi Sentral Telekomunikasi</t>
        </is>
      </c>
      <c r="N42" t="inlineStr">
        <is>
          <t>K</t>
        </is>
      </c>
      <c r="O42" t="inlineStr">
        <is>
          <t>20231018</t>
        </is>
      </c>
      <c r="P42" t="inlineStr">
        <is>
          <t>DKI Jakarta</t>
        </is>
      </c>
      <c r="Q42" t="inlineStr"/>
    </row>
    <row r="43">
      <c r="A43" t="inlineStr">
        <is>
          <t>BERINGIN JAYA</t>
        </is>
      </c>
      <c r="B43" t="inlineStr">
        <is>
          <t>Kota Semarang</t>
        </is>
      </c>
      <c r="C43" t="inlineStr">
        <is>
          <t>081327978507</t>
        </is>
      </c>
      <c r="D43" t="inlineStr">
        <is>
          <t>beringinjaya969@gmail.com</t>
        </is>
      </c>
      <c r="E43" t="inlineStr">
        <is>
          <t>https://lpjk.pu.go.id/search-badan-usaha-detail/Umx1NGVQZ1VYK2IzZHM1bjZ5TXdKQT09</t>
        </is>
      </c>
      <c r="F43" t="n">
        <v>2</v>
      </c>
      <c r="G43" t="inlineStr">
        <is>
          <t>BG005, BS001</t>
        </is>
      </c>
      <c r="H43" t="inlineStr">
        <is>
          <t>24 Mei 2014</t>
        </is>
      </c>
      <c r="I43" s="2" t="n">
        <v>46314</v>
      </c>
      <c r="J43" t="inlineStr">
        <is>
          <t>Disetujui</t>
        </is>
      </c>
      <c r="K43" t="n">
        <v>90</v>
      </c>
      <c r="L43" t="inlineStr">
        <is>
          <t>19 Oktober 2026</t>
        </is>
      </c>
      <c r="M43" t="inlineStr">
        <is>
          <t>Konstruksi Bangunan Sipil Jalan, Konstruksi Gedung Kesehatan</t>
        </is>
      </c>
      <c r="N43" t="inlineStr">
        <is>
          <t>K</t>
        </is>
      </c>
      <c r="O43" t="inlineStr">
        <is>
          <t>20231006, 20231019</t>
        </is>
      </c>
      <c r="P43" t="inlineStr">
        <is>
          <t>Jawa Tengah</t>
        </is>
      </c>
      <c r="Q43" t="inlineStr"/>
    </row>
    <row r="44">
      <c r="A44" t="inlineStr">
        <is>
          <t>BERLIAN</t>
        </is>
      </c>
      <c r="B44" t="inlineStr">
        <is>
          <t>Kab. Bojonegoro</t>
        </is>
      </c>
      <c r="C44" t="inlineStr">
        <is>
          <t>0353332404</t>
        </is>
      </c>
      <c r="D44" t="inlineStr">
        <is>
          <t>berlian_cv@ymail.com</t>
        </is>
      </c>
      <c r="E44" t="inlineStr">
        <is>
          <t>https://lpjk.pu.go.id/search-badan-usaha-detail/d3c2dzZUWW1KKzFGVXd0VkViOHJVQT09</t>
        </is>
      </c>
      <c r="F44" t="n">
        <v>1</v>
      </c>
      <c r="G44" t="inlineStr">
        <is>
          <t>BS004</t>
        </is>
      </c>
      <c r="H44" t="inlineStr">
        <is>
          <t>6 Desember 2001</t>
        </is>
      </c>
      <c r="I44" s="2" t="n">
        <v>46314</v>
      </c>
      <c r="J44" t="inlineStr">
        <is>
          <t>Disetujui</t>
        </is>
      </c>
      <c r="K44" t="n">
        <v>90</v>
      </c>
      <c r="L44" t="inlineStr">
        <is>
          <t>19 Oktober 2026</t>
        </is>
      </c>
      <c r="M44" t="inlineStr">
        <is>
          <t>Konstruksi Jaringan Irigasi dan Drainase</t>
        </is>
      </c>
      <c r="N44" t="inlineStr">
        <is>
          <t>K</t>
        </is>
      </c>
      <c r="O44" t="inlineStr">
        <is>
          <t>20231018</t>
        </is>
      </c>
      <c r="P44" t="inlineStr">
        <is>
          <t>Jawa Timur</t>
        </is>
      </c>
      <c r="Q44" t="inlineStr"/>
    </row>
    <row r="45">
      <c r="A45" t="inlineStr">
        <is>
          <t>BHUMI PALA</t>
        </is>
      </c>
      <c r="B45" t="inlineStr">
        <is>
          <t>Kab. Banjarnegara</t>
        </is>
      </c>
      <c r="C45" t="inlineStr">
        <is>
          <t>085299350563</t>
        </is>
      </c>
      <c r="D45" t="inlineStr">
        <is>
          <t>bhumipala1@gmail.com</t>
        </is>
      </c>
      <c r="E45" t="inlineStr">
        <is>
          <t>https://lpjk.pu.go.id/search-badan-usaha-detail/a0lZLy9RbENrMG1sNVBsSGJSRmF5dz09</t>
        </is>
      </c>
      <c r="F45" t="n">
        <v>1</v>
      </c>
      <c r="G45" t="inlineStr">
        <is>
          <t>BG008</t>
        </is>
      </c>
      <c r="H45" t="inlineStr">
        <is>
          <t>4 April 2002</t>
        </is>
      </c>
      <c r="I45" s="2" t="n">
        <v>46314</v>
      </c>
      <c r="J45" t="inlineStr">
        <is>
          <t>Disetujui</t>
        </is>
      </c>
      <c r="K45" t="n">
        <v>90</v>
      </c>
      <c r="L45" t="inlineStr">
        <is>
          <t>19 Oktober 2026</t>
        </is>
      </c>
      <c r="M45" t="inlineStr">
        <is>
          <t>Konstruksi Gedung Tempat Hiburan dan Olahraga</t>
        </is>
      </c>
      <c r="N45" t="inlineStr">
        <is>
          <t>K</t>
        </is>
      </c>
      <c r="O45" t="inlineStr">
        <is>
          <t>20231018</t>
        </is>
      </c>
      <c r="P45" t="inlineStr">
        <is>
          <t>Jawa Tengah</t>
        </is>
      </c>
      <c r="Q45" t="inlineStr"/>
    </row>
    <row r="46">
      <c r="A46" t="inlineStr">
        <is>
          <t>BIMA MAJU JAYA</t>
        </is>
      </c>
      <c r="B46" t="inlineStr">
        <is>
          <t>Kab. Magetan</t>
        </is>
      </c>
      <c r="C46" t="inlineStr">
        <is>
          <t>081328666687</t>
        </is>
      </c>
      <c r="D46" t="inlineStr">
        <is>
          <t>cvbimamajujaya@gmail.com</t>
        </is>
      </c>
      <c r="E46" t="inlineStr">
        <is>
          <t>https://lpjk.pu.go.id/search-badan-usaha-detail/NnVVM3B2ZFUzSDJLaFRhOXlLdWNCdz09</t>
        </is>
      </c>
      <c r="F46" t="n">
        <v>7</v>
      </c>
      <c r="G46" t="inlineStr">
        <is>
          <t>BG002, BG004, BG005, BG006, BG009, BS001, BS004</t>
        </is>
      </c>
      <c r="H46" t="inlineStr">
        <is>
          <t>14 Maret 2019</t>
        </is>
      </c>
      <c r="I46" s="2" t="n">
        <v>46314</v>
      </c>
      <c r="J46" t="inlineStr">
        <is>
          <t>Disetujui</t>
        </is>
      </c>
      <c r="K46" t="n">
        <v>90</v>
      </c>
      <c r="L46" t="inlineStr">
        <is>
          <t>19 Oktober 2026</t>
        </is>
      </c>
      <c r="M46" t="inlineStr">
        <is>
          <t>Konstruksi Bangunan Sipil Jalan, Konstruksi Gedung Kesehatan, Konstruksi Gedung Lainnya, Konstruksi Gedung Pendidikan, Konstruksi Gedung Perbelanjaan, Konstruksi Gedung Perkantoran, Konstruksi Jaringan Irigasi dan Drainase</t>
        </is>
      </c>
      <c r="N46" t="inlineStr">
        <is>
          <t>K</t>
        </is>
      </c>
      <c r="O46" t="inlineStr">
        <is>
          <t>20231018</t>
        </is>
      </c>
      <c r="P46" t="inlineStr">
        <is>
          <t>Jawa Timur</t>
        </is>
      </c>
      <c r="Q46" t="inlineStr"/>
    </row>
    <row r="47">
      <c r="A47" t="inlineStr">
        <is>
          <t>BINA ARTHA UTAMA, CV</t>
        </is>
      </c>
      <c r="B47" t="inlineStr">
        <is>
          <t>Kota Surabaya</t>
        </is>
      </c>
      <c r="C47" t="inlineStr">
        <is>
          <t>0315679451</t>
        </is>
      </c>
      <c r="D47" t="inlineStr">
        <is>
          <t>cv.binaarthautama@yahoo.com</t>
        </is>
      </c>
      <c r="E47" t="inlineStr">
        <is>
          <t>https://lpjk.pu.go.id/search-badan-usaha-detail/RzVQdWF3R3dnZFMzY0J2ZlU5WTR1Zz09</t>
        </is>
      </c>
      <c r="F47" t="n">
        <v>1</v>
      </c>
      <c r="G47" t="inlineStr">
        <is>
          <t>BS004</t>
        </is>
      </c>
      <c r="H47" t="inlineStr">
        <is>
          <t>30 Juni 1986</t>
        </is>
      </c>
      <c r="I47" s="2" t="n">
        <v>46314</v>
      </c>
      <c r="J47" t="inlineStr">
        <is>
          <t>Disetujui</t>
        </is>
      </c>
      <c r="K47" t="n">
        <v>90</v>
      </c>
      <c r="L47" t="inlineStr">
        <is>
          <t>19 Oktober 2026</t>
        </is>
      </c>
      <c r="M47" t="inlineStr">
        <is>
          <t>Konstruksi Jaringan Irigasi dan Drainase</t>
        </is>
      </c>
      <c r="N47" t="inlineStr">
        <is>
          <t>K</t>
        </is>
      </c>
      <c r="O47" t="inlineStr">
        <is>
          <t>20231011</t>
        </is>
      </c>
      <c r="P47" t="inlineStr">
        <is>
          <t>Jawa Timur</t>
        </is>
      </c>
      <c r="Q47" t="inlineStr"/>
    </row>
    <row r="48">
      <c r="A48" t="inlineStr">
        <is>
          <t>BINA USAHA ENGINEERING</t>
        </is>
      </c>
      <c r="B48" t="inlineStr">
        <is>
          <t>Kota Banda Aceh</t>
        </is>
      </c>
      <c r="C48" t="inlineStr">
        <is>
          <t>085360626525</t>
        </is>
      </c>
      <c r="D48" t="inlineStr">
        <is>
          <t>ebinausaha@yahoo.com</t>
        </is>
      </c>
      <c r="E48" t="inlineStr">
        <is>
          <t>https://lpjk.pu.go.id/search-badan-usaha-detail/dGtnbHhDczBYenJ1OU9tUlJham9JZz09</t>
        </is>
      </c>
      <c r="F48" t="n">
        <v>1</v>
      </c>
      <c r="G48" t="inlineStr">
        <is>
          <t>BS001</t>
        </is>
      </c>
      <c r="H48" t="inlineStr">
        <is>
          <t>18 Oktober 2012</t>
        </is>
      </c>
      <c r="I48" s="2" t="n">
        <v>46314</v>
      </c>
      <c r="J48" t="inlineStr">
        <is>
          <t>Pencabutan</t>
        </is>
      </c>
      <c r="K48" t="n">
        <v>90</v>
      </c>
      <c r="L48" t="inlineStr">
        <is>
          <t>19 Oktober 2026</t>
        </is>
      </c>
      <c r="M48" t="inlineStr">
        <is>
          <t>Konstruksi Bangunan Sipil Jalan</t>
        </is>
      </c>
      <c r="N48" t="inlineStr">
        <is>
          <t>K</t>
        </is>
      </c>
      <c r="O48" t="inlineStr">
        <is>
          <t>20230310</t>
        </is>
      </c>
      <c r="P48" t="inlineStr">
        <is>
          <t>Aceh</t>
        </is>
      </c>
      <c r="Q48" t="inlineStr"/>
    </row>
    <row r="49">
      <c r="A49" t="inlineStr">
        <is>
          <t>BINTANG ARTHA MAKMUR</t>
        </is>
      </c>
      <c r="B49" t="inlineStr">
        <is>
          <t>Kab. Nabire</t>
        </is>
      </c>
      <c r="C49" t="inlineStr">
        <is>
          <t>081240299952</t>
        </is>
      </c>
      <c r="D49" t="inlineStr">
        <is>
          <t>makmurbintangartha@gmail.com</t>
        </is>
      </c>
      <c r="E49" t="inlineStr">
        <is>
          <t>https://lpjk.pu.go.id/search-badan-usaha-detail/NnlqY0FDRndnazRiTmpDNTVLbjY4Zz09</t>
        </is>
      </c>
      <c r="F49" t="n">
        <v>2</v>
      </c>
      <c r="G49" t="inlineStr">
        <is>
          <t>BS001</t>
        </is>
      </c>
      <c r="H49" t="inlineStr">
        <is>
          <t>5 Agustus 2022</t>
        </is>
      </c>
      <c r="I49" s="2" t="n">
        <v>46314</v>
      </c>
      <c r="J49" t="inlineStr">
        <is>
          <t>Pencabutan</t>
        </is>
      </c>
      <c r="K49" t="n">
        <v>90</v>
      </c>
      <c r="L49" t="inlineStr">
        <is>
          <t>19 Oktober 2026</t>
        </is>
      </c>
      <c r="M49" t="inlineStr">
        <is>
          <t>Konstruksi Bangunan Sipil Jalan</t>
        </is>
      </c>
      <c r="N49" t="inlineStr">
        <is>
          <t>K</t>
        </is>
      </c>
      <c r="O49" t="inlineStr">
        <is>
          <t>20230907</t>
        </is>
      </c>
      <c r="P49" t="inlineStr">
        <is>
          <t>Papua</t>
        </is>
      </c>
      <c r="Q49" t="inlineStr"/>
    </row>
    <row r="50">
      <c r="A50" t="inlineStr">
        <is>
          <t>BINTANG JAYA</t>
        </is>
      </c>
      <c r="B50" t="inlineStr">
        <is>
          <t>Kab. Nganjuk</t>
        </is>
      </c>
      <c r="C50" t="inlineStr">
        <is>
          <t>085331487395</t>
        </is>
      </c>
      <c r="D50" t="inlineStr">
        <is>
          <t>cv_bintangj@yahoo.com</t>
        </is>
      </c>
      <c r="E50" t="inlineStr">
        <is>
          <t>https://lpjk.pu.go.id/search-badan-usaha-detail/ZTZZaWdOdmJtaE92SFFPS0NDQVU3dz09</t>
        </is>
      </c>
      <c r="F50" t="n">
        <v>2</v>
      </c>
      <c r="G50" t="inlineStr">
        <is>
          <t>BS004</t>
        </is>
      </c>
      <c r="H50" t="inlineStr">
        <is>
          <t>15 Juli 2003</t>
        </is>
      </c>
      <c r="I50" s="2" t="n">
        <v>46314</v>
      </c>
      <c r="J50" t="inlineStr">
        <is>
          <t>Disetujui</t>
        </is>
      </c>
      <c r="K50" t="n">
        <v>90</v>
      </c>
      <c r="L50" t="inlineStr">
        <is>
          <t>19 Oktober 2026</t>
        </is>
      </c>
      <c r="M50" t="inlineStr">
        <is>
          <t>Konstruksi Jaringan Irigasi dan Drainase</t>
        </is>
      </c>
      <c r="N50" t="inlineStr">
        <is>
          <t>K</t>
        </is>
      </c>
      <c r="O50" t="inlineStr">
        <is>
          <t>20231018</t>
        </is>
      </c>
      <c r="P50" t="inlineStr">
        <is>
          <t>Jawa Timur</t>
        </is>
      </c>
      <c r="Q50" t="inlineStr"/>
    </row>
    <row r="51">
      <c r="A51" t="inlineStr">
        <is>
          <t>BIOTA</t>
        </is>
      </c>
      <c r="B51" t="inlineStr">
        <is>
          <t>Kab. Subang</t>
        </is>
      </c>
      <c r="C51" t="inlineStr">
        <is>
          <t>-</t>
        </is>
      </c>
      <c r="D51" t="inlineStr">
        <is>
          <t>biotacv@gmail.com</t>
        </is>
      </c>
      <c r="E51" t="inlineStr">
        <is>
          <t>https://lpjk.pu.go.id/search-badan-usaha-detail/OTYyS0tnMy9hT2NoVHEwcDVBdUVKdz09</t>
        </is>
      </c>
      <c r="F51" t="n">
        <v>1</v>
      </c>
      <c r="G51" t="inlineStr">
        <is>
          <t>BS010</t>
        </is>
      </c>
      <c r="H51" t="inlineStr">
        <is>
          <t>25 Mei 1998</t>
        </is>
      </c>
      <c r="I51" s="2" t="n">
        <v>46314</v>
      </c>
      <c r="J51" t="inlineStr">
        <is>
          <t>Pencabutan</t>
        </is>
      </c>
      <c r="K51" t="n">
        <v>90</v>
      </c>
      <c r="L51" t="inlineStr">
        <is>
          <t>19 Oktober 2026</t>
        </is>
      </c>
      <c r="M51" t="inlineStr">
        <is>
          <t>Konstruksi Bangunan Prasarana Sumber Daya Air</t>
        </is>
      </c>
      <c r="N51" t="inlineStr">
        <is>
          <t>K</t>
        </is>
      </c>
      <c r="O51" t="inlineStr">
        <is>
          <t>20231018</t>
        </is>
      </c>
      <c r="P51" t="inlineStr">
        <is>
          <t>Jawa Barat</t>
        </is>
      </c>
      <c r="Q51" t="inlineStr"/>
    </row>
    <row r="52">
      <c r="A52" t="inlineStr">
        <is>
          <t>BUDI KARYA PERKASA</t>
        </is>
      </c>
      <c r="B52" t="inlineStr">
        <is>
          <t>Kota Dumai</t>
        </is>
      </c>
      <c r="C52" t="inlineStr">
        <is>
          <t>076535457</t>
        </is>
      </c>
      <c r="D52" t="inlineStr">
        <is>
          <t>budikaryaperkasa@gmail.com</t>
        </is>
      </c>
      <c r="E52" t="inlineStr">
        <is>
          <t>https://lpjk.pu.go.id/search-badan-usaha-detail/d2pLcUkxT3cxbjJFY1NST3drZ3lEUT09</t>
        </is>
      </c>
      <c r="F52" t="n">
        <v>1</v>
      </c>
      <c r="G52" t="inlineStr">
        <is>
          <t>BS001</t>
        </is>
      </c>
      <c r="H52" t="inlineStr">
        <is>
          <t>9 Desember 1993</t>
        </is>
      </c>
      <c r="I52" s="2" t="n">
        <v>46314</v>
      </c>
      <c r="J52" t="inlineStr">
        <is>
          <t>Disetujui</t>
        </is>
      </c>
      <c r="K52" t="n">
        <v>90</v>
      </c>
      <c r="L52" t="inlineStr">
        <is>
          <t>19 Oktober 2026</t>
        </is>
      </c>
      <c r="M52" t="inlineStr">
        <is>
          <t>Konstruksi Bangunan Sipil Jalan</t>
        </is>
      </c>
      <c r="N52" t="inlineStr">
        <is>
          <t>K</t>
        </is>
      </c>
      <c r="O52" t="inlineStr">
        <is>
          <t>20231018</t>
        </is>
      </c>
      <c r="P52" t="inlineStr">
        <is>
          <t>Riau</t>
        </is>
      </c>
      <c r="Q52" t="inlineStr"/>
    </row>
    <row r="53">
      <c r="A53" t="inlineStr">
        <is>
          <t>BUMI LASINRANG</t>
        </is>
      </c>
      <c r="B53" t="inlineStr">
        <is>
          <t>Kota Samarinda</t>
        </is>
      </c>
      <c r="C53" t="inlineStr">
        <is>
          <t>8115595699</t>
        </is>
      </c>
      <c r="D53" t="inlineStr">
        <is>
          <t>lasinrang_bl@yahoo.com</t>
        </is>
      </c>
      <c r="E53" t="inlineStr">
        <is>
          <t>https://lpjk.pu.go.id/search-badan-usaha-detail/Q0dNbjdmM1NJU1JrZEZldUFOQ01Gdz09</t>
        </is>
      </c>
      <c r="F53" t="n">
        <v>1</v>
      </c>
      <c r="G53" t="inlineStr">
        <is>
          <t>BS010</t>
        </is>
      </c>
      <c r="H53" t="inlineStr">
        <is>
          <t>18 Desember 2007</t>
        </is>
      </c>
      <c r="I53" s="2" t="n">
        <v>46314</v>
      </c>
      <c r="J53" t="inlineStr">
        <is>
          <t>Permohonan Perubahan Non Asesmen</t>
        </is>
      </c>
      <c r="K53" t="n">
        <v>90</v>
      </c>
      <c r="L53" t="inlineStr">
        <is>
          <t>19 Oktober 2026</t>
        </is>
      </c>
      <c r="M53" t="inlineStr">
        <is>
          <t>Konstruksi Bangunan Prasarana Sumber Daya Air</t>
        </is>
      </c>
      <c r="N53" t="inlineStr">
        <is>
          <t>M</t>
        </is>
      </c>
      <c r="O53" t="inlineStr">
        <is>
          <t>20231019</t>
        </is>
      </c>
      <c r="P53" t="inlineStr">
        <is>
          <t>Kalimantan Timur</t>
        </is>
      </c>
      <c r="Q53" t="inlineStr"/>
    </row>
    <row r="54">
      <c r="A54" t="inlineStr">
        <is>
          <t>CAHAYA BAJA TIMUR CEMERLANG</t>
        </is>
      </c>
      <c r="B54" t="inlineStr">
        <is>
          <t>Kota Surabaya</t>
        </is>
      </c>
      <c r="C54" t="inlineStr">
        <is>
          <t>0315939006</t>
        </is>
      </c>
      <c r="D54" t="inlineStr">
        <is>
          <t>cbtc.surabaya88@gmail.com</t>
        </is>
      </c>
      <c r="E54" t="inlineStr">
        <is>
          <t>https://lpjk.pu.go.id/search-badan-usaha-detail/K3Z4T2NSTmI1TG1acWxMRkJ5YUZIUT09</t>
        </is>
      </c>
      <c r="F54" t="n">
        <v>1</v>
      </c>
      <c r="G54" t="inlineStr">
        <is>
          <t>BG009</t>
        </is>
      </c>
      <c r="H54" t="inlineStr">
        <is>
          <t>11 Oktober 2004</t>
        </is>
      </c>
      <c r="I54" s="2" t="n">
        <v>46314</v>
      </c>
      <c r="J54" t="inlineStr">
        <is>
          <t>Disetujui</t>
        </is>
      </c>
      <c r="K54" t="n">
        <v>90</v>
      </c>
      <c r="L54" t="inlineStr">
        <is>
          <t>19 Oktober 2026</t>
        </is>
      </c>
      <c r="M54" t="inlineStr">
        <is>
          <t>Konstruksi Gedung Lainnya</t>
        </is>
      </c>
      <c r="N54" t="inlineStr">
        <is>
          <t>K</t>
        </is>
      </c>
      <c r="O54" t="inlineStr">
        <is>
          <t>20231018</t>
        </is>
      </c>
      <c r="P54" t="inlineStr">
        <is>
          <t>Jawa Timur</t>
        </is>
      </c>
      <c r="Q54" t="inlineStr"/>
    </row>
    <row r="55">
      <c r="A55" t="inlineStr">
        <is>
          <t>CAHAYA PUTERA GEMILANG</t>
        </is>
      </c>
      <c r="B55" t="inlineStr">
        <is>
          <t>Kota Pontianak</t>
        </is>
      </c>
      <c r="C55" t="inlineStr">
        <is>
          <t>085388375787</t>
        </is>
      </c>
      <c r="D55" t="inlineStr">
        <is>
          <t>gemilangcahayaputera@gmail.com</t>
        </is>
      </c>
      <c r="E55" t="inlineStr">
        <is>
          <t>https://lpjk.pu.go.id/search-badan-usaha-detail/R05NSFNGSExYeis3bVFJSHVvdTl5QT09</t>
        </is>
      </c>
      <c r="F55" t="n">
        <v>1</v>
      </c>
      <c r="G55" t="inlineStr">
        <is>
          <t>BS004</t>
        </is>
      </c>
      <c r="H55" t="inlineStr">
        <is>
          <t>6 Januari 2016</t>
        </is>
      </c>
      <c r="I55" s="2" t="n">
        <v>46314</v>
      </c>
      <c r="J55" t="inlineStr">
        <is>
          <t>Disetujui</t>
        </is>
      </c>
      <c r="K55" t="n">
        <v>90</v>
      </c>
      <c r="L55" t="inlineStr">
        <is>
          <t>19 Oktober 2026</t>
        </is>
      </c>
      <c r="M55" t="inlineStr">
        <is>
          <t>Konstruksi Jaringan Irigasi dan Drainase</t>
        </is>
      </c>
      <c r="N55" t="inlineStr">
        <is>
          <t>K</t>
        </is>
      </c>
      <c r="O55" t="inlineStr">
        <is>
          <t>20231019</t>
        </is>
      </c>
      <c r="P55" t="inlineStr">
        <is>
          <t>Kalimantan Barat</t>
        </is>
      </c>
      <c r="Q55" t="inlineStr"/>
    </row>
    <row r="56">
      <c r="A56" t="inlineStr">
        <is>
          <t>CAHAYA STEEL UTAMA</t>
        </is>
      </c>
      <c r="B56" t="inlineStr">
        <is>
          <t>Kota Cimahi</t>
        </is>
      </c>
      <c r="C56" t="inlineStr">
        <is>
          <t>081395442525</t>
        </is>
      </c>
      <c r="D56" t="inlineStr">
        <is>
          <t>cvcahayasteelutama@gmail.com</t>
        </is>
      </c>
      <c r="E56" t="inlineStr">
        <is>
          <t>https://lpjk.pu.go.id/search-badan-usaha-detail/M0JRdDdsVGttVGE4c0xCUGtIWDBjQT09</t>
        </is>
      </c>
      <c r="F56" t="n">
        <v>1</v>
      </c>
      <c r="G56" t="inlineStr">
        <is>
          <t>BG009</t>
        </is>
      </c>
      <c r="H56" t="inlineStr">
        <is>
          <t>17 Juli 2023</t>
        </is>
      </c>
      <c r="I56" s="2" t="n">
        <v>46314</v>
      </c>
      <c r="J56" t="inlineStr">
        <is>
          <t>Pencabutan</t>
        </is>
      </c>
      <c r="K56" t="n">
        <v>90</v>
      </c>
      <c r="L56" t="inlineStr">
        <is>
          <t>19 Oktober 2026</t>
        </is>
      </c>
      <c r="M56" t="inlineStr">
        <is>
          <t>Konstruksi Gedung Lainnya</t>
        </is>
      </c>
      <c r="N56" t="inlineStr">
        <is>
          <t>K</t>
        </is>
      </c>
      <c r="O56" t="inlineStr">
        <is>
          <t>20231016</t>
        </is>
      </c>
      <c r="P56" t="inlineStr">
        <is>
          <t>Jawa Barat</t>
        </is>
      </c>
      <c r="Q56" t="inlineStr"/>
    </row>
    <row r="57">
      <c r="A57" t="inlineStr">
        <is>
          <t>CATUR KARYA BERSAUDARA</t>
        </is>
      </c>
      <c r="B57" t="inlineStr">
        <is>
          <t>Kota Semarang</t>
        </is>
      </c>
      <c r="C57" t="inlineStr">
        <is>
          <t>0859410110412</t>
        </is>
      </c>
      <c r="D57" t="inlineStr">
        <is>
          <t>caturkaryabersaudara17@gmail.com</t>
        </is>
      </c>
      <c r="E57" t="inlineStr">
        <is>
          <t>https://lpjk.pu.go.id/search-badan-usaha-detail/T3NTNkxORTd5T1pkbjVLbHBzdmRIZz09</t>
        </is>
      </c>
      <c r="F57" t="n">
        <v>1</v>
      </c>
      <c r="G57" t="inlineStr">
        <is>
          <t>BS004</t>
        </is>
      </c>
      <c r="H57" t="inlineStr">
        <is>
          <t>21 Desember 2004</t>
        </is>
      </c>
      <c r="I57" s="2" t="n">
        <v>46314</v>
      </c>
      <c r="J57" t="inlineStr">
        <is>
          <t>Disetujui</t>
        </is>
      </c>
      <c r="K57" t="n">
        <v>90</v>
      </c>
      <c r="L57" t="inlineStr">
        <is>
          <t>19 Oktober 2026</t>
        </is>
      </c>
      <c r="M57" t="inlineStr">
        <is>
          <t>Konstruksi Jaringan Irigasi dan Drainase</t>
        </is>
      </c>
      <c r="N57" t="inlineStr">
        <is>
          <t>M</t>
        </is>
      </c>
      <c r="O57" t="inlineStr">
        <is>
          <t>20231016</t>
        </is>
      </c>
      <c r="P57" t="inlineStr">
        <is>
          <t>Jawa Tengah</t>
        </is>
      </c>
      <c r="Q57" t="inlineStr"/>
    </row>
    <row r="58">
      <c r="A58" t="inlineStr">
        <is>
          <t>CIPTA BAHAGIA UTAMA</t>
        </is>
      </c>
      <c r="B58" t="inlineStr">
        <is>
          <t>Kota Makassar</t>
        </is>
      </c>
      <c r="C58" t="inlineStr">
        <is>
          <t>081342097871</t>
        </is>
      </c>
      <c r="D58" t="inlineStr">
        <is>
          <t>cv.ciptabahagiautama@gmail.com</t>
        </is>
      </c>
      <c r="E58" t="inlineStr">
        <is>
          <t>https://lpjk.pu.go.id/search-badan-usaha-detail/dUVGRXVZVHlCK3R1RUt4UHRENzJVQT09</t>
        </is>
      </c>
      <c r="F58" t="n">
        <v>2</v>
      </c>
      <c r="G58" t="inlineStr">
        <is>
          <t>BS001</t>
        </is>
      </c>
      <c r="H58" t="inlineStr">
        <is>
          <t>11 Februari 1999</t>
        </is>
      </c>
      <c r="I58" s="2" t="n">
        <v>46314</v>
      </c>
      <c r="J58" t="inlineStr">
        <is>
          <t>Disetujui</t>
        </is>
      </c>
      <c r="K58" t="n">
        <v>90</v>
      </c>
      <c r="L58" t="inlineStr">
        <is>
          <t>19 Oktober 2026</t>
        </is>
      </c>
      <c r="M58" t="inlineStr">
        <is>
          <t>Konstruksi Bangunan Sipil Jalan</t>
        </is>
      </c>
      <c r="N58" t="inlineStr">
        <is>
          <t>K</t>
        </is>
      </c>
      <c r="O58" t="inlineStr">
        <is>
          <t>20230921</t>
        </is>
      </c>
      <c r="P58" t="inlineStr">
        <is>
          <t>Sulawesi Selatan</t>
        </is>
      </c>
      <c r="Q58" t="inlineStr"/>
    </row>
    <row r="59">
      <c r="A59" t="inlineStr">
        <is>
          <t>CITRA MAHERA JAYA</t>
        </is>
      </c>
      <c r="B59" t="inlineStr">
        <is>
          <t>Kota Makassar</t>
        </is>
      </c>
      <c r="C59" t="inlineStr">
        <is>
          <t>0411437595</t>
        </is>
      </c>
      <c r="D59" t="inlineStr">
        <is>
          <t>citramaherajaya@gmail.com</t>
        </is>
      </c>
      <c r="E59" t="inlineStr">
        <is>
          <t>https://lpjk.pu.go.id/search-badan-usaha-detail/U3VleEJtSE5HdmpGWGMrV055WWc2UT09</t>
        </is>
      </c>
      <c r="F59" t="n">
        <v>1</v>
      </c>
      <c r="G59" t="inlineStr">
        <is>
          <t>BG001</t>
        </is>
      </c>
      <c r="H59" t="inlineStr">
        <is>
          <t>5 Januari 2022</t>
        </is>
      </c>
      <c r="I59" s="2" t="n">
        <v>46314</v>
      </c>
      <c r="J59" t="inlineStr">
        <is>
          <t>Disetujui</t>
        </is>
      </c>
      <c r="K59" t="n">
        <v>90</v>
      </c>
      <c r="L59" t="inlineStr">
        <is>
          <t>19 Oktober 2026</t>
        </is>
      </c>
      <c r="M59" t="inlineStr">
        <is>
          <t>Konstruksi Gedung Hunian</t>
        </is>
      </c>
      <c r="N59" t="inlineStr">
        <is>
          <t>K</t>
        </is>
      </c>
      <c r="O59" t="inlineStr">
        <is>
          <t>20230911</t>
        </is>
      </c>
      <c r="P59" t="inlineStr">
        <is>
          <t>Sulawesi Selatan</t>
        </is>
      </c>
      <c r="Q59" t="inlineStr"/>
    </row>
    <row r="60">
      <c r="A60" t="inlineStr">
        <is>
          <t>CITRA SEJAHTERA MANDIRI</t>
        </is>
      </c>
      <c r="B60" t="inlineStr">
        <is>
          <t>Kota Medan</t>
        </is>
      </c>
      <c r="C60" t="inlineStr">
        <is>
          <t>08116391970</t>
        </is>
      </c>
      <c r="D60" t="inlineStr">
        <is>
          <t>citrasejahteramandiri_cv@yahoo.co.id</t>
        </is>
      </c>
      <c r="E60" t="inlineStr">
        <is>
          <t>https://lpjk.pu.go.id/search-badan-usaha-detail/S05OUS9kN2pKY3ZtSWdxVk92VTQ5Zz09</t>
        </is>
      </c>
      <c r="F60" t="n">
        <v>2</v>
      </c>
      <c r="G60" t="inlineStr">
        <is>
          <t>BG009, BS001</t>
        </is>
      </c>
      <c r="H60" t="inlineStr">
        <is>
          <t>15 Januari 2007</t>
        </is>
      </c>
      <c r="I60" s="2" t="n">
        <v>46314</v>
      </c>
      <c r="J60" t="inlineStr">
        <is>
          <t>Pencabutan</t>
        </is>
      </c>
      <c r="K60" t="n">
        <v>90</v>
      </c>
      <c r="L60" t="inlineStr">
        <is>
          <t>19 Oktober 2026</t>
        </is>
      </c>
      <c r="M60" t="inlineStr">
        <is>
          <t>Konstruksi Bangunan Sipil Jalan, Konstruksi Gedung Lainnya</t>
        </is>
      </c>
      <c r="N60" t="inlineStr">
        <is>
          <t>K</t>
        </is>
      </c>
      <c r="O60" t="inlineStr">
        <is>
          <t>20231017</t>
        </is>
      </c>
      <c r="P60" t="inlineStr">
        <is>
          <t>Sumatera Utara</t>
        </is>
      </c>
      <c r="Q60" t="inlineStr"/>
    </row>
    <row r="61">
      <c r="A61" t="inlineStr">
        <is>
          <t>CITRA SEJAHTERA MANDIRI</t>
        </is>
      </c>
      <c r="B61" t="inlineStr">
        <is>
          <t>Kab. Kotabaru</t>
        </is>
      </c>
      <c r="C61" t="inlineStr">
        <is>
          <t>082154962879</t>
        </is>
      </c>
      <c r="D61" t="inlineStr">
        <is>
          <t>cv.citrasejahteramandiri@yahoo.co.id</t>
        </is>
      </c>
      <c r="E61" t="inlineStr">
        <is>
          <t>https://lpjk.pu.go.id/search-badan-usaha-detail/aEY2Uk5LZEFCZmM1TUdXeEk0SkR2UT09</t>
        </is>
      </c>
      <c r="F61" t="n">
        <v>1</v>
      </c>
      <c r="G61" t="inlineStr">
        <is>
          <t>BS002</t>
        </is>
      </c>
      <c r="H61" t="inlineStr">
        <is>
          <t>26 Desember 2000</t>
        </is>
      </c>
      <c r="I61" s="2" t="n">
        <v>46314</v>
      </c>
      <c r="J61" t="inlineStr">
        <is>
          <t>Disetujui</t>
        </is>
      </c>
      <c r="K61" t="n">
        <v>90</v>
      </c>
      <c r="L61" t="inlineStr">
        <is>
          <t>19 Oktober 2026</t>
        </is>
      </c>
      <c r="M61" t="inlineStr">
        <is>
          <t>Bangunan Sipil Jembatan, Jalan Layang, Fly Over, dan Underpass</t>
        </is>
      </c>
      <c r="N61" t="inlineStr">
        <is>
          <t>K</t>
        </is>
      </c>
      <c r="O61" t="inlineStr">
        <is>
          <t>20231018</t>
        </is>
      </c>
      <c r="P61" t="inlineStr">
        <is>
          <t>Kalimantan Selatan</t>
        </is>
      </c>
      <c r="Q61" t="inlineStr"/>
    </row>
    <row r="62">
      <c r="A62" t="inlineStr">
        <is>
          <t>CRYSTAL DESIGN</t>
        </is>
      </c>
      <c r="B62" t="inlineStr">
        <is>
          <t>Kab. Blora</t>
        </is>
      </c>
      <c r="C62" t="inlineStr">
        <is>
          <t>082221454164</t>
        </is>
      </c>
      <c r="D62" t="inlineStr">
        <is>
          <t>crystaldesign719@gmail.com</t>
        </is>
      </c>
      <c r="E62" t="inlineStr">
        <is>
          <t>https://lpjk.pu.go.id/search-badan-usaha-detail/bVBSR1FXaTlXU2pacDBFN08yNHFyS1B6SHhGdEEyT2hTeTdmd2ZMajFEbz0</t>
        </is>
      </c>
      <c r="F62" t="n">
        <v>1</v>
      </c>
      <c r="G62" t="inlineStr">
        <is>
          <t>RK002</t>
        </is>
      </c>
      <c r="H62" t="inlineStr">
        <is>
          <t>20 September 2023</t>
        </is>
      </c>
      <c r="I62" s="2" t="n">
        <v>46314</v>
      </c>
      <c r="J62" t="inlineStr">
        <is>
          <t>Disetujui</t>
        </is>
      </c>
      <c r="K62" t="n">
        <v>90</v>
      </c>
      <c r="L62" t="inlineStr">
        <is>
          <t>19 Oktober 2026</t>
        </is>
      </c>
      <c r="M62" t="inlineStr">
        <is>
          <t>Jasa Rekayasa Pekerjaan Teknik Sipil Sumber Daya Air</t>
        </is>
      </c>
      <c r="N62" t="inlineStr">
        <is>
          <t>K</t>
        </is>
      </c>
      <c r="O62" t="inlineStr">
        <is>
          <t>20231017</t>
        </is>
      </c>
      <c r="P62" t="inlineStr">
        <is>
          <t>Jawa Tengah</t>
        </is>
      </c>
      <c r="Q62" t="inlineStr"/>
    </row>
    <row r="63">
      <c r="A63" t="inlineStr">
        <is>
          <t>DUA MAHKOTA ABADI</t>
        </is>
      </c>
      <c r="B63" t="inlineStr">
        <is>
          <t>Kab. Kutai Timur</t>
        </is>
      </c>
      <c r="C63" t="inlineStr">
        <is>
          <t>082153830383</t>
        </is>
      </c>
      <c r="D63" t="inlineStr">
        <is>
          <t>duamahkotaabadi@gmail.com</t>
        </is>
      </c>
      <c r="E63" t="inlineStr">
        <is>
          <t>https://lpjk.pu.go.id/search-badan-usaha-detail/Y2RZY3dxK1BrZHNMekphTUo5MTU5dz09</t>
        </is>
      </c>
      <c r="F63" t="n">
        <v>2</v>
      </c>
      <c r="G63" t="inlineStr">
        <is>
          <t>BS001, BS004</t>
        </is>
      </c>
      <c r="H63" t="inlineStr">
        <is>
          <t>4 September 2023</t>
        </is>
      </c>
      <c r="I63" s="2" t="n">
        <v>46314</v>
      </c>
      <c r="J63" t="inlineStr">
        <is>
          <t>Disetujui</t>
        </is>
      </c>
      <c r="K63" t="n">
        <v>90</v>
      </c>
      <c r="L63" t="inlineStr">
        <is>
          <t>19 Oktober 2026</t>
        </is>
      </c>
      <c r="M63" t="inlineStr">
        <is>
          <t>Konstruksi Bangunan Sipil Jalan, Konstruksi Jaringan Irigasi dan Drainase</t>
        </is>
      </c>
      <c r="N63" t="inlineStr">
        <is>
          <t>K</t>
        </is>
      </c>
      <c r="O63" t="inlineStr">
        <is>
          <t>20231019</t>
        </is>
      </c>
      <c r="P63" t="inlineStr">
        <is>
          <t>Kalimantan Timur</t>
        </is>
      </c>
      <c r="Q63" t="inlineStr"/>
    </row>
    <row r="64">
      <c r="A64" t="inlineStr">
        <is>
          <t>DUTA DIWA MANDIRI</t>
        </is>
      </c>
      <c r="B64" t="inlineStr">
        <is>
          <t>Kota Tangerang Selatan</t>
        </is>
      </c>
      <c r="C64" t="inlineStr">
        <is>
          <t>02127598708</t>
        </is>
      </c>
      <c r="D64" t="inlineStr">
        <is>
          <t>dutadiwa@gmail.com</t>
        </is>
      </c>
      <c r="E64" t="inlineStr">
        <is>
          <t>https://lpjk.pu.go.id/search-badan-usaha-detail/b085Vmg4b3dndWY4NzJtQVAxR3lQQT09</t>
        </is>
      </c>
      <c r="F64" t="n">
        <v>3</v>
      </c>
      <c r="G64" t="inlineStr">
        <is>
          <t>BG002, BG009, BS004</t>
        </is>
      </c>
      <c r="H64" t="inlineStr">
        <is>
          <t>27 Januari 2016</t>
        </is>
      </c>
      <c r="I64" s="2" t="n">
        <v>46314</v>
      </c>
      <c r="J64" t="inlineStr">
        <is>
          <t>Disetujui</t>
        </is>
      </c>
      <c r="K64" t="n">
        <v>90</v>
      </c>
      <c r="L64" t="inlineStr">
        <is>
          <t>19 Oktober 2026</t>
        </is>
      </c>
      <c r="M64" t="inlineStr">
        <is>
          <t>Konstruksi Gedung Lainnya, Konstruksi Gedung Perkantoran, Konstruksi Jaringan Irigasi dan Drainase</t>
        </is>
      </c>
      <c r="N64" t="inlineStr">
        <is>
          <t>K</t>
        </is>
      </c>
      <c r="O64" t="inlineStr">
        <is>
          <t>20231005</t>
        </is>
      </c>
      <c r="P64" t="inlineStr">
        <is>
          <t>Banten</t>
        </is>
      </c>
      <c r="Q64" t="inlineStr"/>
    </row>
    <row r="65">
      <c r="A65" t="inlineStr">
        <is>
          <t>EKA CITRA BANGUN SEMESTA</t>
        </is>
      </c>
      <c r="B65" t="inlineStr">
        <is>
          <t>Kota Adm. Jakarta Selatan</t>
        </is>
      </c>
      <c r="C65" t="inlineStr">
        <is>
          <t>081281012737</t>
        </is>
      </c>
      <c r="D65" t="inlineStr">
        <is>
          <t>ecbsindo@gmail.com</t>
        </is>
      </c>
      <c r="E65" t="inlineStr">
        <is>
          <t>https://lpjk.pu.go.id/search-badan-usaha-detail/UUdiZTdTMnBBMmRWQmpvYXNyQ2Z1QT09</t>
        </is>
      </c>
      <c r="F65" t="n">
        <v>3</v>
      </c>
      <c r="G65" t="inlineStr">
        <is>
          <t>BG002, BG004, BG009</t>
        </is>
      </c>
      <c r="H65" t="inlineStr">
        <is>
          <t>10 Februari 2022</t>
        </is>
      </c>
      <c r="I65" s="2" t="n">
        <v>46314</v>
      </c>
      <c r="J65" t="inlineStr">
        <is>
          <t>Disetujui</t>
        </is>
      </c>
      <c r="K65" t="n">
        <v>90</v>
      </c>
      <c r="L65" t="inlineStr">
        <is>
          <t>19 Oktober 2026</t>
        </is>
      </c>
      <c r="M65" t="inlineStr">
        <is>
          <t>Konstruksi Gedung Lainnya, Konstruksi Gedung Perbelanjaan, Konstruksi Gedung Perkantoran</t>
        </is>
      </c>
      <c r="N65" t="inlineStr">
        <is>
          <t>K</t>
        </is>
      </c>
      <c r="O65" t="inlineStr">
        <is>
          <t>20231017</t>
        </is>
      </c>
      <c r="P65" t="inlineStr">
        <is>
          <t>DKI Jakarta</t>
        </is>
      </c>
      <c r="Q65" t="inlineStr"/>
    </row>
    <row r="66">
      <c r="A66" t="inlineStr">
        <is>
          <t>ENERGI TRADA NUSANTARA</t>
        </is>
      </c>
      <c r="B66" t="inlineStr">
        <is>
          <t>Kota Adm. Jakarta Pusat</t>
        </is>
      </c>
      <c r="C66" t="inlineStr">
        <is>
          <t>02122394907</t>
        </is>
      </c>
      <c r="D66" t="inlineStr">
        <is>
          <t>info@energitrans.com</t>
        </is>
      </c>
      <c r="E66" t="inlineStr">
        <is>
          <t>https://lpjk.pu.go.id/search-badan-usaha-detail/K0dPUkhWUFJTL1RlZWxpM25kK1hLZz09</t>
        </is>
      </c>
      <c r="F66" t="n">
        <v>1</v>
      </c>
      <c r="G66" t="inlineStr">
        <is>
          <t>IN004</t>
        </is>
      </c>
      <c r="H66" t="inlineStr">
        <is>
          <t>18 September 2012</t>
        </is>
      </c>
      <c r="I66" s="2" t="n">
        <v>46314</v>
      </c>
      <c r="J66" t="inlineStr">
        <is>
          <t>Disetujui</t>
        </is>
      </c>
      <c r="K66" t="n">
        <v>90</v>
      </c>
      <c r="L66" t="inlineStr">
        <is>
          <t>19 Oktober 2026</t>
        </is>
      </c>
      <c r="M66" t="inlineStr">
        <is>
          <t>Instalasi Minyak dan Gas</t>
        </is>
      </c>
      <c r="N66" t="inlineStr">
        <is>
          <t>Spesialis</t>
        </is>
      </c>
      <c r="O66" t="inlineStr">
        <is>
          <t>20231010</t>
        </is>
      </c>
      <c r="P66" t="inlineStr">
        <is>
          <t>DKI Jakarta</t>
        </is>
      </c>
      <c r="Q66" t="inlineStr"/>
    </row>
    <row r="67">
      <c r="A67" t="inlineStr">
        <is>
          <t>ERHAKY</t>
        </is>
      </c>
      <c r="B67" t="inlineStr">
        <is>
          <t>Kota Surabaya</t>
        </is>
      </c>
      <c r="C67" t="inlineStr">
        <is>
          <t>08123530105</t>
        </is>
      </c>
      <c r="D67" t="inlineStr">
        <is>
          <t>cverhaky@gmail.com</t>
        </is>
      </c>
      <c r="E67" t="inlineStr">
        <is>
          <t>https://lpjk.pu.go.id/search-badan-usaha-detail/WDl2dG1SVS9GZW9EVlp0L3NyR0Rndz09</t>
        </is>
      </c>
      <c r="F67" t="n">
        <v>1</v>
      </c>
      <c r="G67" t="inlineStr">
        <is>
          <t>BS004</t>
        </is>
      </c>
      <c r="H67" t="inlineStr">
        <is>
          <t>8 April 1997</t>
        </is>
      </c>
      <c r="I67" s="2" t="n">
        <v>46314</v>
      </c>
      <c r="J67" t="inlineStr">
        <is>
          <t>Disetujui</t>
        </is>
      </c>
      <c r="K67" t="n">
        <v>90</v>
      </c>
      <c r="L67" t="inlineStr">
        <is>
          <t>19 Oktober 2026</t>
        </is>
      </c>
      <c r="M67" t="inlineStr">
        <is>
          <t>Konstruksi Jaringan Irigasi dan Drainase</t>
        </is>
      </c>
      <c r="N67" t="inlineStr">
        <is>
          <t>K</t>
        </is>
      </c>
      <c r="O67" t="inlineStr">
        <is>
          <t>20231009</t>
        </is>
      </c>
      <c r="P67" t="inlineStr">
        <is>
          <t>Jawa Timur</t>
        </is>
      </c>
      <c r="Q67" t="inlineStr"/>
    </row>
    <row r="68">
      <c r="A68" t="inlineStr">
        <is>
          <t>GALAKSI</t>
        </is>
      </c>
      <c r="B68" t="inlineStr">
        <is>
          <t>Kab. Bondowoso</t>
        </is>
      </c>
      <c r="C68" t="inlineStr">
        <is>
          <t>082335360027</t>
        </is>
      </c>
      <c r="D68" t="inlineStr">
        <is>
          <t>cv_galaksi@yahoo.co.id</t>
        </is>
      </c>
      <c r="E68" t="inlineStr">
        <is>
          <t>https://lpjk.pu.go.id/search-badan-usaha-detail/RStaMHBPT1hHeldNVUpOU3RmazFwZz09</t>
        </is>
      </c>
      <c r="F68" t="n">
        <v>6</v>
      </c>
      <c r="G68" t="inlineStr">
        <is>
          <t>BG001, BG005, BG006, BG008, BS001, BS004</t>
        </is>
      </c>
      <c r="H68" t="inlineStr">
        <is>
          <t>9 September 1999</t>
        </is>
      </c>
      <c r="I68" s="2" t="n">
        <v>46314</v>
      </c>
      <c r="J68" t="inlineStr">
        <is>
          <t>Disetujui</t>
        </is>
      </c>
      <c r="K68" t="n">
        <v>90</v>
      </c>
      <c r="L68" t="inlineStr">
        <is>
          <t>19 Oktober 2026</t>
        </is>
      </c>
      <c r="M68" t="inlineStr">
        <is>
          <t>Konstruksi Bangunan Sipil Jalan, Konstruksi Gedung Hunian, Konstruksi Gedung Kesehatan, Konstruksi Gedung Pendidikan, Konstruksi Gedung Tempat Hiburan dan Olahraga, Konstruksi Jaringan Irigasi dan Drainase</t>
        </is>
      </c>
      <c r="N68" t="inlineStr">
        <is>
          <t>K</t>
        </is>
      </c>
      <c r="O68" t="inlineStr">
        <is>
          <t>20231013, 20231017</t>
        </is>
      </c>
      <c r="P68" t="inlineStr">
        <is>
          <t>Jawa Timur</t>
        </is>
      </c>
      <c r="Q68" t="inlineStr"/>
    </row>
    <row r="69">
      <c r="A69" t="inlineStr">
        <is>
          <t>GELORA KARYA KONSTRUKSI</t>
        </is>
      </c>
      <c r="B69" t="inlineStr">
        <is>
          <t>Kota Banda Aceh</t>
        </is>
      </c>
      <c r="C69" t="inlineStr">
        <is>
          <t>08126080505</t>
        </is>
      </c>
      <c r="D69" t="inlineStr">
        <is>
          <t>cvgelorakaryakonstruksi@gmail.com</t>
        </is>
      </c>
      <c r="E69" t="inlineStr">
        <is>
          <t>https://lpjk.pu.go.id/search-badan-usaha-detail/R0c0N1JsR3paKzBUWERYTkpaaDVtZz09</t>
        </is>
      </c>
      <c r="F69" t="n">
        <v>4</v>
      </c>
      <c r="G69" t="inlineStr">
        <is>
          <t>BG006, BG009, BS001, BS005</t>
        </is>
      </c>
      <c r="H69" t="inlineStr">
        <is>
          <t>12 Februari 2019</t>
        </is>
      </c>
      <c r="I69" s="2" t="n">
        <v>46314</v>
      </c>
      <c r="J69" t="inlineStr">
        <is>
          <t>Disetujui</t>
        </is>
      </c>
      <c r="K69" t="n">
        <v>90</v>
      </c>
      <c r="L69" t="inlineStr">
        <is>
          <t>19 Oktober 2026</t>
        </is>
      </c>
      <c r="M69" t="inlineStr">
        <is>
          <t>Konstruksi Bangunan Sipil Jalan, Konstruksi Bangunan Sipil Pengolahan Air Bersih, Konstruksi Gedung Lainnya, Konstruksi Gedung Pendidikan</t>
        </is>
      </c>
      <c r="N69" t="inlineStr">
        <is>
          <t>K</t>
        </is>
      </c>
      <c r="O69" t="inlineStr">
        <is>
          <t>20231001</t>
        </is>
      </c>
      <c r="P69" t="inlineStr">
        <is>
          <t>Aceh</t>
        </is>
      </c>
      <c r="Q69" t="inlineStr"/>
    </row>
    <row r="70">
      <c r="A70" t="inlineStr">
        <is>
          <t>GERBANG TIMUR PERSADA</t>
        </is>
      </c>
      <c r="B70" t="inlineStr">
        <is>
          <t>Kota Sorong</t>
        </is>
      </c>
      <c r="C70" t="inlineStr">
        <is>
          <t>085244851022</t>
        </is>
      </c>
      <c r="D70" t="inlineStr">
        <is>
          <t>gtpersada.23@gmail.com</t>
        </is>
      </c>
      <c r="E70" t="inlineStr">
        <is>
          <t>https://lpjk.pu.go.id/search-badan-usaha-detail/OVZYSHZERDc2eWtaZ3lHUnFkS2VoZz09</t>
        </is>
      </c>
      <c r="F70" t="n">
        <v>3</v>
      </c>
      <c r="G70" t="inlineStr">
        <is>
          <t>BG005, BG006, BS001</t>
        </is>
      </c>
      <c r="H70" t="inlineStr">
        <is>
          <t>22 Juli 2023</t>
        </is>
      </c>
      <c r="I70" s="2" t="n">
        <v>46314</v>
      </c>
      <c r="J70" t="inlineStr">
        <is>
          <t>Disetujui</t>
        </is>
      </c>
      <c r="K70" t="n">
        <v>90</v>
      </c>
      <c r="L70" t="inlineStr">
        <is>
          <t>19 Oktober 2026</t>
        </is>
      </c>
      <c r="M70" t="inlineStr">
        <is>
          <t>Konstruksi Bangunan Sipil Jalan, Konstruksi Gedung Kesehatan, Konstruksi Gedung Pendidikan</t>
        </is>
      </c>
      <c r="N70" t="inlineStr">
        <is>
          <t>K</t>
        </is>
      </c>
      <c r="O70" t="inlineStr">
        <is>
          <t>20231006, 20231014, 20231016</t>
        </is>
      </c>
      <c r="P70" t="inlineStr">
        <is>
          <t>Papua Barat</t>
        </is>
      </c>
      <c r="Q70" t="inlineStr"/>
    </row>
    <row r="71">
      <c r="A71" t="inlineStr">
        <is>
          <t>GRAFINDO TRIUTAMA</t>
        </is>
      </c>
      <c r="B71" t="inlineStr">
        <is>
          <t>Kota Adm. Jakarta Selatan</t>
        </is>
      </c>
      <c r="C71" t="inlineStr">
        <is>
          <t>0217818135</t>
        </is>
      </c>
      <c r="D71" t="inlineStr">
        <is>
          <t>grafindo2003@yahoo.com</t>
        </is>
      </c>
      <c r="E71" t="inlineStr">
        <is>
          <t>https://lpjk.pu.go.id/search-badan-usaha-detail/ZmFkT2d5MmREMjJwUHdmdGozejNmdz09</t>
        </is>
      </c>
      <c r="F71" t="n">
        <v>1</v>
      </c>
      <c r="G71" t="inlineStr">
        <is>
          <t>BG006</t>
        </is>
      </c>
      <c r="H71" t="inlineStr">
        <is>
          <t>29 Juli 1996</t>
        </is>
      </c>
      <c r="I71" s="2" t="n">
        <v>46314</v>
      </c>
      <c r="J71" t="inlineStr">
        <is>
          <t>Disetujui</t>
        </is>
      </c>
      <c r="K71" t="n">
        <v>90</v>
      </c>
      <c r="L71" t="inlineStr">
        <is>
          <t>19 Oktober 2026</t>
        </is>
      </c>
      <c r="M71" t="inlineStr">
        <is>
          <t>Konstruksi Gedung Pendidikan</t>
        </is>
      </c>
      <c r="N71" t="inlineStr">
        <is>
          <t>K</t>
        </is>
      </c>
      <c r="O71" t="inlineStr">
        <is>
          <t>20231019</t>
        </is>
      </c>
      <c r="P71" t="inlineStr">
        <is>
          <t>DKI Jakarta</t>
        </is>
      </c>
      <c r="Q71" t="inlineStr"/>
    </row>
    <row r="72">
      <c r="A72" t="inlineStr">
        <is>
          <t>GUNTUR SEJAGAT</t>
        </is>
      </c>
      <c r="B72" t="inlineStr">
        <is>
          <t>Kab. Lombok Timur</t>
        </is>
      </c>
      <c r="C72" t="inlineStr">
        <is>
          <t>085338244094</t>
        </is>
      </c>
      <c r="D72" t="inlineStr">
        <is>
          <t>cvguntursejagat@gmail.com</t>
        </is>
      </c>
      <c r="E72" t="inlineStr">
        <is>
          <t>https://lpjk.pu.go.id/search-badan-usaha-detail/WWRQb3hpQVNHd2lCYi9NSE9ZZThqdz09</t>
        </is>
      </c>
      <c r="F72" t="n">
        <v>1</v>
      </c>
      <c r="G72" t="inlineStr">
        <is>
          <t>BG005</t>
        </is>
      </c>
      <c r="H72" t="inlineStr">
        <is>
          <t>10 Juli 2020</t>
        </is>
      </c>
      <c r="I72" s="2" t="n">
        <v>46314</v>
      </c>
      <c r="J72" t="inlineStr">
        <is>
          <t>Disetujui</t>
        </is>
      </c>
      <c r="K72" t="n">
        <v>90</v>
      </c>
      <c r="L72" t="inlineStr">
        <is>
          <t>19 Oktober 2026</t>
        </is>
      </c>
      <c r="M72" t="inlineStr">
        <is>
          <t>Konstruksi Gedung Kesehatan</t>
        </is>
      </c>
      <c r="N72" t="inlineStr">
        <is>
          <t>K</t>
        </is>
      </c>
      <c r="O72" t="inlineStr">
        <is>
          <t>20231018</t>
        </is>
      </c>
      <c r="P72" t="inlineStr">
        <is>
          <t>Nusa Tenggara Barat</t>
        </is>
      </c>
      <c r="Q72" t="inlineStr"/>
    </row>
    <row r="73">
      <c r="A73" t="inlineStr">
        <is>
          <t>HARAPAN</t>
        </is>
      </c>
      <c r="B73" t="inlineStr">
        <is>
          <t>Kab. Kulon Progo</t>
        </is>
      </c>
      <c r="C73" t="inlineStr">
        <is>
          <t>081225742383</t>
        </is>
      </c>
      <c r="D73" t="inlineStr">
        <is>
          <t>harapan.cv18@gmail.com</t>
        </is>
      </c>
      <c r="E73" t="inlineStr">
        <is>
          <t>https://lpjk.pu.go.id/search-badan-usaha-detail/Y3A2NU9VV0lKR2hWT2pTVXBxQ2JFQT09</t>
        </is>
      </c>
      <c r="F73" t="n">
        <v>7</v>
      </c>
      <c r="G73" t="inlineStr">
        <is>
          <t>BG001, BG003, BG005, BG006, BG009, BS001, BS004</t>
        </is>
      </c>
      <c r="H73" t="inlineStr">
        <is>
          <t>25 Mei 1983</t>
        </is>
      </c>
      <c r="I73" s="2" t="n">
        <v>46314</v>
      </c>
      <c r="J73" t="inlineStr">
        <is>
          <t>Disetujui</t>
        </is>
      </c>
      <c r="K73" t="n">
        <v>90</v>
      </c>
      <c r="L73" t="inlineStr">
        <is>
          <t>19 Oktober 2026</t>
        </is>
      </c>
      <c r="M73" t="inlineStr">
        <is>
          <t>Konstruksi Bangunan Sipil Jalan, Konstruksi Gedung Hunian, Konstruksi Gedung Industri, Konstruksi Gedung Kesehatan, Konstruksi Gedung Lainnya, Konstruksi Gedung Pendidikan, Konstruksi Jaringan Irigasi dan Drainase</t>
        </is>
      </c>
      <c r="N73" t="inlineStr">
        <is>
          <t>K</t>
        </is>
      </c>
      <c r="O73" t="inlineStr">
        <is>
          <t>20231016</t>
        </is>
      </c>
      <c r="P73" t="inlineStr">
        <is>
          <t>DI Yogyakarta</t>
        </is>
      </c>
      <c r="Q73" t="inlineStr"/>
    </row>
    <row r="74">
      <c r="A74" t="inlineStr">
        <is>
          <t>HARAPAN KITA JAYA PERKASA</t>
        </is>
      </c>
      <c r="B74" t="inlineStr">
        <is>
          <t>Kota Surabaya</t>
        </is>
      </c>
      <c r="C74" t="inlineStr">
        <is>
          <t>0317388806</t>
        </is>
      </c>
      <c r="D74" t="inlineStr">
        <is>
          <t>harapankitajp@yahoo.com</t>
        </is>
      </c>
      <c r="E74" t="inlineStr">
        <is>
          <t>https://lpjk.pu.go.id/search-badan-usaha-detail/T01hZURLVWpYdzFVWlJ1Snovd0szZz09</t>
        </is>
      </c>
      <c r="F74" t="n">
        <v>2</v>
      </c>
      <c r="G74" t="inlineStr">
        <is>
          <t>BG003, BG009</t>
        </is>
      </c>
      <c r="H74" t="inlineStr">
        <is>
          <t>29 Oktober 2013</t>
        </is>
      </c>
      <c r="I74" s="2" t="n">
        <v>46314</v>
      </c>
      <c r="J74" t="inlineStr">
        <is>
          <t>Disetujui</t>
        </is>
      </c>
      <c r="K74" t="n">
        <v>90</v>
      </c>
      <c r="L74" t="inlineStr">
        <is>
          <t>19 Oktober 2026</t>
        </is>
      </c>
      <c r="M74" t="inlineStr">
        <is>
          <t>Konstruksi Gedung Industri, Konstruksi Gedung Lainnya</t>
        </is>
      </c>
      <c r="N74" t="inlineStr">
        <is>
          <t>K</t>
        </is>
      </c>
      <c r="O74" t="inlineStr">
        <is>
          <t>20231019</t>
        </is>
      </c>
      <c r="P74" t="inlineStr">
        <is>
          <t>Jawa Timur</t>
        </is>
      </c>
      <c r="Q74" t="inlineStr"/>
    </row>
    <row r="75">
      <c r="A75" t="inlineStr">
        <is>
          <t>HARMONI BUMI NUSANTARA</t>
        </is>
      </c>
      <c r="B75" t="inlineStr">
        <is>
          <t>Kota Tangerang Selatan</t>
        </is>
      </c>
      <c r="C75" t="inlineStr">
        <is>
          <t>081284581011</t>
        </is>
      </c>
      <c r="D75" t="inlineStr">
        <is>
          <t>harmonibuminusantara@gmail.com</t>
        </is>
      </c>
      <c r="E75" t="inlineStr">
        <is>
          <t>https://lpjk.pu.go.id/search-badan-usaha-detail/cGdlMWR2UzdzbW93MTdhbHowdkl5UT09</t>
        </is>
      </c>
      <c r="F75" t="n">
        <v>4</v>
      </c>
      <c r="G75" t="inlineStr">
        <is>
          <t>BG002, BG006, BG009, BS004</t>
        </is>
      </c>
      <c r="H75" t="inlineStr">
        <is>
          <t>30 Maret 2020</t>
        </is>
      </c>
      <c r="I75" s="2" t="n">
        <v>46314</v>
      </c>
      <c r="J75" t="inlineStr">
        <is>
          <t>Pencabutan</t>
        </is>
      </c>
      <c r="K75" t="n">
        <v>90</v>
      </c>
      <c r="L75" t="inlineStr">
        <is>
          <t>19 Oktober 2026</t>
        </is>
      </c>
      <c r="M75" t="inlineStr">
        <is>
          <t>Konstruksi Gedung Lainnya, Konstruksi Gedung Pendidikan, Konstruksi Gedung Perkantoran, Konstruksi Jaringan Irigasi dan Drainase</t>
        </is>
      </c>
      <c r="N75" t="inlineStr">
        <is>
          <t>K</t>
        </is>
      </c>
      <c r="O75" t="inlineStr">
        <is>
          <t>20231019</t>
        </is>
      </c>
      <c r="P75" t="inlineStr">
        <is>
          <t>Banten</t>
        </is>
      </c>
      <c r="Q75" t="inlineStr"/>
    </row>
    <row r="76">
      <c r="A76" t="inlineStr">
        <is>
          <t>HARMONY RAYA</t>
        </is>
      </c>
      <c r="B76" t="inlineStr">
        <is>
          <t>Kab. Gresik</t>
        </is>
      </c>
      <c r="C76" t="inlineStr">
        <is>
          <t>081330180510</t>
        </is>
      </c>
      <c r="D76" t="inlineStr">
        <is>
          <t>harmonyrayacv@gmail.com</t>
        </is>
      </c>
      <c r="E76" t="inlineStr">
        <is>
          <t>https://lpjk.pu.go.id/search-badan-usaha-detail/MkRXVTJyVnVBb2hXUjRPejVNekFiQT09</t>
        </is>
      </c>
      <c r="F76" t="n">
        <v>3</v>
      </c>
      <c r="G76" t="inlineStr">
        <is>
          <t>BG005, BG006, BG009</t>
        </is>
      </c>
      <c r="H76" t="inlineStr">
        <is>
          <t>12 Februari 2018</t>
        </is>
      </c>
      <c r="I76" s="2" t="n">
        <v>46314</v>
      </c>
      <c r="J76" t="inlineStr">
        <is>
          <t>Disetujui</t>
        </is>
      </c>
      <c r="K76" t="n">
        <v>90</v>
      </c>
      <c r="L76" t="inlineStr">
        <is>
          <t>19 Oktober 2026</t>
        </is>
      </c>
      <c r="M76" t="inlineStr">
        <is>
          <t>Konstruksi Gedung Kesehatan, Konstruksi Gedung Lainnya, Konstruksi Gedung Pendidikan</t>
        </is>
      </c>
      <c r="N76" t="inlineStr">
        <is>
          <t>K</t>
        </is>
      </c>
      <c r="O76" t="inlineStr">
        <is>
          <t>20231006</t>
        </is>
      </c>
      <c r="P76" t="inlineStr">
        <is>
          <t>Jawa Timur</t>
        </is>
      </c>
      <c r="Q76" t="inlineStr"/>
    </row>
    <row r="77">
      <c r="A77" t="inlineStr">
        <is>
          <t>HIDAYAH MULIA</t>
        </is>
      </c>
      <c r="B77" t="inlineStr">
        <is>
          <t>Kab. Banyumas</t>
        </is>
      </c>
      <c r="C77" t="inlineStr">
        <is>
          <t>081548280732</t>
        </is>
      </c>
      <c r="D77" t="inlineStr">
        <is>
          <t>cvhidayah_mulia@yahoo.com</t>
        </is>
      </c>
      <c r="E77" t="inlineStr">
        <is>
          <t>https://lpjk.pu.go.id/search-badan-usaha-detail/THBkRVQwL1VFTW85L2NseUJ4MFJaUT09</t>
        </is>
      </c>
      <c r="F77" t="n">
        <v>1</v>
      </c>
      <c r="G77" t="inlineStr">
        <is>
          <t>BS004</t>
        </is>
      </c>
      <c r="H77" t="inlineStr">
        <is>
          <t>25 Oktober 2012</t>
        </is>
      </c>
      <c r="I77" s="2" t="n">
        <v>46314</v>
      </c>
      <c r="J77" t="inlineStr">
        <is>
          <t>Disetujui</t>
        </is>
      </c>
      <c r="K77" t="n">
        <v>90</v>
      </c>
      <c r="L77" t="inlineStr">
        <is>
          <t>19 Oktober 2026</t>
        </is>
      </c>
      <c r="M77" t="inlineStr">
        <is>
          <t>Konstruksi Jaringan Irigasi dan Drainase</t>
        </is>
      </c>
      <c r="N77" t="inlineStr">
        <is>
          <t>K</t>
        </is>
      </c>
      <c r="O77" t="inlineStr">
        <is>
          <t>20231018</t>
        </is>
      </c>
      <c r="P77" t="inlineStr">
        <is>
          <t>Jawa Tengah</t>
        </is>
      </c>
      <c r="Q77" t="inlineStr"/>
    </row>
    <row r="78">
      <c r="A78" t="inlineStr">
        <is>
          <t>IDEAL KONSULTAN</t>
        </is>
      </c>
      <c r="B78" t="inlineStr">
        <is>
          <t>Kab. Kutai Timur</t>
        </is>
      </c>
      <c r="C78" t="inlineStr">
        <is>
          <t>082158421236</t>
        </is>
      </c>
      <c r="D78" t="inlineStr">
        <is>
          <t>ideal.kau1964@gmail.com</t>
        </is>
      </c>
      <c r="E78" t="inlineStr">
        <is>
          <t>https://lpjk.pu.go.id/search-badan-usaha-detail/VTdlOWpRVXJzb0tRTHpGTUZEMmRxZz09</t>
        </is>
      </c>
      <c r="F78" t="n">
        <v>2</v>
      </c>
      <c r="G78" t="inlineStr">
        <is>
          <t>RK003</t>
        </is>
      </c>
      <c r="H78" t="inlineStr">
        <is>
          <t>12 Desember 2002</t>
        </is>
      </c>
      <c r="I78" s="2" t="n">
        <v>46314</v>
      </c>
      <c r="J78" t="inlineStr">
        <is>
          <t>Disetujui</t>
        </is>
      </c>
      <c r="K78" t="n">
        <v>90</v>
      </c>
      <c r="L78" t="inlineStr">
        <is>
          <t>19 Oktober 2026</t>
        </is>
      </c>
      <c r="M78" t="inlineStr">
        <is>
          <t>Jasa Rekayasa Pekerjaan Teknik Sipil Transportasi</t>
        </is>
      </c>
      <c r="N78" t="inlineStr">
        <is>
          <t>K</t>
        </is>
      </c>
      <c r="O78" t="inlineStr">
        <is>
          <t>20231010</t>
        </is>
      </c>
      <c r="P78" t="inlineStr">
        <is>
          <t>Kalimantan Timur</t>
        </is>
      </c>
      <c r="Q78" t="inlineStr"/>
    </row>
    <row r="79">
      <c r="A79" t="inlineStr">
        <is>
          <t>INDAH KARYA PERKASA</t>
        </is>
      </c>
      <c r="B79" t="inlineStr">
        <is>
          <t>Kab. Karangasem</t>
        </is>
      </c>
      <c r="C79" t="inlineStr">
        <is>
          <t>081353652573</t>
        </is>
      </c>
      <c r="D79" t="inlineStr">
        <is>
          <t>indahkarya_perkasa@yahoo.com</t>
        </is>
      </c>
      <c r="E79" t="inlineStr">
        <is>
          <t>https://lpjk.pu.go.id/search-badan-usaha-detail/WU8wdHVFVm4vUjhBRmxXcUVMWkF2QT09</t>
        </is>
      </c>
      <c r="F79" t="n">
        <v>1</v>
      </c>
      <c r="G79" t="inlineStr">
        <is>
          <t>BS001</t>
        </is>
      </c>
      <c r="H79" t="inlineStr">
        <is>
          <t>8 Juli 2022</t>
        </is>
      </c>
      <c r="I79" s="2" t="n">
        <v>46314</v>
      </c>
      <c r="J79" t="inlineStr">
        <is>
          <t>Disetujui</t>
        </is>
      </c>
      <c r="K79" t="n">
        <v>90</v>
      </c>
      <c r="L79" t="inlineStr">
        <is>
          <t>19 Oktober 2026</t>
        </is>
      </c>
      <c r="M79" t="inlineStr">
        <is>
          <t>Konstruksi Bangunan Sipil Jalan</t>
        </is>
      </c>
      <c r="N79" t="inlineStr">
        <is>
          <t>K</t>
        </is>
      </c>
      <c r="O79" t="inlineStr">
        <is>
          <t>20220802</t>
        </is>
      </c>
      <c r="P79" t="inlineStr">
        <is>
          <t>Bali</t>
        </is>
      </c>
      <c r="Q79" t="inlineStr"/>
    </row>
    <row r="80">
      <c r="A80" t="inlineStr">
        <is>
          <t>INDAH LESTARI</t>
        </is>
      </c>
      <c r="B80" t="inlineStr">
        <is>
          <t>Kab. Kuningan</t>
        </is>
      </c>
      <c r="C80" t="inlineStr">
        <is>
          <t>085352143265</t>
        </is>
      </c>
      <c r="D80" t="inlineStr">
        <is>
          <t>cvindahlestari123@gmail.com</t>
        </is>
      </c>
      <c r="E80" t="inlineStr">
        <is>
          <t>https://lpjk.pu.go.id/search-badan-usaha-detail/TFRFZlVGYXNKVDBPbENFU3RJMU9ZZz09</t>
        </is>
      </c>
      <c r="F80" t="n">
        <v>1</v>
      </c>
      <c r="G80" t="inlineStr">
        <is>
          <t>BS005</t>
        </is>
      </c>
      <c r="H80" t="inlineStr">
        <is>
          <t>6 April 1998</t>
        </is>
      </c>
      <c r="I80" s="2" t="n">
        <v>46314</v>
      </c>
      <c r="J80" t="inlineStr">
        <is>
          <t>Disetujui</t>
        </is>
      </c>
      <c r="K80" t="n">
        <v>90</v>
      </c>
      <c r="L80" t="inlineStr">
        <is>
          <t>19 Oktober 2026</t>
        </is>
      </c>
      <c r="M80" t="inlineStr">
        <is>
          <t>Konstruksi Bangunan Sipil Pengolahan Air Bersih</t>
        </is>
      </c>
      <c r="N80" t="inlineStr">
        <is>
          <t>K</t>
        </is>
      </c>
      <c r="O80" t="inlineStr">
        <is>
          <t>20231017</t>
        </is>
      </c>
      <c r="P80" t="inlineStr">
        <is>
          <t>Jawa Barat</t>
        </is>
      </c>
      <c r="Q80" t="inlineStr"/>
    </row>
    <row r="81">
      <c r="A81" t="inlineStr">
        <is>
          <t>INDIKA MITRA JAYA</t>
        </is>
      </c>
      <c r="B81" t="inlineStr">
        <is>
          <t>Kab. Kutai Timur</t>
        </is>
      </c>
      <c r="C81" t="inlineStr">
        <is>
          <t>082153211074</t>
        </is>
      </c>
      <c r="D81" t="inlineStr">
        <is>
          <t>cv.indikamitrajaya@gmail.com</t>
        </is>
      </c>
      <c r="E81" t="inlineStr">
        <is>
          <t>https://lpjk.pu.go.id/search-badan-usaha-detail/azliMkVRRjB6cXVTMlNEZi9FelFCUT09</t>
        </is>
      </c>
      <c r="F81" t="n">
        <v>2</v>
      </c>
      <c r="G81" t="inlineStr">
        <is>
          <t>BS001, BS004</t>
        </is>
      </c>
      <c r="H81" t="inlineStr">
        <is>
          <t>18 September 2023</t>
        </is>
      </c>
      <c r="I81" s="2" t="n">
        <v>46314</v>
      </c>
      <c r="J81" t="inlineStr">
        <is>
          <t>Disetujui</t>
        </is>
      </c>
      <c r="K81" t="n">
        <v>90</v>
      </c>
      <c r="L81" t="inlineStr">
        <is>
          <t>19 Oktober 2026</t>
        </is>
      </c>
      <c r="M81" t="inlineStr">
        <is>
          <t>Konstruksi Bangunan Sipil Jalan, Konstruksi Jaringan Irigasi dan Drainase</t>
        </is>
      </c>
      <c r="N81" t="inlineStr">
        <is>
          <t>K</t>
        </is>
      </c>
      <c r="O81" t="inlineStr">
        <is>
          <t>20231018</t>
        </is>
      </c>
      <c r="P81" t="inlineStr">
        <is>
          <t>Kalimantan Timur</t>
        </is>
      </c>
      <c r="Q81" t="inlineStr"/>
    </row>
    <row r="82">
      <c r="A82" t="inlineStr">
        <is>
          <t>INSAN DUNIA KONSULTAN</t>
        </is>
      </c>
      <c r="B82" t="inlineStr">
        <is>
          <t>Kota Bandung</t>
        </is>
      </c>
      <c r="C82" t="inlineStr">
        <is>
          <t>085721277889</t>
        </is>
      </c>
      <c r="D82" t="inlineStr">
        <is>
          <t>insanduniakonsultan12@gmail.com</t>
        </is>
      </c>
      <c r="E82" t="inlineStr">
        <is>
          <t>https://lpjk.pu.go.id/search-badan-usaha-detail/ZENNenVvd0VGanVrTURsMHhGSG9tQT09</t>
        </is>
      </c>
      <c r="F82" t="n">
        <v>4</v>
      </c>
      <c r="G82" t="inlineStr">
        <is>
          <t>RK001, RK002, RK003, RK005</t>
        </is>
      </c>
      <c r="H82" t="inlineStr">
        <is>
          <t>8 November 2018</t>
        </is>
      </c>
      <c r="I82" s="2" t="n">
        <v>46314</v>
      </c>
      <c r="J82" t="inlineStr">
        <is>
          <t>Disetujui</t>
        </is>
      </c>
      <c r="K82" t="n">
        <v>90</v>
      </c>
      <c r="L82" t="inlineStr">
        <is>
          <t>19 Oktober 2026</t>
        </is>
      </c>
      <c r="M82" t="inlineStr">
        <is>
          <t>Jasa Rekayasa Konstruksi Bangunan Gedung Hunian dan Non Hunian, Jasa Rekayasa Lainnya, Jasa Rekayasa Pekerjaan Teknik Sipil Sumber Daya Air, Jasa Rekayasa Pekerjaan Teknik Sipil Transportasi</t>
        </is>
      </c>
      <c r="N82" t="inlineStr">
        <is>
          <t>K</t>
        </is>
      </c>
      <c r="O82" t="inlineStr">
        <is>
          <t>20231003, 20231006</t>
        </is>
      </c>
      <c r="P82" t="inlineStr">
        <is>
          <t>Jawa Barat</t>
        </is>
      </c>
      <c r="Q82" t="inlineStr"/>
    </row>
    <row r="83">
      <c r="A83" t="inlineStr">
        <is>
          <t>INTINUSA CIPTA PERSADA</t>
        </is>
      </c>
      <c r="B83" t="inlineStr">
        <is>
          <t>Kab. Sukoharjo</t>
        </is>
      </c>
      <c r="C83" t="inlineStr">
        <is>
          <t>081326782091</t>
        </is>
      </c>
      <c r="D83" t="inlineStr">
        <is>
          <t>intinusacp@gmail.com</t>
        </is>
      </c>
      <c r="E83" t="inlineStr">
        <is>
          <t>https://lpjk.pu.go.id/search-badan-usaha-detail/SlFHVFh2a2FJT3ZKRTMzanVkTDdIZz09</t>
        </is>
      </c>
      <c r="F83" t="n">
        <v>1</v>
      </c>
      <c r="G83" t="inlineStr">
        <is>
          <t>BG006</t>
        </is>
      </c>
      <c r="H83" t="inlineStr">
        <is>
          <t>15 Oktober 2019</t>
        </is>
      </c>
      <c r="I83" s="2" t="n">
        <v>46314</v>
      </c>
      <c r="J83" t="inlineStr">
        <is>
          <t>Disetujui</t>
        </is>
      </c>
      <c r="K83" t="n">
        <v>90</v>
      </c>
      <c r="L83" t="inlineStr">
        <is>
          <t>19 Oktober 2026</t>
        </is>
      </c>
      <c r="M83" t="inlineStr">
        <is>
          <t>Konstruksi Gedung Pendidikan</t>
        </is>
      </c>
      <c r="N83" t="inlineStr">
        <is>
          <t>K</t>
        </is>
      </c>
      <c r="O83" t="inlineStr">
        <is>
          <t>20231016</t>
        </is>
      </c>
      <c r="P83" t="inlineStr">
        <is>
          <t>Jawa Tengah</t>
        </is>
      </c>
      <c r="Q83" t="inlineStr"/>
    </row>
    <row r="84">
      <c r="A84" t="inlineStr">
        <is>
          <t>KAILA SEJAHTERA</t>
        </is>
      </c>
      <c r="B84" t="inlineStr">
        <is>
          <t>Kab. Bandung</t>
        </is>
      </c>
      <c r="C84" t="inlineStr">
        <is>
          <t>085795268168</t>
        </is>
      </c>
      <c r="D84" t="inlineStr">
        <is>
          <t>kailasejahtera20@yahoo.com</t>
        </is>
      </c>
      <c r="E84" t="inlineStr">
        <is>
          <t>https://lpjk.pu.go.id/search-badan-usaha-detail/SG95dFQ2cUIrblRNSThzM1BzMHhyQT09</t>
        </is>
      </c>
      <c r="F84" t="n">
        <v>1</v>
      </c>
      <c r="G84" t="inlineStr">
        <is>
          <t>PB007</t>
        </is>
      </c>
      <c r="H84" t="inlineStr">
        <is>
          <t>18 Januari 2013</t>
        </is>
      </c>
      <c r="I84" s="2" t="n">
        <v>46314</v>
      </c>
      <c r="J84" t="inlineStr">
        <is>
          <t>Pembekuan</t>
        </is>
      </c>
      <c r="K84" t="n">
        <v>90</v>
      </c>
      <c r="L84" t="inlineStr">
        <is>
          <t>19 Oktober 2026</t>
        </is>
      </c>
      <c r="M84" t="inlineStr">
        <is>
          <t>Pengecatan</t>
        </is>
      </c>
      <c r="N84" t="inlineStr">
        <is>
          <t>Spesialis</t>
        </is>
      </c>
      <c r="O84" t="inlineStr">
        <is>
          <t>20231019</t>
        </is>
      </c>
      <c r="P84" t="inlineStr">
        <is>
          <t>Jawa Barat</t>
        </is>
      </c>
      <c r="Q84" t="inlineStr"/>
    </row>
    <row r="85">
      <c r="A85" t="inlineStr">
        <is>
          <t>KARTA JAYA ABADI</t>
        </is>
      </c>
      <c r="B85" t="inlineStr">
        <is>
          <t>Kota Bandar Lampung</t>
        </is>
      </c>
      <c r="C85" t="inlineStr">
        <is>
          <t>085357266666</t>
        </is>
      </c>
      <c r="D85" t="inlineStr">
        <is>
          <t>kartajayaabadi.cv@yahoo.com</t>
        </is>
      </c>
      <c r="E85" t="inlineStr">
        <is>
          <t>https://lpjk.pu.go.id/search-badan-usaha-detail/RndEWlpWMm10eGJXN1lXYTFkMkkxUT09</t>
        </is>
      </c>
      <c r="F85" t="n">
        <v>1</v>
      </c>
      <c r="G85" t="inlineStr">
        <is>
          <t>BG009</t>
        </is>
      </c>
      <c r="H85" t="inlineStr">
        <is>
          <t>21 November 2016</t>
        </is>
      </c>
      <c r="I85" s="2" t="n">
        <v>46314</v>
      </c>
      <c r="J85" t="inlineStr">
        <is>
          <t>Disetujui</t>
        </is>
      </c>
      <c r="K85" t="n">
        <v>90</v>
      </c>
      <c r="L85" t="inlineStr">
        <is>
          <t>19 Oktober 2026</t>
        </is>
      </c>
      <c r="M85" t="inlineStr">
        <is>
          <t>Konstruksi Gedung Lainnya</t>
        </is>
      </c>
      <c r="N85" t="inlineStr">
        <is>
          <t>K</t>
        </is>
      </c>
      <c r="O85" t="inlineStr">
        <is>
          <t>20231017</t>
        </is>
      </c>
      <c r="P85" t="inlineStr">
        <is>
          <t>Lampung</t>
        </is>
      </c>
      <c r="Q85" t="inlineStr"/>
    </row>
    <row r="86">
      <c r="A86" t="inlineStr">
        <is>
          <t>KARYA ADI KENCANA</t>
        </is>
      </c>
      <c r="B86" t="inlineStr">
        <is>
          <t>Kab. Kebumen</t>
        </is>
      </c>
      <c r="C86" t="inlineStr">
        <is>
          <t>0287384799</t>
        </is>
      </c>
      <c r="D86" t="inlineStr">
        <is>
          <t>karya_adikencana@yahoo.co.id</t>
        </is>
      </c>
      <c r="E86" t="inlineStr">
        <is>
          <t>https://lpjk.pu.go.id/search-badan-usaha-detail/UVo2cVNNWUY5YStFa0VFVjlEc25kUT09</t>
        </is>
      </c>
      <c r="F86" t="n">
        <v>7</v>
      </c>
      <c r="G86" t="inlineStr">
        <is>
          <t>BG002, BG004, BG005, BG009, BS001, BS002, BS010</t>
        </is>
      </c>
      <c r="H86" t="inlineStr">
        <is>
          <t>5 Februari 2004</t>
        </is>
      </c>
      <c r="I86" s="2" t="n">
        <v>46314</v>
      </c>
      <c r="J86" t="inlineStr">
        <is>
          <t>Disetujui</t>
        </is>
      </c>
      <c r="K86" t="n">
        <v>90</v>
      </c>
      <c r="L86" t="inlineStr">
        <is>
          <t>19 Oktober 2026</t>
        </is>
      </c>
      <c r="M86" t="inlineStr">
        <is>
          <t>Bangunan Sipil Jembatan, Jalan Layang, Fly Over, dan Underpass, Konstruksi Bangunan Prasarana Sumber Daya Air, Konstruksi Bangunan Sipil Jalan, Konstruksi Gedung Kesehatan, Konstruksi Gedung Lainnya, Konstruksi Gedung Perbelanjaan, Konstruksi Gedung Perkantoran</t>
        </is>
      </c>
      <c r="N86" t="inlineStr">
        <is>
          <t>B, M</t>
        </is>
      </c>
      <c r="O86" t="inlineStr">
        <is>
          <t>20230525, 20230915, 20231011</t>
        </is>
      </c>
      <c r="P86" t="inlineStr">
        <is>
          <t>Jawa Tengah</t>
        </is>
      </c>
      <c r="Q86" t="inlineStr"/>
    </row>
    <row r="87">
      <c r="A87" t="inlineStr">
        <is>
          <t>KARYA BERSAMA NUSANTARA</t>
        </is>
      </c>
      <c r="B87" t="inlineStr">
        <is>
          <t>Kota Banjarmasin</t>
        </is>
      </c>
      <c r="C87" t="inlineStr">
        <is>
          <t>05114315017</t>
        </is>
      </c>
      <c r="D87" t="inlineStr">
        <is>
          <t>cv.kbn_bjm@yahoo.ccom</t>
        </is>
      </c>
      <c r="E87" t="inlineStr">
        <is>
          <t>https://lpjk.pu.go.id/search-badan-usaha-detail/SldRYjZwaXpOYWtCZ2Z3NGp5RUhCZz09</t>
        </is>
      </c>
      <c r="F87" t="n">
        <v>2</v>
      </c>
      <c r="G87" t="inlineStr">
        <is>
          <t>BS001, BS002</t>
        </is>
      </c>
      <c r="H87" t="inlineStr">
        <is>
          <t>28 Februari 1995</t>
        </is>
      </c>
      <c r="I87" s="2" t="n">
        <v>46314</v>
      </c>
      <c r="J87" t="inlineStr">
        <is>
          <t>Disetujui</t>
        </is>
      </c>
      <c r="K87" t="n">
        <v>90</v>
      </c>
      <c r="L87" t="inlineStr">
        <is>
          <t>19 Oktober 2026</t>
        </is>
      </c>
      <c r="M87" t="inlineStr">
        <is>
          <t>Bangunan Sipil Jembatan, Jalan Layang, Fly Over, dan Underpass, Konstruksi Bangunan Sipil Jalan</t>
        </is>
      </c>
      <c r="N87" t="inlineStr">
        <is>
          <t>K</t>
        </is>
      </c>
      <c r="O87" t="inlineStr">
        <is>
          <t>20231019</t>
        </is>
      </c>
      <c r="P87" t="inlineStr">
        <is>
          <t>Kalimantan Selatan</t>
        </is>
      </c>
      <c r="Q87" t="inlineStr"/>
    </row>
    <row r="88">
      <c r="A88" t="inlineStr">
        <is>
          <t>KARYA INDAH LESTARI</t>
        </is>
      </c>
      <c r="B88" t="inlineStr">
        <is>
          <t>Kab. Tanah Bumbu</t>
        </is>
      </c>
      <c r="C88" t="inlineStr">
        <is>
          <t>082155091044</t>
        </is>
      </c>
      <c r="D88" t="inlineStr">
        <is>
          <t>karyaindahlestari631@gmail.com</t>
        </is>
      </c>
      <c r="E88" t="inlineStr">
        <is>
          <t>https://lpjk.pu.go.id/search-badan-usaha-detail/Y2pWbExOVHBqcis4S1RsWWVHK04zQT09</t>
        </is>
      </c>
      <c r="F88" t="n">
        <v>3</v>
      </c>
      <c r="G88" t="inlineStr">
        <is>
          <t>BG006, BS001, BS004</t>
        </is>
      </c>
      <c r="H88" t="inlineStr">
        <is>
          <t>31 Mei 2013</t>
        </is>
      </c>
      <c r="I88" s="2" t="n">
        <v>46314</v>
      </c>
      <c r="J88" t="inlineStr">
        <is>
          <t>Disetujui</t>
        </is>
      </c>
      <c r="K88" t="n">
        <v>90</v>
      </c>
      <c r="L88" t="inlineStr">
        <is>
          <t>19 Oktober 2026</t>
        </is>
      </c>
      <c r="M88" t="inlineStr">
        <is>
          <t>Konstruksi Bangunan Sipil Jalan, Konstruksi Gedung Pendidikan, Konstruksi Jaringan Irigasi dan Drainase</t>
        </is>
      </c>
      <c r="N88" t="inlineStr">
        <is>
          <t>K</t>
        </is>
      </c>
      <c r="O88" t="inlineStr">
        <is>
          <t>20231019</t>
        </is>
      </c>
      <c r="P88" t="inlineStr">
        <is>
          <t>Kalimantan Selatan</t>
        </is>
      </c>
      <c r="Q88" t="inlineStr"/>
    </row>
    <row r="89">
      <c r="A89" t="inlineStr">
        <is>
          <t>KARYA INTI NUSA GEMILANG</t>
        </is>
      </c>
      <c r="B89" t="inlineStr">
        <is>
          <t>Kota Medan</t>
        </is>
      </c>
      <c r="C89" t="inlineStr">
        <is>
          <t>08126370270</t>
        </is>
      </c>
      <c r="D89" t="inlineStr">
        <is>
          <t>karyaintinusagemilang123@yahoo.com</t>
        </is>
      </c>
      <c r="E89" t="inlineStr">
        <is>
          <t>https://lpjk.pu.go.id/search-badan-usaha-detail/SEJzZXA5VGNWa3ZaOUtsY2Vzb2lJZz09</t>
        </is>
      </c>
      <c r="F89" t="n">
        <v>2</v>
      </c>
      <c r="G89" t="inlineStr">
        <is>
          <t>BG001, BG009</t>
        </is>
      </c>
      <c r="H89" t="inlineStr">
        <is>
          <t>26 Maret 2015</t>
        </is>
      </c>
      <c r="I89" s="2" t="n">
        <v>46314</v>
      </c>
      <c r="J89" t="inlineStr">
        <is>
          <t>Disetujui</t>
        </is>
      </c>
      <c r="K89" t="n">
        <v>90</v>
      </c>
      <c r="L89" t="inlineStr">
        <is>
          <t>19 Oktober 2026</t>
        </is>
      </c>
      <c r="M89" t="inlineStr">
        <is>
          <t>Konstruksi Gedung Hunian, Konstruksi Gedung Lainnya</t>
        </is>
      </c>
      <c r="N89" t="inlineStr">
        <is>
          <t>M</t>
        </is>
      </c>
      <c r="O89" t="inlineStr">
        <is>
          <t>20230928</t>
        </is>
      </c>
      <c r="P89" t="inlineStr">
        <is>
          <t>Sumatera Utara</t>
        </is>
      </c>
      <c r="Q89" t="inlineStr"/>
    </row>
    <row r="90">
      <c r="A90" t="inlineStr">
        <is>
          <t>KARYA MUKTI</t>
        </is>
      </c>
      <c r="B90" t="inlineStr">
        <is>
          <t>Kab. Bojonegoro</t>
        </is>
      </c>
      <c r="C90" t="inlineStr">
        <is>
          <t>082233729676</t>
        </is>
      </c>
      <c r="D90" t="inlineStr">
        <is>
          <t>karya_mukticv@yahoo.co.id</t>
        </is>
      </c>
      <c r="E90" t="inlineStr">
        <is>
          <t>https://lpjk.pu.go.id/search-badan-usaha-detail/SFVEdkVrYURScFd1ZXdQQzZiY2Mrdz09</t>
        </is>
      </c>
      <c r="F90" t="n">
        <v>1</v>
      </c>
      <c r="G90" t="inlineStr">
        <is>
          <t>BG009</t>
        </is>
      </c>
      <c r="H90" t="inlineStr">
        <is>
          <t>21 November 2012</t>
        </is>
      </c>
      <c r="I90" s="2" t="n">
        <v>46314</v>
      </c>
      <c r="J90" t="inlineStr">
        <is>
          <t>Disetujui</t>
        </is>
      </c>
      <c r="K90" t="n">
        <v>90</v>
      </c>
      <c r="L90" t="inlineStr">
        <is>
          <t>19 Oktober 2026</t>
        </is>
      </c>
      <c r="M90" t="inlineStr">
        <is>
          <t>Konstruksi Gedung Lainnya</t>
        </is>
      </c>
      <c r="N90" t="inlineStr">
        <is>
          <t>K</t>
        </is>
      </c>
      <c r="O90" t="inlineStr">
        <is>
          <t>20231020</t>
        </is>
      </c>
      <c r="P90" t="inlineStr">
        <is>
          <t>Jawa Timur</t>
        </is>
      </c>
      <c r="Q90" t="inlineStr"/>
    </row>
    <row r="91">
      <c r="A91" t="inlineStr">
        <is>
          <t>KARYA PRIMA SEJATI</t>
        </is>
      </c>
      <c r="B91" t="inlineStr">
        <is>
          <t>Kab. Banyuwangi</t>
        </is>
      </c>
      <c r="C91" t="inlineStr">
        <is>
          <t>085231374140</t>
        </is>
      </c>
      <c r="D91" t="inlineStr">
        <is>
          <t>megakaryaprimasejati@gmail.com</t>
        </is>
      </c>
      <c r="E91" t="inlineStr">
        <is>
          <t>https://lpjk.pu.go.id/search-badan-usaha-detail/emV0NE9PR25kZTRWRVhpdHY2aitMUT09</t>
        </is>
      </c>
      <c r="F91" t="n">
        <v>1</v>
      </c>
      <c r="G91" t="inlineStr">
        <is>
          <t>BG009</t>
        </is>
      </c>
      <c r="H91" t="inlineStr">
        <is>
          <t>21 Maret 2019</t>
        </is>
      </c>
      <c r="I91" s="2" t="n">
        <v>46314</v>
      </c>
      <c r="J91" t="inlineStr">
        <is>
          <t>Disetujui</t>
        </is>
      </c>
      <c r="K91" t="n">
        <v>90</v>
      </c>
      <c r="L91" t="inlineStr">
        <is>
          <t>19 Oktober 2026</t>
        </is>
      </c>
      <c r="M91" t="inlineStr">
        <is>
          <t>Konstruksi Gedung Lainnya</t>
        </is>
      </c>
      <c r="N91" t="inlineStr">
        <is>
          <t>K</t>
        </is>
      </c>
      <c r="O91" t="inlineStr">
        <is>
          <t>20231018</t>
        </is>
      </c>
      <c r="P91" t="inlineStr">
        <is>
          <t>Jawa Timur</t>
        </is>
      </c>
      <c r="Q91" t="inlineStr"/>
    </row>
    <row r="92">
      <c r="A92" t="inlineStr">
        <is>
          <t>KEMBAR EMAS BERSAUDARA</t>
        </is>
      </c>
      <c r="B92" t="inlineStr">
        <is>
          <t>Kab. Nunukan</t>
        </is>
      </c>
      <c r="C92" t="inlineStr">
        <is>
          <t>081238515982</t>
        </is>
      </c>
      <c r="D92" t="inlineStr">
        <is>
          <t>kembaremascv@gmail.com</t>
        </is>
      </c>
      <c r="E92" t="inlineStr">
        <is>
          <t>https://lpjk.pu.go.id/search-badan-usaha-detail/bFZSZHJmWDRaOHlGa1FRc1A5TU4zUT09</t>
        </is>
      </c>
      <c r="F92" t="n">
        <v>1</v>
      </c>
      <c r="G92" t="inlineStr">
        <is>
          <t>BG001</t>
        </is>
      </c>
      <c r="H92" t="inlineStr">
        <is>
          <t>9 Mei 2022</t>
        </is>
      </c>
      <c r="I92" s="2" t="n">
        <v>46314</v>
      </c>
      <c r="J92" t="inlineStr">
        <is>
          <t>Disetujui</t>
        </is>
      </c>
      <c r="K92" t="n">
        <v>90</v>
      </c>
      <c r="L92" t="inlineStr">
        <is>
          <t>19 Oktober 2026</t>
        </is>
      </c>
      <c r="M92" t="inlineStr">
        <is>
          <t>Konstruksi Gedung Hunian</t>
        </is>
      </c>
      <c r="N92" t="inlineStr">
        <is>
          <t>K</t>
        </is>
      </c>
      <c r="O92" t="inlineStr">
        <is>
          <t>20231005</t>
        </is>
      </c>
      <c r="P92" t="inlineStr">
        <is>
          <t>Kalimantan Utara</t>
        </is>
      </c>
      <c r="Q92" t="inlineStr"/>
    </row>
    <row r="93">
      <c r="A93" t="inlineStr">
        <is>
          <t>KENCANA MAS</t>
        </is>
      </c>
      <c r="B93" t="inlineStr">
        <is>
          <t>Kab. Indramayu</t>
        </is>
      </c>
      <c r="C93" t="inlineStr">
        <is>
          <t>08122218341</t>
        </is>
      </c>
      <c r="D93" t="inlineStr">
        <is>
          <t>kencanamascv13@gmail.com</t>
        </is>
      </c>
      <c r="E93" t="inlineStr">
        <is>
          <t>https://lpjk.pu.go.id/search-badan-usaha-detail/OExCcFBmOXlJRG9kYmt1UnhYVHRWZz09</t>
        </is>
      </c>
      <c r="F93" t="n">
        <v>2</v>
      </c>
      <c r="G93" t="inlineStr">
        <is>
          <t>BS001, BS004</t>
        </is>
      </c>
      <c r="H93" t="inlineStr">
        <is>
          <t>24 Januari 2002</t>
        </is>
      </c>
      <c r="I93" s="2" t="n">
        <v>46314</v>
      </c>
      <c r="J93" t="inlineStr">
        <is>
          <t>Disetujui</t>
        </is>
      </c>
      <c r="K93" t="n">
        <v>90</v>
      </c>
      <c r="L93" t="inlineStr">
        <is>
          <t>19 Oktober 2026</t>
        </is>
      </c>
      <c r="M93" t="inlineStr">
        <is>
          <t>Konstruksi Bangunan Sipil Jalan, Konstruksi Jaringan Irigasi dan Drainase</t>
        </is>
      </c>
      <c r="N93" t="inlineStr">
        <is>
          <t>K</t>
        </is>
      </c>
      <c r="O93" t="inlineStr">
        <is>
          <t>20231017</t>
        </is>
      </c>
      <c r="P93" t="inlineStr">
        <is>
          <t>Jawa Barat</t>
        </is>
      </c>
      <c r="Q93" t="inlineStr"/>
    </row>
    <row r="94">
      <c r="A94" t="inlineStr">
        <is>
          <t>KHALISA VAYA UTAMA</t>
        </is>
      </c>
      <c r="B94" t="inlineStr">
        <is>
          <t>Kota Banjarbaru</t>
        </is>
      </c>
      <c r="C94" t="inlineStr">
        <is>
          <t>085245240001</t>
        </is>
      </c>
      <c r="D94" t="inlineStr">
        <is>
          <t>khalisavayautama@gmail.com</t>
        </is>
      </c>
      <c r="E94" t="inlineStr">
        <is>
          <t>https://lpjk.pu.go.id/search-badan-usaha-detail/ekloZGxRM1BqeHYyOWNnODMvN2h3QT09</t>
        </is>
      </c>
      <c r="F94" t="n">
        <v>2</v>
      </c>
      <c r="G94" t="inlineStr">
        <is>
          <t>BG002, BG005</t>
        </is>
      </c>
      <c r="H94" t="inlineStr">
        <is>
          <t>23 Juli 2020</t>
        </is>
      </c>
      <c r="I94" s="2" t="n">
        <v>46314</v>
      </c>
      <c r="J94" t="inlineStr">
        <is>
          <t>Disetujui</t>
        </is>
      </c>
      <c r="K94" t="n">
        <v>90</v>
      </c>
      <c r="L94" t="inlineStr">
        <is>
          <t>19 Oktober 2026</t>
        </is>
      </c>
      <c r="M94" t="inlineStr">
        <is>
          <t>Konstruksi Gedung Kesehatan, Konstruksi Gedung Perkantoran</t>
        </is>
      </c>
      <c r="N94" t="inlineStr">
        <is>
          <t>K</t>
        </is>
      </c>
      <c r="O94" t="inlineStr">
        <is>
          <t>20231020</t>
        </is>
      </c>
      <c r="P94" t="inlineStr">
        <is>
          <t>Kalimantan Selatan</t>
        </is>
      </c>
      <c r="Q94" t="inlineStr"/>
    </row>
    <row r="95">
      <c r="A95" t="inlineStr">
        <is>
          <t>KHARISMAWIRA SURYAINTI</t>
        </is>
      </c>
      <c r="B95" t="inlineStr">
        <is>
          <t>Kota Adm. Jakarta Utara</t>
        </is>
      </c>
      <c r="C95" t="inlineStr">
        <is>
          <t>02145850709</t>
        </is>
      </c>
      <c r="D95" t="inlineStr">
        <is>
          <t>kharismawirasuryainti@gmail.com</t>
        </is>
      </c>
      <c r="E95" t="inlineStr">
        <is>
          <t>https://lpjk.pu.go.id/search-badan-usaha-detail/cWtLZ2k2NmZkcEFmR1h3WCtaWUM0dz09</t>
        </is>
      </c>
      <c r="F95" t="n">
        <v>4</v>
      </c>
      <c r="G95" t="inlineStr">
        <is>
          <t>BG001, BG009</t>
        </is>
      </c>
      <c r="H95" t="inlineStr">
        <is>
          <t>22 Desember 1990</t>
        </is>
      </c>
      <c r="I95" s="2" t="n">
        <v>46314</v>
      </c>
      <c r="J95" t="inlineStr">
        <is>
          <t>Disetujui</t>
        </is>
      </c>
      <c r="K95" t="n">
        <v>90</v>
      </c>
      <c r="L95" t="inlineStr">
        <is>
          <t>19 Oktober 2026</t>
        </is>
      </c>
      <c r="M95" t="inlineStr">
        <is>
          <t>Konstruksi Gedung Hunian, Konstruksi Gedung Lainnya</t>
        </is>
      </c>
      <c r="N95" t="inlineStr">
        <is>
          <t>K</t>
        </is>
      </c>
      <c r="O95" t="inlineStr">
        <is>
          <t>20230915, 20231013</t>
        </is>
      </c>
      <c r="P95" t="inlineStr">
        <is>
          <t>DKI Jakarta</t>
        </is>
      </c>
      <c r="Q95" t="inlineStr"/>
    </row>
    <row r="96">
      <c r="A96" t="inlineStr">
        <is>
          <t>KOPRIMA SANDYSEJAHTERA</t>
        </is>
      </c>
      <c r="B96" t="inlineStr">
        <is>
          <t>Kota Bandung</t>
        </is>
      </c>
      <c r="C96" t="inlineStr">
        <is>
          <t>0227312369</t>
        </is>
      </c>
      <c r="D96" t="inlineStr">
        <is>
          <t>perijinan@kssproperti.co.id</t>
        </is>
      </c>
      <c r="E96" t="inlineStr">
        <is>
          <t>https://lpjk.pu.go.id/search-badan-usaha-detail/TlEyR1I0YmlqTE9PeHV6NnlBVURYZz09</t>
        </is>
      </c>
      <c r="F96" t="n">
        <v>1</v>
      </c>
      <c r="G96" t="inlineStr">
        <is>
          <t>BG006</t>
        </is>
      </c>
      <c r="H96" t="inlineStr">
        <is>
          <t>23 November 1990</t>
        </is>
      </c>
      <c r="I96" s="2" t="n">
        <v>46314</v>
      </c>
      <c r="J96" t="inlineStr">
        <is>
          <t>Disetujui</t>
        </is>
      </c>
      <c r="K96" t="n">
        <v>90</v>
      </c>
      <c r="L96" t="inlineStr">
        <is>
          <t>19 Oktober 2026</t>
        </is>
      </c>
      <c r="M96" t="inlineStr">
        <is>
          <t>Konstruksi Gedung Pendidikan</t>
        </is>
      </c>
      <c r="N96" t="inlineStr">
        <is>
          <t>M</t>
        </is>
      </c>
      <c r="O96" t="inlineStr">
        <is>
          <t>20231012</t>
        </is>
      </c>
      <c r="P96" t="inlineStr">
        <is>
          <t>Jawa Barat</t>
        </is>
      </c>
      <c r="Q96" t="inlineStr"/>
    </row>
    <row r="97">
      <c r="A97" t="inlineStr">
        <is>
          <t>KRAKATAU</t>
        </is>
      </c>
      <c r="B97" t="inlineStr">
        <is>
          <t>Kab. Nganjuk</t>
        </is>
      </c>
      <c r="C97" t="inlineStr">
        <is>
          <t>082257782133</t>
        </is>
      </c>
      <c r="D97" t="inlineStr">
        <is>
          <t>krakatau.nganjuk@gmail.com</t>
        </is>
      </c>
      <c r="E97" t="inlineStr">
        <is>
          <t>https://lpjk.pu.go.id/search-badan-usaha-detail/MVdwc2NlQ1JjMk5HUWJ0QVVjbmpMdz09</t>
        </is>
      </c>
      <c r="F97" t="n">
        <v>2</v>
      </c>
      <c r="G97" t="inlineStr">
        <is>
          <t>BG005, BG009</t>
        </is>
      </c>
      <c r="H97" t="inlineStr">
        <is>
          <t>12 April 2005</t>
        </is>
      </c>
      <c r="I97" s="2" t="n">
        <v>46314</v>
      </c>
      <c r="J97" t="inlineStr">
        <is>
          <t>Disetujui</t>
        </is>
      </c>
      <c r="K97" t="n">
        <v>90</v>
      </c>
      <c r="L97" t="inlineStr">
        <is>
          <t>19 Oktober 2026</t>
        </is>
      </c>
      <c r="M97" t="inlineStr">
        <is>
          <t>Konstruksi Gedung Kesehatan, Konstruksi Gedung Lainnya</t>
        </is>
      </c>
      <c r="N97" t="inlineStr">
        <is>
          <t>K</t>
        </is>
      </c>
      <c r="O97" t="inlineStr">
        <is>
          <t>20231017</t>
        </is>
      </c>
      <c r="P97" t="inlineStr">
        <is>
          <t>Jawa Timur</t>
        </is>
      </c>
      <c r="Q97" t="inlineStr"/>
    </row>
    <row r="98">
      <c r="A98" t="inlineStr">
        <is>
          <t>KREASI BARAHA UTAMA</t>
        </is>
      </c>
      <c r="B98" t="inlineStr">
        <is>
          <t>Kab. Tanah Bumbu</t>
        </is>
      </c>
      <c r="C98" t="inlineStr">
        <is>
          <t>085349994755</t>
        </is>
      </c>
      <c r="D98" t="inlineStr">
        <is>
          <t>kreasibarahautama@yahoo.co.id</t>
        </is>
      </c>
      <c r="E98" t="inlineStr">
        <is>
          <t>https://lpjk.pu.go.id/search-badan-usaha-detail/TGozNzZxZUpvYktYMDkzU1VsTlFIZz09</t>
        </is>
      </c>
      <c r="F98" t="n">
        <v>1</v>
      </c>
      <c r="G98" t="inlineStr">
        <is>
          <t>BG006</t>
        </is>
      </c>
      <c r="H98" t="inlineStr">
        <is>
          <t>18 Januari 2014</t>
        </is>
      </c>
      <c r="I98" s="2" t="n">
        <v>46314</v>
      </c>
      <c r="J98" t="inlineStr">
        <is>
          <t>Disetujui</t>
        </is>
      </c>
      <c r="K98" t="n">
        <v>90</v>
      </c>
      <c r="L98" t="inlineStr">
        <is>
          <t>19 Oktober 2026</t>
        </is>
      </c>
      <c r="M98" t="inlineStr">
        <is>
          <t>Konstruksi Gedung Pendidikan</t>
        </is>
      </c>
      <c r="N98" t="inlineStr">
        <is>
          <t>K</t>
        </is>
      </c>
      <c r="O98" t="inlineStr">
        <is>
          <t>20231015</t>
        </is>
      </c>
      <c r="P98" t="inlineStr">
        <is>
          <t>Kalimantan Selatan</t>
        </is>
      </c>
      <c r="Q98" t="inlineStr"/>
    </row>
    <row r="99">
      <c r="A99" t="inlineStr">
        <is>
          <t>LANCAR JAYA</t>
        </is>
      </c>
      <c r="B99" t="inlineStr">
        <is>
          <t>Kab. Demak</t>
        </is>
      </c>
      <c r="C99" t="inlineStr">
        <is>
          <t>081225355155</t>
        </is>
      </c>
      <c r="D99" t="inlineStr">
        <is>
          <t>alimcyber24@gmail.com</t>
        </is>
      </c>
      <c r="E99" t="inlineStr">
        <is>
          <t>https://lpjk.pu.go.id/search-badan-usaha-detail/VFIrT1RCSDRoZjE5eDRNV2xrb0xQQT09</t>
        </is>
      </c>
      <c r="F99" t="n">
        <v>1</v>
      </c>
      <c r="G99" t="inlineStr">
        <is>
          <t>BG002</t>
        </is>
      </c>
      <c r="H99" t="inlineStr">
        <is>
          <t>13 Januari 2007</t>
        </is>
      </c>
      <c r="I99" s="2" t="n">
        <v>46314</v>
      </c>
      <c r="J99" t="inlineStr">
        <is>
          <t>Disetujui</t>
        </is>
      </c>
      <c r="K99" t="n">
        <v>90</v>
      </c>
      <c r="L99" t="inlineStr">
        <is>
          <t>19 Oktober 2026</t>
        </is>
      </c>
      <c r="M99" t="inlineStr">
        <is>
          <t>Konstruksi Gedung Perkantoran</t>
        </is>
      </c>
      <c r="N99" t="inlineStr">
        <is>
          <t>K</t>
        </is>
      </c>
      <c r="O99" t="inlineStr">
        <is>
          <t>20231005</t>
        </is>
      </c>
      <c r="P99" t="inlineStr">
        <is>
          <t>Jawa Tengah</t>
        </is>
      </c>
      <c r="Q99" t="inlineStr"/>
    </row>
    <row r="100">
      <c r="A100" t="inlineStr">
        <is>
          <t>LESTARI KARYA ABADI</t>
        </is>
      </c>
      <c r="B100" t="inlineStr">
        <is>
          <t>Kab. Tangerang</t>
        </is>
      </c>
      <c r="C100" t="inlineStr">
        <is>
          <t>085212527296</t>
        </is>
      </c>
      <c r="D100" t="inlineStr">
        <is>
          <t>lestarikaryaabadi2022@gmail.com</t>
        </is>
      </c>
      <c r="E100" t="inlineStr">
        <is>
          <t>https://lpjk.pu.go.id/search-badan-usaha-detail/MU8yOXdYejJSWGxuMDduUFFPbmlnQT09</t>
        </is>
      </c>
      <c r="F100" t="n">
        <v>1</v>
      </c>
      <c r="G100" t="inlineStr">
        <is>
          <t>BS001</t>
        </is>
      </c>
      <c r="H100" t="inlineStr">
        <is>
          <t>27 Desember 2010</t>
        </is>
      </c>
      <c r="I100" s="2" t="n">
        <v>46314</v>
      </c>
      <c r="J100" t="inlineStr">
        <is>
          <t>Disetujui</t>
        </is>
      </c>
      <c r="K100" t="n">
        <v>90</v>
      </c>
      <c r="L100" t="inlineStr">
        <is>
          <t>19 Oktober 2026</t>
        </is>
      </c>
      <c r="M100" t="inlineStr">
        <is>
          <t>Konstruksi Bangunan Sipil Jalan</t>
        </is>
      </c>
      <c r="N100" t="inlineStr">
        <is>
          <t>K</t>
        </is>
      </c>
      <c r="O100" t="inlineStr">
        <is>
          <t>20231019</t>
        </is>
      </c>
      <c r="P100" t="inlineStr">
        <is>
          <t>Banten</t>
        </is>
      </c>
      <c r="Q100" t="inlineStr"/>
    </row>
    <row r="101">
      <c r="A101" t="inlineStr">
        <is>
          <t>LOKAL UTAMA</t>
        </is>
      </c>
      <c r="B101" t="inlineStr">
        <is>
          <t>Kab. Sumbawa Barat</t>
        </is>
      </c>
      <c r="C101" t="inlineStr">
        <is>
          <t>081339639396</t>
        </is>
      </c>
      <c r="D101" t="inlineStr">
        <is>
          <t>lokalutama@yahoo.com</t>
        </is>
      </c>
      <c r="E101" t="inlineStr">
        <is>
          <t>https://lpjk.pu.go.id/search-badan-usaha-detail/M2czZ21PWHhLcHRuRW5XQ1VyZlpxUT09</t>
        </is>
      </c>
      <c r="F101" t="n">
        <v>1</v>
      </c>
      <c r="G101" t="inlineStr">
        <is>
          <t>BG006</t>
        </is>
      </c>
      <c r="H101" t="inlineStr">
        <is>
          <t>19 Oktober 2001</t>
        </is>
      </c>
      <c r="I101" s="2" t="n">
        <v>46314</v>
      </c>
      <c r="J101" t="inlineStr">
        <is>
          <t>Disetujui</t>
        </is>
      </c>
      <c r="K101" t="n">
        <v>90</v>
      </c>
      <c r="L101" t="inlineStr">
        <is>
          <t>19 Oktober 2026</t>
        </is>
      </c>
      <c r="M101" t="inlineStr">
        <is>
          <t>Konstruksi Gedung Pendidikan</t>
        </is>
      </c>
      <c r="N101" t="inlineStr">
        <is>
          <t>K</t>
        </is>
      </c>
      <c r="O101" t="inlineStr">
        <is>
          <t>20230925</t>
        </is>
      </c>
      <c r="P101" t="inlineStr">
        <is>
          <t>Nusa Tenggara Barat</t>
        </is>
      </c>
      <c r="Q101" t="inlineStr"/>
    </row>
    <row r="102">
      <c r="A102" t="inlineStr">
        <is>
          <t>MAHIRA BERJAYA</t>
        </is>
      </c>
      <c r="B102" t="inlineStr">
        <is>
          <t>Kota Semarang</t>
        </is>
      </c>
      <c r="C102" t="inlineStr">
        <is>
          <t>081229360740</t>
        </is>
      </c>
      <c r="D102" t="inlineStr">
        <is>
          <t>cvmahiraberjaya2021@gmail.com</t>
        </is>
      </c>
      <c r="E102" t="inlineStr">
        <is>
          <t>https://lpjk.pu.go.id/search-badan-usaha-detail/a1BkSi9JNnN0N1hCc2dzalNsYzE4Zz09</t>
        </is>
      </c>
      <c r="F102" t="n">
        <v>1</v>
      </c>
      <c r="G102" t="inlineStr">
        <is>
          <t>BS010</t>
        </is>
      </c>
      <c r="H102" t="inlineStr">
        <is>
          <t>1 Oktober 2021</t>
        </is>
      </c>
      <c r="I102" s="2" t="n">
        <v>46314</v>
      </c>
      <c r="J102" t="inlineStr">
        <is>
          <t>Disetujui</t>
        </is>
      </c>
      <c r="K102" t="n">
        <v>90</v>
      </c>
      <c r="L102" t="inlineStr">
        <is>
          <t>19 Oktober 2026</t>
        </is>
      </c>
      <c r="M102" t="inlineStr">
        <is>
          <t>Konstruksi Bangunan Prasarana Sumber Daya Air</t>
        </is>
      </c>
      <c r="N102" t="inlineStr">
        <is>
          <t>K</t>
        </is>
      </c>
      <c r="O102" t="inlineStr">
        <is>
          <t>20231019</t>
        </is>
      </c>
      <c r="P102" t="inlineStr">
        <is>
          <t>Jawa Tengah</t>
        </is>
      </c>
      <c r="Q102" t="inlineStr"/>
    </row>
    <row r="103">
      <c r="A103" t="inlineStr">
        <is>
          <t>MAHKOTA JAYA BETON</t>
        </is>
      </c>
      <c r="B103" t="inlineStr">
        <is>
          <t>Kab. Situbondo</t>
        </is>
      </c>
      <c r="C103" t="inlineStr">
        <is>
          <t>083892342682</t>
        </is>
      </c>
      <c r="D103" t="inlineStr">
        <is>
          <t>mahkotajayabeton@gmail.com</t>
        </is>
      </c>
      <c r="E103" t="inlineStr">
        <is>
          <t>https://lpjk.pu.go.id/search-badan-usaha-detail/bzZOSDVwcHFSK29xcnVJZDkvYWRudz09</t>
        </is>
      </c>
      <c r="F103" t="n">
        <v>2</v>
      </c>
      <c r="G103" t="inlineStr">
        <is>
          <t>BS001, BS004</t>
        </is>
      </c>
      <c r="H103" t="inlineStr">
        <is>
          <t>11 April 2023</t>
        </is>
      </c>
      <c r="I103" s="2" t="n">
        <v>46314</v>
      </c>
      <c r="J103" t="inlineStr">
        <is>
          <t>Pencabutan</t>
        </is>
      </c>
      <c r="K103" t="n">
        <v>90</v>
      </c>
      <c r="L103" t="inlineStr">
        <is>
          <t>19 Oktober 2026</t>
        </is>
      </c>
      <c r="M103" t="inlineStr">
        <is>
          <t>Konstruksi Bangunan Sipil Jalan, Konstruksi Jaringan Irigasi dan Drainase</t>
        </is>
      </c>
      <c r="N103" t="inlineStr">
        <is>
          <t>K</t>
        </is>
      </c>
      <c r="O103" t="inlineStr">
        <is>
          <t>20231018</t>
        </is>
      </c>
      <c r="P103" t="inlineStr">
        <is>
          <t>Jawa Timur</t>
        </is>
      </c>
      <c r="Q103" t="inlineStr"/>
    </row>
    <row r="104">
      <c r="A104" t="inlineStr">
        <is>
          <t>MAKMUR JAYA KONSTRUKSI</t>
        </is>
      </c>
      <c r="B104" t="inlineStr">
        <is>
          <t>Kota Makassar</t>
        </is>
      </c>
      <c r="C104" t="inlineStr">
        <is>
          <t>0411885359</t>
        </is>
      </c>
      <c r="D104" t="inlineStr">
        <is>
          <t>makmurjayakonstruksicv@gmail.com</t>
        </is>
      </c>
      <c r="E104" t="inlineStr">
        <is>
          <t>https://lpjk.pu.go.id/search-badan-usaha-detail/aG9nd29TWTBTM2Z3d2JTSWkxc1dLUT09</t>
        </is>
      </c>
      <c r="F104" t="n">
        <v>1</v>
      </c>
      <c r="G104" t="inlineStr">
        <is>
          <t>KK008</t>
        </is>
      </c>
      <c r="H104" t="inlineStr">
        <is>
          <t>24 Maret 2019</t>
        </is>
      </c>
      <c r="I104" s="2" t="n">
        <v>46314</v>
      </c>
      <c r="J104" t="inlineStr">
        <is>
          <t>Pembekuan</t>
        </is>
      </c>
      <c r="K104" t="n">
        <v>90</v>
      </c>
      <c r="L104" t="inlineStr">
        <is>
          <t>19 Oktober 2026</t>
        </is>
      </c>
      <c r="M104" t="inlineStr">
        <is>
          <t>Perkerasan Aspal</t>
        </is>
      </c>
      <c r="N104" t="inlineStr">
        <is>
          <t>Spesialis</t>
        </is>
      </c>
      <c r="O104" t="inlineStr">
        <is>
          <t>20231016</t>
        </is>
      </c>
      <c r="P104" t="inlineStr">
        <is>
          <t>Sulawesi Selatan</t>
        </is>
      </c>
      <c r="Q104" t="inlineStr"/>
    </row>
    <row r="105">
      <c r="A105" t="inlineStr">
        <is>
          <t>MAKMUR TEKNIK KONSTRUKSI</t>
        </is>
      </c>
      <c r="B105" t="inlineStr">
        <is>
          <t>Kota Adm. Jakarta Utara</t>
        </is>
      </c>
      <c r="C105" t="inlineStr">
        <is>
          <t>085320158888</t>
        </is>
      </c>
      <c r="D105" t="inlineStr">
        <is>
          <t>ptmtk11@gmail.com</t>
        </is>
      </c>
      <c r="E105" t="inlineStr">
        <is>
          <t>https://lpjk.pu.go.id/search-badan-usaha-detail/TUl5eEtucGlia2w3V0xVNFByM1Q4UT09</t>
        </is>
      </c>
      <c r="F105" t="n">
        <v>1</v>
      </c>
      <c r="G105" t="inlineStr">
        <is>
          <t>BG003</t>
        </is>
      </c>
      <c r="H105" t="inlineStr">
        <is>
          <t>2 Oktober 2023</t>
        </is>
      </c>
      <c r="I105" s="2" t="n">
        <v>46314</v>
      </c>
      <c r="J105" t="inlineStr">
        <is>
          <t>Pencabutan</t>
        </is>
      </c>
      <c r="K105" t="n">
        <v>90</v>
      </c>
      <c r="L105" t="inlineStr">
        <is>
          <t>19 Oktober 2026</t>
        </is>
      </c>
      <c r="M105" t="inlineStr">
        <is>
          <t>Konstruksi Gedung Industri</t>
        </is>
      </c>
      <c r="N105" t="inlineStr">
        <is>
          <t>K</t>
        </is>
      </c>
      <c r="O105" t="inlineStr">
        <is>
          <t>20231018</t>
        </is>
      </c>
      <c r="P105" t="inlineStr">
        <is>
          <t>DKI Jakarta</t>
        </is>
      </c>
      <c r="Q105" t="inlineStr"/>
    </row>
    <row r="106">
      <c r="A106" t="inlineStr">
        <is>
          <t>MANDALA INTER PERKASA</t>
        </is>
      </c>
      <c r="B106" t="inlineStr">
        <is>
          <t>Kab. Serang</t>
        </is>
      </c>
      <c r="C106" t="inlineStr">
        <is>
          <t>-</t>
        </is>
      </c>
      <c r="D106" t="inlineStr">
        <is>
          <t>-</t>
        </is>
      </c>
      <c r="E106" t="inlineStr">
        <is>
          <t>https://lpjk.pu.go.id/search-badan-usaha-detail/cTVkRkRBZ1h1Zmpyb2pFZFJ6OStXQT09</t>
        </is>
      </c>
      <c r="F106" t="n">
        <v>4</v>
      </c>
      <c r="G106" t="inlineStr">
        <is>
          <t>BG009, BS001</t>
        </is>
      </c>
      <c r="H106" t="inlineStr">
        <is>
          <t>19 Januari 2016</t>
        </is>
      </c>
      <c r="I106" s="2" t="n">
        <v>46314</v>
      </c>
      <c r="J106" t="inlineStr">
        <is>
          <t>Disetujui, Pencabutan</t>
        </is>
      </c>
      <c r="K106" t="n">
        <v>90</v>
      </c>
      <c r="L106" t="inlineStr">
        <is>
          <t>19 Oktober 2026</t>
        </is>
      </c>
      <c r="M106" t="inlineStr">
        <is>
          <t>Konstruksi Bangunan Sipil Jalan, Konstruksi Gedung Lainnya</t>
        </is>
      </c>
      <c r="N106" t="inlineStr">
        <is>
          <t>K</t>
        </is>
      </c>
      <c r="O106" t="inlineStr">
        <is>
          <t>20231018</t>
        </is>
      </c>
      <c r="P106" t="inlineStr">
        <is>
          <t>Banten</t>
        </is>
      </c>
      <c r="Q106" t="inlineStr"/>
    </row>
    <row r="107">
      <c r="A107" t="inlineStr">
        <is>
          <t>MANDIRI USAHA SUKSES</t>
        </is>
      </c>
      <c r="B107" t="inlineStr">
        <is>
          <t>Kota Bima</t>
        </is>
      </c>
      <c r="C107" t="inlineStr">
        <is>
          <t>082341989956</t>
        </is>
      </c>
      <c r="D107" t="inlineStr">
        <is>
          <t>cvmandiriusahasukses@gmail.com</t>
        </is>
      </c>
      <c r="E107" t="inlineStr">
        <is>
          <t>https://lpjk.pu.go.id/search-badan-usaha-detail/QzBnTWJ0R0g5M0lZOXlseWNLdWRHQT09</t>
        </is>
      </c>
      <c r="F107" t="n">
        <v>1</v>
      </c>
      <c r="G107" t="inlineStr">
        <is>
          <t>PB010</t>
        </is>
      </c>
      <c r="H107" t="inlineStr">
        <is>
          <t>18 Desember 2019</t>
        </is>
      </c>
      <c r="I107" s="2" t="n">
        <v>46314</v>
      </c>
      <c r="J107" t="inlineStr">
        <is>
          <t>Disetujui</t>
        </is>
      </c>
      <c r="K107" t="n">
        <v>90</v>
      </c>
      <c r="L107" t="inlineStr">
        <is>
          <t>19 Oktober 2026</t>
        </is>
      </c>
      <c r="M107" t="inlineStr">
        <is>
          <t>Pekerjaan Lanskap, Pertamanan, dan Penanaman Vegetasi</t>
        </is>
      </c>
      <c r="N107" t="inlineStr">
        <is>
          <t>Spesialis</t>
        </is>
      </c>
      <c r="O107" t="inlineStr">
        <is>
          <t>20231020</t>
        </is>
      </c>
      <c r="P107" t="inlineStr">
        <is>
          <t>Nusa Tenggara Barat</t>
        </is>
      </c>
      <c r="Q107" t="inlineStr"/>
    </row>
    <row r="108">
      <c r="A108" t="inlineStr">
        <is>
          <t>MATAHARI TERBIT GRUP</t>
        </is>
      </c>
      <c r="B108" t="inlineStr">
        <is>
          <t>Kab. Tanah Datar</t>
        </is>
      </c>
      <c r="C108" t="inlineStr">
        <is>
          <t>085363884288</t>
        </is>
      </c>
      <c r="D108" t="inlineStr">
        <is>
          <t>matahariterbit.pt@gmail.com</t>
        </is>
      </c>
      <c r="E108" t="inlineStr">
        <is>
          <t>https://lpjk.pu.go.id/search-badan-usaha-detail/RXJFclhVeUFOK2lzdjM4UHFtUUk4QT09</t>
        </is>
      </c>
      <c r="F108" t="n">
        <v>2</v>
      </c>
      <c r="G108" t="inlineStr">
        <is>
          <t>BS010</t>
        </is>
      </c>
      <c r="H108" t="inlineStr">
        <is>
          <t>25 Mei 2007</t>
        </is>
      </c>
      <c r="I108" s="2" t="n">
        <v>46314</v>
      </c>
      <c r="J108" t="inlineStr">
        <is>
          <t>Pembekuan</t>
        </is>
      </c>
      <c r="K108" t="n">
        <v>90</v>
      </c>
      <c r="L108" t="inlineStr">
        <is>
          <t>19 Oktober 2026</t>
        </is>
      </c>
      <c r="M108" t="inlineStr">
        <is>
          <t>Konstruksi Bangunan Prasarana Sumber Daya Air</t>
        </is>
      </c>
      <c r="N108" t="inlineStr">
        <is>
          <t>M</t>
        </is>
      </c>
      <c r="O108" t="inlineStr">
        <is>
          <t>20231019</t>
        </is>
      </c>
      <c r="P108" t="inlineStr">
        <is>
          <t>Sumatera Barat</t>
        </is>
      </c>
      <c r="Q108" t="inlineStr"/>
    </row>
    <row r="109">
      <c r="A109" t="inlineStr">
        <is>
          <t>MEGAH SURYA</t>
        </is>
      </c>
      <c r="B109" t="inlineStr">
        <is>
          <t>Kab. Jombang</t>
        </is>
      </c>
      <c r="C109" t="inlineStr">
        <is>
          <t>085648744494</t>
        </is>
      </c>
      <c r="D109" t="inlineStr">
        <is>
          <t>izuhdimegahsurya@yahoo.com</t>
        </is>
      </c>
      <c r="E109" t="inlineStr">
        <is>
          <t>https://lpjk.pu.go.id/search-badan-usaha-detail/VVdWWUVMdzZYdzFyVU5tdUhBb2hkQT09</t>
        </is>
      </c>
      <c r="F109" t="n">
        <v>2</v>
      </c>
      <c r="G109" t="inlineStr">
        <is>
          <t>BS004</t>
        </is>
      </c>
      <c r="H109" t="inlineStr">
        <is>
          <t>22 Oktober 2009</t>
        </is>
      </c>
      <c r="I109" s="2" t="n">
        <v>46314</v>
      </c>
      <c r="J109" t="inlineStr">
        <is>
          <t>Disetujui</t>
        </is>
      </c>
      <c r="K109" t="n">
        <v>90</v>
      </c>
      <c r="L109" t="inlineStr">
        <is>
          <t>19 Oktober 2026</t>
        </is>
      </c>
      <c r="M109" t="inlineStr">
        <is>
          <t>Konstruksi Jaringan Irigasi dan Drainase</t>
        </is>
      </c>
      <c r="N109" t="inlineStr">
        <is>
          <t>K</t>
        </is>
      </c>
      <c r="O109" t="inlineStr">
        <is>
          <t>20230911</t>
        </is>
      </c>
      <c r="P109" t="inlineStr">
        <is>
          <t>Jawa Timur</t>
        </is>
      </c>
      <c r="Q109" t="inlineStr"/>
    </row>
    <row r="110">
      <c r="A110" t="inlineStr">
        <is>
          <t>MILENDA</t>
        </is>
      </c>
      <c r="B110" t="inlineStr">
        <is>
          <t>Kab. Timor Tengah Utara</t>
        </is>
      </c>
      <c r="C110" t="inlineStr">
        <is>
          <t>081330589660</t>
        </is>
      </c>
      <c r="D110" t="inlineStr">
        <is>
          <t>mikaelmoa2@gmail.com</t>
        </is>
      </c>
      <c r="E110" t="inlineStr">
        <is>
          <t>https://lpjk.pu.go.id/search-badan-usaha-detail/MURldWI1K1dFSHV3QXdnemc1QVE1dz09</t>
        </is>
      </c>
      <c r="F110" t="n">
        <v>3</v>
      </c>
      <c r="G110" t="inlineStr">
        <is>
          <t>BG002, BG004, BG005</t>
        </is>
      </c>
      <c r="H110" t="inlineStr">
        <is>
          <t>30 Januari 2023</t>
        </is>
      </c>
      <c r="I110" s="2" t="n">
        <v>46314</v>
      </c>
      <c r="J110" t="inlineStr">
        <is>
          <t>Disetujui</t>
        </is>
      </c>
      <c r="K110" t="n">
        <v>90</v>
      </c>
      <c r="L110" t="inlineStr">
        <is>
          <t>19 Oktober 2026</t>
        </is>
      </c>
      <c r="M110" t="inlineStr">
        <is>
          <t>Konstruksi Gedung Kesehatan, Konstruksi Gedung Perbelanjaan, Konstruksi Gedung Perkantoran</t>
        </is>
      </c>
      <c r="N110" t="inlineStr">
        <is>
          <t>K</t>
        </is>
      </c>
      <c r="O110" t="inlineStr">
        <is>
          <t>20231017</t>
        </is>
      </c>
      <c r="P110" t="inlineStr">
        <is>
          <t>Nusa Tenggara Timur</t>
        </is>
      </c>
      <c r="Q110" t="inlineStr"/>
    </row>
    <row r="111">
      <c r="A111" t="inlineStr">
        <is>
          <t>MITRA GADING</t>
        </is>
      </c>
      <c r="B111" t="inlineStr">
        <is>
          <t>Kab. Ketapang</t>
        </is>
      </c>
      <c r="C111" t="inlineStr">
        <is>
          <t>081352541234</t>
        </is>
      </c>
      <c r="D111" t="inlineStr">
        <is>
          <t>mitra_gading86@yahoo.com</t>
        </is>
      </c>
      <c r="E111" t="inlineStr">
        <is>
          <t>https://lpjk.pu.go.id/search-badan-usaha-detail/bmVKaXdXMVpTS2pyclliQnlLSkhhdz09</t>
        </is>
      </c>
      <c r="F111" t="n">
        <v>1</v>
      </c>
      <c r="G111" t="inlineStr">
        <is>
          <t>BG002</t>
        </is>
      </c>
      <c r="H111" t="inlineStr">
        <is>
          <t>7 Januari 2015</t>
        </is>
      </c>
      <c r="I111" s="2" t="n">
        <v>46314</v>
      </c>
      <c r="J111" t="inlineStr">
        <is>
          <t>Disetujui</t>
        </is>
      </c>
      <c r="K111" t="n">
        <v>90</v>
      </c>
      <c r="L111" t="inlineStr">
        <is>
          <t>19 Oktober 2026</t>
        </is>
      </c>
      <c r="M111" t="inlineStr">
        <is>
          <t>Konstruksi Gedung Perkantoran</t>
        </is>
      </c>
      <c r="N111" t="inlineStr">
        <is>
          <t>K</t>
        </is>
      </c>
      <c r="O111" t="inlineStr">
        <is>
          <t>20231017</t>
        </is>
      </c>
      <c r="P111" t="inlineStr">
        <is>
          <t>Kalimantan Barat</t>
        </is>
      </c>
      <c r="Q111" t="inlineStr"/>
    </row>
    <row r="112">
      <c r="A112" t="inlineStr">
        <is>
          <t>MITRA GLOBAL KENCANA</t>
        </is>
      </c>
      <c r="B112" t="inlineStr">
        <is>
          <t>Kota Adm. Jakarta Barat</t>
        </is>
      </c>
      <c r="C112" t="inlineStr">
        <is>
          <t>02122585000</t>
        </is>
      </c>
      <c r="D112" t="inlineStr">
        <is>
          <t>mgkasia1@gmail.com</t>
        </is>
      </c>
      <c r="E112" t="inlineStr">
        <is>
          <t>https://lpjk.pu.go.id/search-badan-usaha-detail/MHFianhkOTRzN2tXaUFaTlZZbFd3UT09</t>
        </is>
      </c>
      <c r="F112" t="n">
        <v>1</v>
      </c>
      <c r="G112" t="inlineStr">
        <is>
          <t>IN001</t>
        </is>
      </c>
      <c r="H112" t="inlineStr">
        <is>
          <t>16 Agustus 2005</t>
        </is>
      </c>
      <c r="I112" s="2" t="n">
        <v>46314</v>
      </c>
      <c r="J112" t="inlineStr">
        <is>
          <t>Disetujui</t>
        </is>
      </c>
      <c r="K112" t="n">
        <v>90</v>
      </c>
      <c r="L112" t="inlineStr">
        <is>
          <t>19 Oktober 2026</t>
        </is>
      </c>
      <c r="M112" t="inlineStr">
        <is>
          <t>Instalasi Mekanikal</t>
        </is>
      </c>
      <c r="N112" t="inlineStr">
        <is>
          <t>Spesialis</t>
        </is>
      </c>
      <c r="O112" t="inlineStr">
        <is>
          <t>20230918</t>
        </is>
      </c>
      <c r="P112" t="inlineStr">
        <is>
          <t>DKI Jakarta</t>
        </is>
      </c>
      <c r="Q112" t="inlineStr"/>
    </row>
    <row r="113">
      <c r="A113" t="inlineStr">
        <is>
          <t>MULTI KARYA ENGINEERING</t>
        </is>
      </c>
      <c r="B113" t="inlineStr">
        <is>
          <t>Kab. Gresik</t>
        </is>
      </c>
      <c r="C113" t="inlineStr">
        <is>
          <t>08563204070</t>
        </is>
      </c>
      <c r="D113" t="inlineStr">
        <is>
          <t>mke.gresik@gmail.com</t>
        </is>
      </c>
      <c r="E113" t="inlineStr">
        <is>
          <t>https://lpjk.pu.go.id/search-badan-usaha-detail/OHMvdS8zTU5NTzEyYi9tWnFXUE9jdz09</t>
        </is>
      </c>
      <c r="F113" t="n">
        <v>2</v>
      </c>
      <c r="G113" t="inlineStr">
        <is>
          <t>RK001, RK003</t>
        </is>
      </c>
      <c r="H113" t="inlineStr">
        <is>
          <t>3 Agustus 2022</t>
        </is>
      </c>
      <c r="I113" s="2" t="n">
        <v>46314</v>
      </c>
      <c r="J113" t="inlineStr">
        <is>
          <t>Disetujui</t>
        </is>
      </c>
      <c r="K113" t="n">
        <v>90</v>
      </c>
      <c r="L113" t="inlineStr">
        <is>
          <t>19 Oktober 2026</t>
        </is>
      </c>
      <c r="M113" t="inlineStr">
        <is>
          <t>Jasa Rekayasa Konstruksi Bangunan Gedung Hunian dan Non Hunian, Jasa Rekayasa Pekerjaan Teknik Sipil Transportasi</t>
        </is>
      </c>
      <c r="N113" t="inlineStr">
        <is>
          <t>K</t>
        </is>
      </c>
      <c r="O113" t="inlineStr">
        <is>
          <t>20231010</t>
        </is>
      </c>
      <c r="P113" t="inlineStr">
        <is>
          <t>Jawa Timur</t>
        </is>
      </c>
      <c r="Q113" t="inlineStr"/>
    </row>
    <row r="114">
      <c r="A114" t="inlineStr">
        <is>
          <t>MULYANA KARYA SEJAHTERA</t>
        </is>
      </c>
      <c r="B114" t="inlineStr">
        <is>
          <t>Kota Cimahi</t>
        </is>
      </c>
      <c r="C114" t="inlineStr">
        <is>
          <t>0226652362</t>
        </is>
      </c>
      <c r="D114" t="inlineStr">
        <is>
          <t>mulyana.karyasejahtera@gmail.com</t>
        </is>
      </c>
      <c r="E114" t="inlineStr">
        <is>
          <t>https://lpjk.pu.go.id/search-badan-usaha-detail/UUxDR2FiZVpFeVk2L3UyTlVQY0Yrdz09</t>
        </is>
      </c>
      <c r="F114" t="n">
        <v>2</v>
      </c>
      <c r="G114" t="inlineStr">
        <is>
          <t>BG006</t>
        </is>
      </c>
      <c r="H114" t="inlineStr">
        <is>
          <t>13 Agustus 2021</t>
        </is>
      </c>
      <c r="I114" s="2" t="n">
        <v>46314</v>
      </c>
      <c r="J114" t="inlineStr">
        <is>
          <t>Disetujui</t>
        </is>
      </c>
      <c r="K114" t="n">
        <v>90</v>
      </c>
      <c r="L114" t="inlineStr">
        <is>
          <t>19 Oktober 2026</t>
        </is>
      </c>
      <c r="M114" t="inlineStr">
        <is>
          <t>Konstruksi Gedung Pendidikan</t>
        </is>
      </c>
      <c r="N114" t="inlineStr">
        <is>
          <t>K</t>
        </is>
      </c>
      <c r="O114" t="inlineStr">
        <is>
          <t>20231017</t>
        </is>
      </c>
      <c r="P114" t="inlineStr">
        <is>
          <t>Jawa Barat</t>
        </is>
      </c>
      <c r="Q114" t="inlineStr"/>
    </row>
    <row r="115">
      <c r="A115" t="inlineStr">
        <is>
          <t>NIAGA USAHA MANDIRI</t>
        </is>
      </c>
      <c r="B115" t="inlineStr">
        <is>
          <t>Kab. Kepulauan Sangihe</t>
        </is>
      </c>
      <c r="C115" t="inlineStr">
        <is>
          <t>085240951124</t>
        </is>
      </c>
      <c r="D115" t="inlineStr">
        <is>
          <t>cv.niagausahamandiri17@gmail.com</t>
        </is>
      </c>
      <c r="E115" t="inlineStr">
        <is>
          <t>https://lpjk.pu.go.id/search-badan-usaha-detail/dVZUeHB2L0JEMmw1NHpmOWsxUVlrdz09</t>
        </is>
      </c>
      <c r="F115" t="n">
        <v>1</v>
      </c>
      <c r="G115" t="inlineStr">
        <is>
          <t>BS001</t>
        </is>
      </c>
      <c r="H115" t="inlineStr">
        <is>
          <t>21 Januari 1991</t>
        </is>
      </c>
      <c r="I115" s="2" t="n">
        <v>46314</v>
      </c>
      <c r="J115" t="inlineStr">
        <is>
          <t>Disetujui</t>
        </is>
      </c>
      <c r="K115" t="n">
        <v>90</v>
      </c>
      <c r="L115" t="inlineStr">
        <is>
          <t>19 Oktober 2026</t>
        </is>
      </c>
      <c r="M115" t="inlineStr">
        <is>
          <t>Konstruksi Bangunan Sipil Jalan</t>
        </is>
      </c>
      <c r="N115" t="inlineStr">
        <is>
          <t>K</t>
        </is>
      </c>
      <c r="O115" t="inlineStr">
        <is>
          <t>20231018</t>
        </is>
      </c>
      <c r="P115" t="inlineStr">
        <is>
          <t>Sulawesi Utara</t>
        </is>
      </c>
      <c r="Q115" t="inlineStr"/>
    </row>
    <row r="116">
      <c r="A116" t="inlineStr">
        <is>
          <t>NISCALA INDO RAYA</t>
        </is>
      </c>
      <c r="B116" t="inlineStr">
        <is>
          <t>Kota Kendari</t>
        </is>
      </c>
      <c r="C116" t="inlineStr">
        <is>
          <t>082130000611</t>
        </is>
      </c>
      <c r="D116" t="inlineStr">
        <is>
          <t>cv.niscalaindoraya@gmail.com</t>
        </is>
      </c>
      <c r="E116" t="inlineStr">
        <is>
          <t>https://lpjk.pu.go.id/search-badan-usaha-detail/aFhSVndyYmpjZGorTjBhOWNZcStaQT09</t>
        </is>
      </c>
      <c r="F116" t="n">
        <v>1</v>
      </c>
      <c r="G116" t="inlineStr">
        <is>
          <t>BG002</t>
        </is>
      </c>
      <c r="H116" t="inlineStr">
        <is>
          <t>18 Januari 2022</t>
        </is>
      </c>
      <c r="I116" s="2" t="n">
        <v>46314</v>
      </c>
      <c r="J116" t="inlineStr">
        <is>
          <t>Disetujui</t>
        </is>
      </c>
      <c r="K116" t="n">
        <v>90</v>
      </c>
      <c r="L116" t="inlineStr">
        <is>
          <t>19 Oktober 2026</t>
        </is>
      </c>
      <c r="M116" t="inlineStr">
        <is>
          <t>Konstruksi Gedung Perkantoran</t>
        </is>
      </c>
      <c r="N116" t="inlineStr">
        <is>
          <t>K</t>
        </is>
      </c>
      <c r="O116" t="inlineStr">
        <is>
          <t>20231018</t>
        </is>
      </c>
      <c r="P116" t="inlineStr">
        <is>
          <t>Sulawesi Tenggara</t>
        </is>
      </c>
      <c r="Q116" t="inlineStr"/>
    </row>
    <row r="117">
      <c r="A117" t="inlineStr">
        <is>
          <t>NUSAENA TIMUR ABADI</t>
        </is>
      </c>
      <c r="B117" t="inlineStr">
        <is>
          <t>Kota Bandung</t>
        </is>
      </c>
      <c r="C117" t="inlineStr">
        <is>
          <t>083893124351</t>
        </is>
      </c>
      <c r="D117" t="inlineStr">
        <is>
          <t>nusaenatimurabadi@gmail.com</t>
        </is>
      </c>
      <c r="E117" t="inlineStr">
        <is>
          <t>https://lpjk.pu.go.id/search-badan-usaha-detail/S0g0eDgza3ltM0Z1TXpDdVVOc2RNZz09</t>
        </is>
      </c>
      <c r="F117" t="n">
        <v>10</v>
      </c>
      <c r="G117" t="inlineStr">
        <is>
          <t>BG001, BG002, BG005, BG006, BG009</t>
        </is>
      </c>
      <c r="H117" t="inlineStr">
        <is>
          <t>22 Agustus 2023</t>
        </is>
      </c>
      <c r="I117" s="2" t="n">
        <v>46314</v>
      </c>
      <c r="J117" t="inlineStr">
        <is>
          <t>Disetujui</t>
        </is>
      </c>
      <c r="K117" t="n">
        <v>90</v>
      </c>
      <c r="L117" t="inlineStr">
        <is>
          <t>19 Oktober 2026</t>
        </is>
      </c>
      <c r="M117" t="inlineStr">
        <is>
          <t>Konstruksi Gedung Hunian, Konstruksi Gedung Kesehatan, Konstruksi Gedung Lainnya, Konstruksi Gedung Pendidikan, Konstruksi Gedung Perkantoran</t>
        </is>
      </c>
      <c r="N117" t="inlineStr">
        <is>
          <t>K</t>
        </is>
      </c>
      <c r="O117" t="inlineStr">
        <is>
          <t>20231018</t>
        </is>
      </c>
      <c r="P117" t="inlineStr">
        <is>
          <t>Jawa Barat</t>
        </is>
      </c>
      <c r="Q117" t="inlineStr"/>
    </row>
    <row r="118">
      <c r="A118" t="inlineStr">
        <is>
          <t>NUSANTARA GROUP INDONESIA</t>
        </is>
      </c>
      <c r="B118" t="inlineStr">
        <is>
          <t>Kab. Jember</t>
        </is>
      </c>
      <c r="C118" t="inlineStr">
        <is>
          <t>082230168722</t>
        </is>
      </c>
      <c r="D118" t="inlineStr">
        <is>
          <t>groupindonesiacvnusantara@gmail.com</t>
        </is>
      </c>
      <c r="E118" t="inlineStr">
        <is>
          <t>https://lpjk.pu.go.id/search-badan-usaha-detail/SmhKSFVFczlaYlNYazI2VHUySWRiQT09</t>
        </is>
      </c>
      <c r="F118" t="n">
        <v>2</v>
      </c>
      <c r="G118" t="inlineStr">
        <is>
          <t>BG001, BG006</t>
        </is>
      </c>
      <c r="H118" t="inlineStr">
        <is>
          <t>27 Maret 2023</t>
        </is>
      </c>
      <c r="I118" s="2" t="n">
        <v>46314</v>
      </c>
      <c r="J118" t="inlineStr">
        <is>
          <t>Disetujui</t>
        </is>
      </c>
      <c r="K118" t="n">
        <v>90</v>
      </c>
      <c r="L118" t="inlineStr">
        <is>
          <t>19 Oktober 2026</t>
        </is>
      </c>
      <c r="M118" t="inlineStr">
        <is>
          <t>Konstruksi Gedung Hunian, Konstruksi Gedung Pendidikan</t>
        </is>
      </c>
      <c r="N118" t="inlineStr">
        <is>
          <t>K</t>
        </is>
      </c>
      <c r="O118" t="inlineStr">
        <is>
          <t>20231013</t>
        </is>
      </c>
      <c r="P118" t="inlineStr">
        <is>
          <t>Jawa Timur</t>
        </is>
      </c>
      <c r="Q118" t="inlineStr"/>
    </row>
    <row r="119">
      <c r="A119" t="inlineStr">
        <is>
          <t>NUSANTARA MEMBANGUN</t>
        </is>
      </c>
      <c r="B119" t="inlineStr">
        <is>
          <t>Kota Palu</t>
        </is>
      </c>
      <c r="C119" t="inlineStr">
        <is>
          <t>-</t>
        </is>
      </c>
      <c r="D119" t="inlineStr">
        <is>
          <t>umareljufrie45@gmail.com</t>
        </is>
      </c>
      <c r="E119" t="inlineStr">
        <is>
          <t>https://lpjk.pu.go.id/search-badan-usaha-detail/eFcvTjY4SXJRc3lHRFlzeUtDSWFmZz09</t>
        </is>
      </c>
      <c r="F119" t="n">
        <v>1</v>
      </c>
      <c r="G119" t="inlineStr">
        <is>
          <t>BS005</t>
        </is>
      </c>
      <c r="H119" t="inlineStr">
        <is>
          <t>7 Desember 2017</t>
        </is>
      </c>
      <c r="I119" s="2" t="n">
        <v>46314</v>
      </c>
      <c r="J119" t="inlineStr">
        <is>
          <t>Disetujui</t>
        </is>
      </c>
      <c r="K119" t="n">
        <v>90</v>
      </c>
      <c r="L119" t="inlineStr">
        <is>
          <t>19 Oktober 2026</t>
        </is>
      </c>
      <c r="M119" t="inlineStr">
        <is>
          <t>Konstruksi Bangunan Sipil Pengolahan Air Bersih</t>
        </is>
      </c>
      <c r="N119" t="inlineStr">
        <is>
          <t>K</t>
        </is>
      </c>
      <c r="O119" t="inlineStr">
        <is>
          <t>20231020</t>
        </is>
      </c>
      <c r="P119" t="inlineStr">
        <is>
          <t>Sulawesi Tengah</t>
        </is>
      </c>
      <c r="Q119" t="inlineStr"/>
    </row>
    <row r="120">
      <c r="A120" t="inlineStr">
        <is>
          <t>PADUKA SINARAN JAYA</t>
        </is>
      </c>
      <c r="B120" t="inlineStr">
        <is>
          <t>Kota Pekanbaru</t>
        </is>
      </c>
      <c r="C120" t="inlineStr">
        <is>
          <t>08121534119</t>
        </is>
      </c>
      <c r="D120" t="inlineStr">
        <is>
          <t>pt.padukasinjaya@gmail.com</t>
        </is>
      </c>
      <c r="E120" t="inlineStr">
        <is>
          <t>https://lpjk.pu.go.id/search-badan-usaha-detail/Y0FYSjFRYkxzM1VTazdqcUk0YnVPdz09</t>
        </is>
      </c>
      <c r="F120" t="n">
        <v>1</v>
      </c>
      <c r="G120" t="inlineStr">
        <is>
          <t>BG009</t>
        </is>
      </c>
      <c r="H120" t="inlineStr">
        <is>
          <t>20 Juni 2023</t>
        </is>
      </c>
      <c r="I120" s="2" t="n">
        <v>46314</v>
      </c>
      <c r="J120" t="inlineStr">
        <is>
          <t>Disetujui</t>
        </is>
      </c>
      <c r="K120" t="n">
        <v>90</v>
      </c>
      <c r="L120" t="inlineStr">
        <is>
          <t>19 Oktober 2026</t>
        </is>
      </c>
      <c r="M120" t="inlineStr">
        <is>
          <t>Konstruksi Gedung Lainnya</t>
        </is>
      </c>
      <c r="N120" t="inlineStr">
        <is>
          <t>K</t>
        </is>
      </c>
      <c r="O120" t="inlineStr">
        <is>
          <t>20231020</t>
        </is>
      </c>
      <c r="P120" t="inlineStr">
        <is>
          <t>Riau</t>
        </is>
      </c>
      <c r="Q120" t="inlineStr"/>
    </row>
    <row r="121">
      <c r="A121" t="inlineStr">
        <is>
          <t>PANATA SARANA GROUP</t>
        </is>
      </c>
      <c r="B121" t="inlineStr">
        <is>
          <t>Kab. Brebes</t>
        </is>
      </c>
      <c r="C121" t="inlineStr">
        <is>
          <t>081542360806</t>
        </is>
      </c>
      <c r="D121" t="inlineStr">
        <is>
          <t>cv.panatasaranagroup@yahoo.co.id</t>
        </is>
      </c>
      <c r="E121" t="inlineStr">
        <is>
          <t>https://lpjk.pu.go.id/search-badan-usaha-detail/VjkwemdmaEJSeDZ6MUhscTFVcHhkdz09</t>
        </is>
      </c>
      <c r="F121" t="n">
        <v>1</v>
      </c>
      <c r="G121" t="inlineStr">
        <is>
          <t>BG009</t>
        </is>
      </c>
      <c r="H121" t="inlineStr">
        <is>
          <t>30 Oktober 1991</t>
        </is>
      </c>
      <c r="I121" s="2" t="n">
        <v>46314</v>
      </c>
      <c r="J121" t="inlineStr">
        <is>
          <t>Disetujui</t>
        </is>
      </c>
      <c r="K121" t="n">
        <v>90</v>
      </c>
      <c r="L121" t="inlineStr">
        <is>
          <t>19 Oktober 2026</t>
        </is>
      </c>
      <c r="M121" t="inlineStr">
        <is>
          <t>Konstruksi Gedung Lainnya</t>
        </is>
      </c>
      <c r="N121" t="inlineStr">
        <is>
          <t>K</t>
        </is>
      </c>
      <c r="O121" t="inlineStr">
        <is>
          <t>20231017</t>
        </is>
      </c>
      <c r="P121" t="inlineStr">
        <is>
          <t>Jawa Tengah</t>
        </is>
      </c>
      <c r="Q121" t="inlineStr"/>
    </row>
    <row r="122">
      <c r="A122" t="inlineStr">
        <is>
          <t>PARAMA KARYA MANDIRI</t>
        </is>
      </c>
      <c r="B122" t="inlineStr">
        <is>
          <t>Kota Adm. Jakarta Selatan</t>
        </is>
      </c>
      <c r="C122" t="inlineStr">
        <is>
          <t>02175921219</t>
        </is>
      </c>
      <c r="D122" t="inlineStr">
        <is>
          <t>pkmjkt@yahoo.co.id</t>
        </is>
      </c>
      <c r="E122" t="inlineStr">
        <is>
          <t>https://lpjk.pu.go.id/search-badan-usaha-detail/aHdId1dLcDgvZFFmMkJTazZYRllKZz09</t>
        </is>
      </c>
      <c r="F122" t="n">
        <v>6</v>
      </c>
      <c r="G122" t="inlineStr">
        <is>
          <t>IT003, RK003</t>
        </is>
      </c>
      <c r="H122" t="inlineStr">
        <is>
          <t>24 Desember 1997</t>
        </is>
      </c>
      <c r="I122" s="2" t="n">
        <v>46314</v>
      </c>
      <c r="J122" t="inlineStr">
        <is>
          <t>Disetujui</t>
        </is>
      </c>
      <c r="K122" t="n">
        <v>90</v>
      </c>
      <c r="L122" t="inlineStr">
        <is>
          <t>19 Oktober 2026</t>
        </is>
      </c>
      <c r="M122" t="inlineStr">
        <is>
          <t>Jasa Konsultansi Ilmiah dan Teknis Permukaan Tanah dan Pembuatan Peta, Jasa Rekayasa Pekerjaan Teknik Sipil Transportasi</t>
        </is>
      </c>
      <c r="N122" t="inlineStr">
        <is>
          <t>B, Spesialis</t>
        </is>
      </c>
      <c r="O122" t="inlineStr">
        <is>
          <t>20231012</t>
        </is>
      </c>
      <c r="P122" t="inlineStr">
        <is>
          <t>DKI Jakarta</t>
        </is>
      </c>
      <c r="Q122" t="inlineStr"/>
    </row>
    <row r="123">
      <c r="A123" t="inlineStr">
        <is>
          <t>PERDANA</t>
        </is>
      </c>
      <c r="B123" t="inlineStr">
        <is>
          <t>Kab. Bojonegoro</t>
        </is>
      </c>
      <c r="C123" t="inlineStr">
        <is>
          <t>082234869197</t>
        </is>
      </c>
      <c r="D123" t="inlineStr">
        <is>
          <t>cv.perdana50@yahoo.co.id</t>
        </is>
      </c>
      <c r="E123" t="inlineStr">
        <is>
          <t>https://lpjk.pu.go.id/search-badan-usaha-detail/L0kzdmxJTGNSWTJXT25jK1dNMUNFUT09</t>
        </is>
      </c>
      <c r="F123" t="n">
        <v>1</v>
      </c>
      <c r="G123" t="inlineStr">
        <is>
          <t>BS004</t>
        </is>
      </c>
      <c r="H123" t="inlineStr">
        <is>
          <t>22 September 1986</t>
        </is>
      </c>
      <c r="I123" s="2" t="n">
        <v>46314</v>
      </c>
      <c r="J123" t="inlineStr">
        <is>
          <t>Disetujui</t>
        </is>
      </c>
      <c r="K123" t="n">
        <v>90</v>
      </c>
      <c r="L123" t="inlineStr">
        <is>
          <t>19 Oktober 2026</t>
        </is>
      </c>
      <c r="M123" t="inlineStr">
        <is>
          <t>Konstruksi Jaringan Irigasi dan Drainase</t>
        </is>
      </c>
      <c r="N123" t="inlineStr">
        <is>
          <t>K</t>
        </is>
      </c>
      <c r="O123" t="inlineStr">
        <is>
          <t>20231006</t>
        </is>
      </c>
      <c r="P123" t="inlineStr">
        <is>
          <t>Jawa Timur</t>
        </is>
      </c>
      <c r="Q123" t="inlineStr"/>
    </row>
    <row r="124">
      <c r="A124" t="inlineStr">
        <is>
          <t>PERDANA KONSTRUKSI</t>
        </is>
      </c>
      <c r="B124" t="inlineStr">
        <is>
          <t>Kota Banda Aceh</t>
        </is>
      </c>
      <c r="C124" t="inlineStr">
        <is>
          <t>082267566546</t>
        </is>
      </c>
      <c r="D124" t="inlineStr">
        <is>
          <t>zamrektor@yahoo.com</t>
        </is>
      </c>
      <c r="E124" t="inlineStr">
        <is>
          <t>https://lpjk.pu.go.id/search-badan-usaha-detail/TFh4OWVDbTdRL21PSTZHbVF1YVVmdz09</t>
        </is>
      </c>
      <c r="F124" t="n">
        <v>2</v>
      </c>
      <c r="G124" t="inlineStr">
        <is>
          <t>BG006, BG009</t>
        </is>
      </c>
      <c r="H124" t="inlineStr">
        <is>
          <t>4 Juli 2013</t>
        </is>
      </c>
      <c r="I124" s="2" t="n">
        <v>46314</v>
      </c>
      <c r="J124" t="inlineStr">
        <is>
          <t>Disetujui</t>
        </is>
      </c>
      <c r="K124" t="n">
        <v>90</v>
      </c>
      <c r="L124" t="inlineStr">
        <is>
          <t>19 Oktober 2026</t>
        </is>
      </c>
      <c r="M124" t="inlineStr">
        <is>
          <t>Konstruksi Gedung Lainnya, Konstruksi Gedung Pendidikan</t>
        </is>
      </c>
      <c r="N124" t="inlineStr">
        <is>
          <t>K</t>
        </is>
      </c>
      <c r="O124" t="inlineStr">
        <is>
          <t>20231008, 20231009</t>
        </is>
      </c>
      <c r="P124" t="inlineStr">
        <is>
          <t>Aceh</t>
        </is>
      </c>
      <c r="Q124" t="inlineStr"/>
    </row>
    <row r="125">
      <c r="A125" t="inlineStr">
        <is>
          <t>PERMATA WAMBONA GROUP</t>
        </is>
      </c>
      <c r="B125" t="inlineStr">
        <is>
          <t>Kota Kendari</t>
        </is>
      </c>
      <c r="C125" t="inlineStr">
        <is>
          <t>082216375552</t>
        </is>
      </c>
      <c r="D125" t="inlineStr">
        <is>
          <t>Permatawambona@gmail.com</t>
        </is>
      </c>
      <c r="E125" t="inlineStr">
        <is>
          <t>https://lpjk.pu.go.id/search-badan-usaha-detail/ZVBLdjc2MUZlM0s4OUVyczFsUjAvZz09</t>
        </is>
      </c>
      <c r="F125" t="n">
        <v>1</v>
      </c>
      <c r="G125" t="inlineStr">
        <is>
          <t>BS010</t>
        </is>
      </c>
      <c r="H125" t="inlineStr">
        <is>
          <t>26 Desember 2022</t>
        </is>
      </c>
      <c r="I125" s="2" t="n">
        <v>46314</v>
      </c>
      <c r="J125" t="inlineStr">
        <is>
          <t>Disetujui</t>
        </is>
      </c>
      <c r="K125" t="n">
        <v>90</v>
      </c>
      <c r="L125" t="inlineStr">
        <is>
          <t>19 Oktober 2026</t>
        </is>
      </c>
      <c r="M125" t="inlineStr">
        <is>
          <t>Konstruksi Bangunan Prasarana Sumber Daya Air</t>
        </is>
      </c>
      <c r="N125" t="inlineStr">
        <is>
          <t>K</t>
        </is>
      </c>
      <c r="O125" t="inlineStr">
        <is>
          <t>20231018</t>
        </is>
      </c>
      <c r="P125" t="inlineStr">
        <is>
          <t>Sulawesi Tenggara</t>
        </is>
      </c>
      <c r="Q125" t="inlineStr"/>
    </row>
    <row r="126">
      <c r="A126" t="inlineStr">
        <is>
          <t>PERTA SAMUDERA</t>
        </is>
      </c>
      <c r="B126" t="inlineStr">
        <is>
          <t>Kota Adm. Jakarta Utara</t>
        </is>
      </c>
      <c r="C126" t="inlineStr">
        <is>
          <t>02143935039</t>
        </is>
      </c>
      <c r="D126" t="inlineStr">
        <is>
          <t>perta.samudera@yahoo.com</t>
        </is>
      </c>
      <c r="E126" t="inlineStr">
        <is>
          <t>https://lpjk.pu.go.id/search-badan-usaha-detail/dDA1OUhzdExwZEFWV00xSldmOGJmQT09</t>
        </is>
      </c>
      <c r="F126" t="n">
        <v>3</v>
      </c>
      <c r="G126" t="inlineStr">
        <is>
          <t>BG002, BG003, BG009</t>
        </is>
      </c>
      <c r="H126" t="inlineStr">
        <is>
          <t>30 Juni 2006</t>
        </is>
      </c>
      <c r="I126" s="2" t="n">
        <v>46314</v>
      </c>
      <c r="J126" t="inlineStr">
        <is>
          <t>Disetujui</t>
        </is>
      </c>
      <c r="K126" t="n">
        <v>90</v>
      </c>
      <c r="L126" t="inlineStr">
        <is>
          <t>19 Oktober 2026</t>
        </is>
      </c>
      <c r="M126" t="inlineStr">
        <is>
          <t>Konstruksi Gedung Industri, Konstruksi Gedung Lainnya, Konstruksi Gedung Perkantoran</t>
        </is>
      </c>
      <c r="N126" t="inlineStr">
        <is>
          <t>K</t>
        </is>
      </c>
      <c r="O126" t="inlineStr">
        <is>
          <t>20231005</t>
        </is>
      </c>
      <c r="P126" t="inlineStr">
        <is>
          <t>DKI Jakarta</t>
        </is>
      </c>
      <c r="Q126" t="inlineStr"/>
    </row>
    <row r="127">
      <c r="A127" t="inlineStr">
        <is>
          <t>PERTAMINA MARINE ENGINEERING</t>
        </is>
      </c>
      <c r="B127" t="inlineStr">
        <is>
          <t>Kota Adm. Jakarta Utara</t>
        </is>
      </c>
      <c r="C127" t="inlineStr">
        <is>
          <t>08118076780</t>
        </is>
      </c>
      <c r="D127" t="inlineStr">
        <is>
          <t>headofficepkj@gmail.com</t>
        </is>
      </c>
      <c r="E127" t="inlineStr">
        <is>
          <t>https://lpjk.pu.go.id/search-badan-usaha-detail/SlJoK21PY1RadUc1Uksvc1FiNy9qUT09</t>
        </is>
      </c>
      <c r="F127" t="n">
        <v>1</v>
      </c>
      <c r="G127" t="inlineStr">
        <is>
          <t>PL002</t>
        </is>
      </c>
      <c r="H127" t="inlineStr">
        <is>
          <t>6 November 1991</t>
        </is>
      </c>
      <c r="I127" s="2" t="n">
        <v>46314</v>
      </c>
      <c r="J127" t="inlineStr">
        <is>
          <t>Disetujui</t>
        </is>
      </c>
      <c r="K127" t="n">
        <v>90</v>
      </c>
      <c r="L127" t="inlineStr">
        <is>
          <t>19 Oktober 2026</t>
        </is>
      </c>
      <c r="M127" t="inlineStr">
        <is>
          <t>Pengerukan</t>
        </is>
      </c>
      <c r="N127" t="inlineStr">
        <is>
          <t>Spesialis</t>
        </is>
      </c>
      <c r="O127" t="inlineStr">
        <is>
          <t>20231019</t>
        </is>
      </c>
      <c r="P127" t="inlineStr">
        <is>
          <t>DKI Jakarta</t>
        </is>
      </c>
      <c r="Q127" t="inlineStr"/>
    </row>
    <row r="128">
      <c r="A128" t="inlineStr">
        <is>
          <t>PILAR KENCANA TAMA</t>
        </is>
      </c>
      <c r="B128" t="inlineStr">
        <is>
          <t>Kota Adm. Jakarta Selatan</t>
        </is>
      </c>
      <c r="C128" t="inlineStr">
        <is>
          <t>02129607362</t>
        </is>
      </c>
      <c r="D128" t="inlineStr">
        <is>
          <t>panduhardoko@yahoo.com</t>
        </is>
      </c>
      <c r="E128" t="inlineStr">
        <is>
          <t>https://lpjk.pu.go.id/search-badan-usaha-detail/cXVkMDRkZ0FFYmM4dkNyOGFaNGdBZz09</t>
        </is>
      </c>
      <c r="F128" t="n">
        <v>1</v>
      </c>
      <c r="G128" t="inlineStr">
        <is>
          <t>BG003</t>
        </is>
      </c>
      <c r="H128" t="inlineStr">
        <is>
          <t>7 Juni 2016</t>
        </is>
      </c>
      <c r="I128" s="2" t="n">
        <v>46314</v>
      </c>
      <c r="J128" t="inlineStr">
        <is>
          <t>Disetujui</t>
        </is>
      </c>
      <c r="K128" t="n">
        <v>90</v>
      </c>
      <c r="L128" t="inlineStr">
        <is>
          <t>19 Oktober 2026</t>
        </is>
      </c>
      <c r="M128" t="inlineStr">
        <is>
          <t>Konstruksi Gedung Industri</t>
        </is>
      </c>
      <c r="N128" t="inlineStr">
        <is>
          <t>K</t>
        </is>
      </c>
      <c r="O128" t="inlineStr">
        <is>
          <t>20231020</t>
        </is>
      </c>
      <c r="P128" t="inlineStr">
        <is>
          <t>DKI Jakarta</t>
        </is>
      </c>
      <c r="Q128" t="inlineStr"/>
    </row>
    <row r="129">
      <c r="A129" t="inlineStr">
        <is>
          <t>PRATAMA KARYA MANDIRI</t>
        </is>
      </c>
      <c r="B129" t="inlineStr">
        <is>
          <t>Kota Mataram</t>
        </is>
      </c>
      <c r="C129" t="inlineStr">
        <is>
          <t>087865008933</t>
        </is>
      </c>
      <c r="D129" t="inlineStr">
        <is>
          <t>pratamakaryamandiri82@gmail.com</t>
        </is>
      </c>
      <c r="E129" t="inlineStr">
        <is>
          <t>https://lpjk.pu.go.id/search-badan-usaha-detail/L256c2NKdVhxMDhqUE5PdkV3dWhOUT09</t>
        </is>
      </c>
      <c r="F129" t="n">
        <v>1</v>
      </c>
      <c r="G129" t="inlineStr">
        <is>
          <t>BG006</t>
        </is>
      </c>
      <c r="H129" t="inlineStr">
        <is>
          <t>29 Januari 2016</t>
        </is>
      </c>
      <c r="I129" s="2" t="n">
        <v>46314</v>
      </c>
      <c r="J129" t="inlineStr">
        <is>
          <t>Disetujui</t>
        </is>
      </c>
      <c r="K129" t="n">
        <v>90</v>
      </c>
      <c r="L129" t="inlineStr">
        <is>
          <t>19 Oktober 2026</t>
        </is>
      </c>
      <c r="M129" t="inlineStr">
        <is>
          <t>Konstruksi Gedung Pendidikan</t>
        </is>
      </c>
      <c r="N129" t="inlineStr">
        <is>
          <t>K</t>
        </is>
      </c>
      <c r="O129" t="inlineStr">
        <is>
          <t>20231017</t>
        </is>
      </c>
      <c r="P129" t="inlineStr">
        <is>
          <t>Nusa Tenggara Barat</t>
        </is>
      </c>
      <c r="Q129" t="inlineStr"/>
    </row>
    <row r="130">
      <c r="A130" t="inlineStr">
        <is>
          <t>PRIMA KARYA KONTRUKSI</t>
        </is>
      </c>
      <c r="B130" t="inlineStr">
        <is>
          <t>Kab. Solok</t>
        </is>
      </c>
      <c r="C130" t="inlineStr">
        <is>
          <t>82169616410</t>
        </is>
      </c>
      <c r="D130" t="inlineStr">
        <is>
          <t>kontruksiprimakarya5@gmail.com</t>
        </is>
      </c>
      <c r="E130" t="inlineStr">
        <is>
          <t>https://lpjk.pu.go.id/search-badan-usaha-detail/dFVzZVU1TVFTZXB4NFJKRk8wUHNKdz09</t>
        </is>
      </c>
      <c r="F130" t="n">
        <v>1</v>
      </c>
      <c r="G130" t="inlineStr">
        <is>
          <t>BG004</t>
        </is>
      </c>
      <c r="H130" t="inlineStr">
        <is>
          <t>19 Januari 2023</t>
        </is>
      </c>
      <c r="I130" s="2" t="n">
        <v>46314</v>
      </c>
      <c r="J130" t="inlineStr">
        <is>
          <t>Disetujui</t>
        </is>
      </c>
      <c r="K130" t="n">
        <v>90</v>
      </c>
      <c r="L130" t="inlineStr">
        <is>
          <t>19 Oktober 2026</t>
        </is>
      </c>
      <c r="M130" t="inlineStr">
        <is>
          <t>Konstruksi Gedung Perbelanjaan</t>
        </is>
      </c>
      <c r="N130" t="inlineStr">
        <is>
          <t>K</t>
        </is>
      </c>
      <c r="O130" t="inlineStr">
        <is>
          <t>20231017</t>
        </is>
      </c>
      <c r="P130" t="inlineStr">
        <is>
          <t>Sumatera Barat</t>
        </is>
      </c>
      <c r="Q130" t="inlineStr"/>
    </row>
    <row r="131">
      <c r="A131" t="inlineStr">
        <is>
          <t>PULAU AIR CEMERLANG</t>
        </is>
      </c>
      <c r="B131" t="inlineStr">
        <is>
          <t>Kota Padang</t>
        </is>
      </c>
      <c r="C131" t="inlineStr">
        <is>
          <t>08116604040</t>
        </is>
      </c>
      <c r="D131" t="inlineStr">
        <is>
          <t>pt.pulauaircemerlang@gmail.com</t>
        </is>
      </c>
      <c r="E131" t="inlineStr">
        <is>
          <t>https://lpjk.pu.go.id/search-badan-usaha-detail/ZDluaGpVOU1WSy9YV2ZZdXdUUEdhdz09</t>
        </is>
      </c>
      <c r="F131" t="n">
        <v>1</v>
      </c>
      <c r="G131" t="inlineStr">
        <is>
          <t>BG006</t>
        </is>
      </c>
      <c r="H131" t="inlineStr">
        <is>
          <t>5 Juni 1997</t>
        </is>
      </c>
      <c r="I131" s="2" t="n">
        <v>46314</v>
      </c>
      <c r="J131" t="inlineStr">
        <is>
          <t>Disetujui</t>
        </is>
      </c>
      <c r="K131" t="n">
        <v>90</v>
      </c>
      <c r="L131" t="inlineStr">
        <is>
          <t>19 Oktober 2026</t>
        </is>
      </c>
      <c r="M131" t="inlineStr">
        <is>
          <t>Konstruksi Gedung Pendidikan</t>
        </is>
      </c>
      <c r="N131" t="inlineStr">
        <is>
          <t>M</t>
        </is>
      </c>
      <c r="O131" t="inlineStr">
        <is>
          <t>20231019</t>
        </is>
      </c>
      <c r="P131" t="inlineStr">
        <is>
          <t>Sumatera Barat</t>
        </is>
      </c>
      <c r="Q131" t="inlineStr"/>
    </row>
    <row r="132">
      <c r="A132" t="inlineStr">
        <is>
          <t>PURNAMA ALAM</t>
        </is>
      </c>
      <c r="B132" t="inlineStr">
        <is>
          <t>Kab. Pangandaran</t>
        </is>
      </c>
      <c r="C132" t="inlineStr">
        <is>
          <t>081223759382</t>
        </is>
      </c>
      <c r="D132" t="inlineStr">
        <is>
          <t>cvpurnamaalam74@gmail.com</t>
        </is>
      </c>
      <c r="E132" t="inlineStr">
        <is>
          <t>https://lpjk.pu.go.id/search-badan-usaha-detail/V2NTWjVFTXlKcWFhYlJQUEJrbEMwQT09</t>
        </is>
      </c>
      <c r="F132" t="n">
        <v>2</v>
      </c>
      <c r="G132" t="inlineStr">
        <is>
          <t>BG006</t>
        </is>
      </c>
      <c r="H132" t="inlineStr">
        <is>
          <t>23 Juli 2010</t>
        </is>
      </c>
      <c r="I132" s="2" t="n">
        <v>46314</v>
      </c>
      <c r="J132" t="inlineStr">
        <is>
          <t>Disetujui</t>
        </is>
      </c>
      <c r="K132" t="n">
        <v>90</v>
      </c>
      <c r="L132" t="inlineStr">
        <is>
          <t>19 Oktober 2026</t>
        </is>
      </c>
      <c r="M132" t="inlineStr">
        <is>
          <t>Konstruksi Gedung Pendidikan</t>
        </is>
      </c>
      <c r="N132" t="inlineStr">
        <is>
          <t>K</t>
        </is>
      </c>
      <c r="O132" t="inlineStr">
        <is>
          <t>20231019</t>
        </is>
      </c>
      <c r="P132" t="inlineStr">
        <is>
          <t>Jawa Barat</t>
        </is>
      </c>
      <c r="Q132" t="inlineStr"/>
    </row>
    <row r="133">
      <c r="A133" t="inlineStr">
        <is>
          <t>PUSAT KOPERASI PEGAWAI REPUBLIK INDONESIA</t>
        </is>
      </c>
      <c r="B133" t="inlineStr">
        <is>
          <t>Kab. Trenggalek</t>
        </is>
      </c>
      <c r="C133" t="inlineStr">
        <is>
          <t>081336686629</t>
        </is>
      </c>
      <c r="D133" t="inlineStr">
        <is>
          <t>cvpkpri@gmail.com</t>
        </is>
      </c>
      <c r="E133" t="inlineStr">
        <is>
          <t>https://lpjk.pu.go.id/search-badan-usaha-detail/UU1LWktiM25IRy9yWGJ2aDUyckpKUT09</t>
        </is>
      </c>
      <c r="F133" t="n">
        <v>3</v>
      </c>
      <c r="G133" t="inlineStr">
        <is>
          <t>BG004, BG006, BG009</t>
        </is>
      </c>
      <c r="H133" t="inlineStr">
        <is>
          <t>16 Juli 1996</t>
        </is>
      </c>
      <c r="I133" s="2" t="n">
        <v>46314</v>
      </c>
      <c r="J133" t="inlineStr">
        <is>
          <t>Disetujui</t>
        </is>
      </c>
      <c r="K133" t="n">
        <v>90</v>
      </c>
      <c r="L133" t="inlineStr">
        <is>
          <t>19 Oktober 2026</t>
        </is>
      </c>
      <c r="M133" t="inlineStr">
        <is>
          <t>Konstruksi Gedung Lainnya, Konstruksi Gedung Pendidikan, Konstruksi Gedung Perbelanjaan</t>
        </is>
      </c>
      <c r="N133" t="inlineStr">
        <is>
          <t>K</t>
        </is>
      </c>
      <c r="O133" t="inlineStr">
        <is>
          <t>20231018</t>
        </is>
      </c>
      <c r="P133" t="inlineStr">
        <is>
          <t>Jawa Timur</t>
        </is>
      </c>
      <c r="Q133" t="inlineStr"/>
    </row>
    <row r="134">
      <c r="A134" t="inlineStr">
        <is>
          <t>PUTRA DIWA ADYATAMA</t>
        </is>
      </c>
      <c r="B134" t="inlineStr">
        <is>
          <t>Kota Tangerang Selatan</t>
        </is>
      </c>
      <c r="C134" t="inlineStr">
        <is>
          <t>081322223421</t>
        </is>
      </c>
      <c r="D134" t="inlineStr">
        <is>
          <t>pd.adyatama@gmail.com</t>
        </is>
      </c>
      <c r="E134" t="inlineStr">
        <is>
          <t>https://lpjk.pu.go.id/search-badan-usaha-detail/M01oMzFQcStqa1FKSURmV3BGTEhRZz09</t>
        </is>
      </c>
      <c r="F134" t="n">
        <v>4</v>
      </c>
      <c r="G134" t="inlineStr">
        <is>
          <t>BG006, BG009, BS004, BS010</t>
        </is>
      </c>
      <c r="H134" t="inlineStr">
        <is>
          <t>27 Januari 2016</t>
        </is>
      </c>
      <c r="I134" s="2" t="n">
        <v>46314</v>
      </c>
      <c r="J134" t="inlineStr">
        <is>
          <t>Disetujui</t>
        </is>
      </c>
      <c r="K134" t="n">
        <v>90</v>
      </c>
      <c r="L134" t="inlineStr">
        <is>
          <t>19 Oktober 2026</t>
        </is>
      </c>
      <c r="M134" t="inlineStr">
        <is>
          <t>Konstruksi Bangunan Prasarana Sumber Daya Air, Konstruksi Gedung Lainnya, Konstruksi Gedung Pendidikan, Konstruksi Jaringan Irigasi dan Drainase</t>
        </is>
      </c>
      <c r="N134" t="inlineStr">
        <is>
          <t>K</t>
        </is>
      </c>
      <c r="O134" t="inlineStr">
        <is>
          <t>20231005, 20231007</t>
        </is>
      </c>
      <c r="P134" t="inlineStr">
        <is>
          <t>Banten</t>
        </is>
      </c>
      <c r="Q134" t="inlineStr"/>
    </row>
    <row r="135">
      <c r="A135" t="inlineStr">
        <is>
          <t>PUTRA MANDIRI</t>
        </is>
      </c>
      <c r="B135" t="inlineStr">
        <is>
          <t>Kota Ambon</t>
        </is>
      </c>
      <c r="C135" t="inlineStr">
        <is>
          <t>082237750211</t>
        </is>
      </c>
      <c r="D135" t="inlineStr">
        <is>
          <t>putramandiricv.ambon@gmail.com</t>
        </is>
      </c>
      <c r="E135" t="inlineStr">
        <is>
          <t>https://lpjk.pu.go.id/search-badan-usaha-detail/OCtCNlo0RTFDZGZxZXdZaTFkOEZudz09</t>
        </is>
      </c>
      <c r="F135" t="n">
        <v>2</v>
      </c>
      <c r="G135" t="inlineStr">
        <is>
          <t>BS002, BS004</t>
        </is>
      </c>
      <c r="H135" t="inlineStr">
        <is>
          <t>24 April 1998</t>
        </is>
      </c>
      <c r="I135" s="2" t="n">
        <v>46314</v>
      </c>
      <c r="J135" t="inlineStr">
        <is>
          <t>Disetujui</t>
        </is>
      </c>
      <c r="K135" t="n">
        <v>90</v>
      </c>
      <c r="L135" t="inlineStr">
        <is>
          <t>19 Oktober 2026</t>
        </is>
      </c>
      <c r="M135" t="inlineStr">
        <is>
          <t>Bangunan Sipil Jembatan, Jalan Layang, Fly Over, dan Underpass, Konstruksi Jaringan Irigasi dan Drainase</t>
        </is>
      </c>
      <c r="N135" t="inlineStr">
        <is>
          <t>K</t>
        </is>
      </c>
      <c r="O135" t="inlineStr">
        <is>
          <t>20231013</t>
        </is>
      </c>
      <c r="P135" t="inlineStr">
        <is>
          <t>Maluku</t>
        </is>
      </c>
      <c r="Q135" t="inlineStr"/>
    </row>
    <row r="136">
      <c r="A136" t="inlineStr">
        <is>
          <t>PUTRA MITRA UTAMA</t>
        </is>
      </c>
      <c r="B136" t="inlineStr">
        <is>
          <t>Kab. Bojonegoro</t>
        </is>
      </c>
      <c r="C136" t="inlineStr">
        <is>
          <t>085735548767</t>
        </is>
      </c>
      <c r="D136" t="inlineStr">
        <is>
          <t>sita_pmu@yahoo.com</t>
        </is>
      </c>
      <c r="E136" t="inlineStr">
        <is>
          <t>https://lpjk.pu.go.id/search-badan-usaha-detail/VXFmQWtBSnNqeWIyNDRieVF3WEp0QT09</t>
        </is>
      </c>
      <c r="F136" t="n">
        <v>1</v>
      </c>
      <c r="G136" t="inlineStr">
        <is>
          <t>BS001</t>
        </is>
      </c>
      <c r="H136" t="inlineStr">
        <is>
          <t>21 November 2002</t>
        </is>
      </c>
      <c r="I136" s="2" t="n">
        <v>46314</v>
      </c>
      <c r="J136" t="inlineStr">
        <is>
          <t>Disetujui</t>
        </is>
      </c>
      <c r="K136" t="n">
        <v>90</v>
      </c>
      <c r="L136" t="inlineStr">
        <is>
          <t>19 Oktober 2026</t>
        </is>
      </c>
      <c r="M136" t="inlineStr">
        <is>
          <t>Konstruksi Bangunan Sipil Jalan</t>
        </is>
      </c>
      <c r="N136" t="inlineStr">
        <is>
          <t>K</t>
        </is>
      </c>
      <c r="O136" t="inlineStr">
        <is>
          <t>20230504</t>
        </is>
      </c>
      <c r="P136" t="inlineStr">
        <is>
          <t>Jawa Timur</t>
        </is>
      </c>
      <c r="Q136" t="inlineStr"/>
    </row>
    <row r="137">
      <c r="A137" t="inlineStr">
        <is>
          <t>PUTRA MULIA TELECOMMUNICATION</t>
        </is>
      </c>
      <c r="B137" t="inlineStr">
        <is>
          <t>Kota Adm. Jakarta Selatan</t>
        </is>
      </c>
      <c r="C137" t="inlineStr">
        <is>
          <t>0851320478372</t>
        </is>
      </c>
      <c r="D137" t="inlineStr">
        <is>
          <t>hendry.syahrial@pmt.co.id</t>
        </is>
      </c>
      <c r="E137" t="inlineStr">
        <is>
          <t>https://lpjk.pu.go.id/search-badan-usaha-detail/YzMvbjNHdTVOK3lmTjJ5RnpTcmJPQT09</t>
        </is>
      </c>
      <c r="F137" t="n">
        <v>1</v>
      </c>
      <c r="G137" t="inlineStr">
        <is>
          <t>BS009</t>
        </is>
      </c>
      <c r="H137" t="inlineStr">
        <is>
          <t>25 Maret 2022</t>
        </is>
      </c>
      <c r="I137" s="2" t="n">
        <v>46314</v>
      </c>
      <c r="J137" t="inlineStr">
        <is>
          <t>Disetujui</t>
        </is>
      </c>
      <c r="K137" t="n">
        <v>90</v>
      </c>
      <c r="L137" t="inlineStr">
        <is>
          <t>19 Oktober 2026</t>
        </is>
      </c>
      <c r="M137" t="inlineStr">
        <is>
          <t>Konstruksi Sentral Telekomunikasi</t>
        </is>
      </c>
      <c r="N137" t="inlineStr">
        <is>
          <t>B</t>
        </is>
      </c>
      <c r="O137" t="inlineStr">
        <is>
          <t>20231017</t>
        </is>
      </c>
      <c r="P137" t="inlineStr">
        <is>
          <t>DKI Jakarta</t>
        </is>
      </c>
      <c r="Q137" t="inlineStr"/>
    </row>
    <row r="138">
      <c r="A138" t="inlineStr">
        <is>
          <t>RANTEPAO MITRA PERKASA</t>
        </is>
      </c>
      <c r="B138" t="inlineStr">
        <is>
          <t>Kota Gorontalo</t>
        </is>
      </c>
      <c r="C138" t="inlineStr">
        <is>
          <t>085340890007</t>
        </is>
      </c>
      <c r="D138" t="inlineStr">
        <is>
          <t>mirinmitraperkasa@gmail.com</t>
        </is>
      </c>
      <c r="E138" t="inlineStr">
        <is>
          <t>https://lpjk.pu.go.id/search-badan-usaha-detail/b3IrUHRXM25OZTQ0YnN5YldmZ2M4Zz09</t>
        </is>
      </c>
      <c r="F138" t="n">
        <v>1</v>
      </c>
      <c r="G138" t="inlineStr">
        <is>
          <t>BS001</t>
        </is>
      </c>
      <c r="H138" t="inlineStr">
        <is>
          <t>19 Oktober 2015</t>
        </is>
      </c>
      <c r="I138" s="2" t="n">
        <v>46314</v>
      </c>
      <c r="J138" t="inlineStr">
        <is>
          <t>Pencabutan</t>
        </is>
      </c>
      <c r="K138" t="n">
        <v>90</v>
      </c>
      <c r="L138" t="inlineStr">
        <is>
          <t>19 Oktober 2026</t>
        </is>
      </c>
      <c r="M138" t="inlineStr">
        <is>
          <t>Konstruksi Bangunan Sipil Jalan</t>
        </is>
      </c>
      <c r="N138" t="inlineStr">
        <is>
          <t>K</t>
        </is>
      </c>
      <c r="O138" t="inlineStr">
        <is>
          <t>20231019</t>
        </is>
      </c>
      <c r="P138" t="inlineStr">
        <is>
          <t>Gorontalo</t>
        </is>
      </c>
      <c r="Q138" t="inlineStr"/>
    </row>
    <row r="139">
      <c r="A139" t="inlineStr">
        <is>
          <t>RATU JAYA</t>
        </is>
      </c>
      <c r="B139" t="inlineStr">
        <is>
          <t>Kab. Purwakarta</t>
        </is>
      </c>
      <c r="C139" t="inlineStr">
        <is>
          <t>081909304465</t>
        </is>
      </c>
      <c r="D139" t="inlineStr">
        <is>
          <t>cv_ratujaya@yahoo.com</t>
        </is>
      </c>
      <c r="E139" t="inlineStr">
        <is>
          <t>https://lpjk.pu.go.id/search-badan-usaha-detail/bElVVkM2SlFjako4YUtyTUhuZmtqdz09</t>
        </is>
      </c>
      <c r="F139" t="n">
        <v>1</v>
      </c>
      <c r="G139" t="inlineStr">
        <is>
          <t>BS001</t>
        </is>
      </c>
      <c r="H139" t="inlineStr">
        <is>
          <t>7 Desember 2011</t>
        </is>
      </c>
      <c r="I139" s="2" t="n">
        <v>46314</v>
      </c>
      <c r="J139" t="inlineStr">
        <is>
          <t>Disetujui</t>
        </is>
      </c>
      <c r="K139" t="n">
        <v>90</v>
      </c>
      <c r="L139" t="inlineStr">
        <is>
          <t>19 Oktober 2026</t>
        </is>
      </c>
      <c r="M139" t="inlineStr">
        <is>
          <t>Konstruksi Bangunan Sipil Jalan</t>
        </is>
      </c>
      <c r="N139" t="inlineStr">
        <is>
          <t>K</t>
        </is>
      </c>
      <c r="O139" t="inlineStr">
        <is>
          <t>20231004</t>
        </is>
      </c>
      <c r="P139" t="inlineStr">
        <is>
          <t>Jawa Barat</t>
        </is>
      </c>
      <c r="Q139" t="inlineStr"/>
    </row>
    <row r="140">
      <c r="A140" t="inlineStr">
        <is>
          <t>REKADAYA TEKNIK MANDIRI</t>
        </is>
      </c>
      <c r="B140" t="inlineStr">
        <is>
          <t>Kota Bandung</t>
        </is>
      </c>
      <c r="C140" t="inlineStr">
        <is>
          <t>08118155566</t>
        </is>
      </c>
      <c r="D140" t="inlineStr">
        <is>
          <t>pt.rekadayateknikmandiri@gmail.com</t>
        </is>
      </c>
      <c r="E140" t="inlineStr">
        <is>
          <t>https://lpjk.pu.go.id/search-badan-usaha-detail/MjFITGxkQlc2RXJIUGhRZjJCenI3dz09</t>
        </is>
      </c>
      <c r="F140" t="n">
        <v>2</v>
      </c>
      <c r="G140" t="inlineStr">
        <is>
          <t>BS005</t>
        </is>
      </c>
      <c r="H140" t="inlineStr">
        <is>
          <t>15 November 2021</t>
        </is>
      </c>
      <c r="I140" s="2" t="n">
        <v>46314</v>
      </c>
      <c r="J140" t="inlineStr">
        <is>
          <t>Disetujui</t>
        </is>
      </c>
      <c r="K140" t="n">
        <v>90</v>
      </c>
      <c r="L140" t="inlineStr">
        <is>
          <t>19 Oktober 2026</t>
        </is>
      </c>
      <c r="M140" t="inlineStr">
        <is>
          <t>Konstruksi Bangunan Sipil Pengolahan Air Bersih</t>
        </is>
      </c>
      <c r="N140" t="inlineStr">
        <is>
          <t>K</t>
        </is>
      </c>
      <c r="O140" t="inlineStr">
        <is>
          <t>20231009</t>
        </is>
      </c>
      <c r="P140" t="inlineStr">
        <is>
          <t>Jawa Barat</t>
        </is>
      </c>
      <c r="Q140" t="inlineStr"/>
    </row>
    <row r="141">
      <c r="A141" t="inlineStr">
        <is>
          <t>SAKANEERING</t>
        </is>
      </c>
      <c r="B141" t="inlineStr">
        <is>
          <t>Kota Makassar</t>
        </is>
      </c>
      <c r="C141" t="inlineStr">
        <is>
          <t>08114604278</t>
        </is>
      </c>
      <c r="D141" t="inlineStr">
        <is>
          <t>sakaneering48@gmail.com</t>
        </is>
      </c>
      <c r="E141" t="inlineStr">
        <is>
          <t>https://lpjk.pu.go.id/search-badan-usaha-detail/TFhoYVoyTTJFYUNVWFJYR2M2bUxRUT09</t>
        </is>
      </c>
      <c r="F141" t="n">
        <v>1</v>
      </c>
      <c r="G141" t="inlineStr">
        <is>
          <t>BG006</t>
        </is>
      </c>
      <c r="H141" t="inlineStr">
        <is>
          <t>14 Juni 2019</t>
        </is>
      </c>
      <c r="I141" s="2" t="n">
        <v>46314</v>
      </c>
      <c r="J141" t="inlineStr">
        <is>
          <t>Disetujui</t>
        </is>
      </c>
      <c r="K141" t="n">
        <v>90</v>
      </c>
      <c r="L141" t="inlineStr">
        <is>
          <t>19 Oktober 2026</t>
        </is>
      </c>
      <c r="M141" t="inlineStr">
        <is>
          <t>Konstruksi Gedung Pendidikan</t>
        </is>
      </c>
      <c r="N141" t="inlineStr">
        <is>
          <t>K</t>
        </is>
      </c>
      <c r="O141" t="inlineStr">
        <is>
          <t>20230519</t>
        </is>
      </c>
      <c r="P141" t="inlineStr">
        <is>
          <t>Sulawesi Selatan</t>
        </is>
      </c>
      <c r="Q141" t="inlineStr"/>
    </row>
    <row r="142">
      <c r="A142" t="inlineStr">
        <is>
          <t>SAMAH SURYA GEMILANG</t>
        </is>
      </c>
      <c r="B142" t="inlineStr">
        <is>
          <t>Kota Jayapura</t>
        </is>
      </c>
      <c r="C142" t="inlineStr">
        <is>
          <t>-</t>
        </is>
      </c>
      <c r="D142" t="inlineStr">
        <is>
          <t>samahsuryagemilang@gmail.com</t>
        </is>
      </c>
      <c r="E142" t="inlineStr">
        <is>
          <t>https://lpjk.pu.go.id/search-badan-usaha-detail/a2NERGNtMWJVUS9VYWs4dWxBRnpDZz09</t>
        </is>
      </c>
      <c r="F142" t="n">
        <v>2</v>
      </c>
      <c r="G142" t="inlineStr">
        <is>
          <t>BG006, BG009</t>
        </is>
      </c>
      <c r="H142" t="inlineStr">
        <is>
          <t>21 September 2023</t>
        </is>
      </c>
      <c r="I142" s="2" t="n">
        <v>46314</v>
      </c>
      <c r="J142" t="inlineStr">
        <is>
          <t>Disetujui</t>
        </is>
      </c>
      <c r="K142" t="n">
        <v>90</v>
      </c>
      <c r="L142" t="inlineStr">
        <is>
          <t>19 Oktober 2026</t>
        </is>
      </c>
      <c r="M142" t="inlineStr">
        <is>
          <t>Konstruksi Gedung Lainnya, Konstruksi Gedung Pendidikan</t>
        </is>
      </c>
      <c r="N142" t="inlineStr">
        <is>
          <t>K</t>
        </is>
      </c>
      <c r="O142" t="inlineStr">
        <is>
          <t>20231020</t>
        </is>
      </c>
      <c r="P142" t="inlineStr">
        <is>
          <t>Papua</t>
        </is>
      </c>
      <c r="Q142" t="inlineStr"/>
    </row>
    <row r="143">
      <c r="A143" t="inlineStr">
        <is>
          <t>SAUDARA MANUNGGAL ABADI</t>
        </is>
      </c>
      <c r="B143" t="inlineStr">
        <is>
          <t>Kab. Semarang</t>
        </is>
      </c>
      <c r="C143" t="inlineStr">
        <is>
          <t>082136086313</t>
        </is>
      </c>
      <c r="D143" t="inlineStr">
        <is>
          <t>kriswiyanto@ymail.com</t>
        </is>
      </c>
      <c r="E143" t="inlineStr">
        <is>
          <t>https://lpjk.pu.go.id/search-badan-usaha-detail/NVZNL3J4NkhIcG1sZlpUT1o2Qk9Zdz09</t>
        </is>
      </c>
      <c r="F143" t="n">
        <v>4</v>
      </c>
      <c r="G143" t="inlineStr">
        <is>
          <t>BG006, BG009, BS001, BS004</t>
        </is>
      </c>
      <c r="H143" t="inlineStr">
        <is>
          <t>28 Maret 2018</t>
        </is>
      </c>
      <c r="I143" s="2" t="n">
        <v>46314</v>
      </c>
      <c r="J143" t="inlineStr">
        <is>
          <t>Disetujui</t>
        </is>
      </c>
      <c r="K143" t="n">
        <v>90</v>
      </c>
      <c r="L143" t="inlineStr">
        <is>
          <t>19 Oktober 2026</t>
        </is>
      </c>
      <c r="M143" t="inlineStr">
        <is>
          <t>Konstruksi Bangunan Sipil Jalan, Konstruksi Gedung Lainnya, Konstruksi Gedung Pendidikan, Konstruksi Jaringan Irigasi dan Drainase</t>
        </is>
      </c>
      <c r="N143" t="inlineStr">
        <is>
          <t>K</t>
        </is>
      </c>
      <c r="O143" t="inlineStr">
        <is>
          <t>20231011, 20231017</t>
        </is>
      </c>
      <c r="P143" t="inlineStr">
        <is>
          <t>Jawa Tengah</t>
        </is>
      </c>
      <c r="Q143" t="inlineStr"/>
    </row>
    <row r="144">
      <c r="A144" t="inlineStr">
        <is>
          <t>SEJAHTERA</t>
        </is>
      </c>
      <c r="B144" t="inlineStr">
        <is>
          <t>Kota Bandung</t>
        </is>
      </c>
      <c r="C144" t="inlineStr">
        <is>
          <t>081220966663</t>
        </is>
      </c>
      <c r="D144" t="inlineStr">
        <is>
          <t>ccvsejatera@gmail.com</t>
        </is>
      </c>
      <c r="E144" t="inlineStr">
        <is>
          <t>https://lpjk.pu.go.id/search-badan-usaha-detail/QU1HVWVFZjRVblJtMjVwQkR6eW95dz09</t>
        </is>
      </c>
      <c r="F144" t="n">
        <v>2</v>
      </c>
      <c r="G144" t="inlineStr">
        <is>
          <t>BS001, BS004</t>
        </is>
      </c>
      <c r="H144" t="inlineStr">
        <is>
          <t>16 Juli 2012</t>
        </is>
      </c>
      <c r="I144" s="2" t="n">
        <v>46314</v>
      </c>
      <c r="J144" t="inlineStr">
        <is>
          <t>Disetujui</t>
        </is>
      </c>
      <c r="K144" t="n">
        <v>90</v>
      </c>
      <c r="L144" t="inlineStr">
        <is>
          <t>19 Oktober 2026</t>
        </is>
      </c>
      <c r="M144" t="inlineStr">
        <is>
          <t>Konstruksi Bangunan Sipil Jalan, Konstruksi Jaringan Irigasi dan Drainase</t>
        </is>
      </c>
      <c r="N144" t="inlineStr">
        <is>
          <t>K</t>
        </is>
      </c>
      <c r="O144" t="inlineStr">
        <is>
          <t>20231013, 20231018</t>
        </is>
      </c>
      <c r="P144" t="inlineStr">
        <is>
          <t>Jawa Barat</t>
        </is>
      </c>
      <c r="Q144" t="inlineStr"/>
    </row>
    <row r="145">
      <c r="A145" t="inlineStr">
        <is>
          <t>SEMERU ARGAPURA</t>
        </is>
      </c>
      <c r="B145" t="inlineStr">
        <is>
          <t>Kab. Lahat</t>
        </is>
      </c>
      <c r="C145" t="inlineStr">
        <is>
          <t>082186006347</t>
        </is>
      </c>
      <c r="D145" t="inlineStr">
        <is>
          <t>semeruargapura@gmail.com</t>
        </is>
      </c>
      <c r="E145" t="inlineStr">
        <is>
          <t>https://lpjk.pu.go.id/search-badan-usaha-detail/alNRbDIrbmRNSGRCQm4xZzBnc0lpUT09</t>
        </is>
      </c>
      <c r="F145" t="n">
        <v>2</v>
      </c>
      <c r="G145" t="inlineStr">
        <is>
          <t>BS001, BS004</t>
        </is>
      </c>
      <c r="H145" t="inlineStr">
        <is>
          <t>18 Mei 2021</t>
        </is>
      </c>
      <c r="I145" s="2" t="n">
        <v>46314</v>
      </c>
      <c r="J145" t="inlineStr">
        <is>
          <t>Disetujui</t>
        </is>
      </c>
      <c r="K145" t="n">
        <v>90</v>
      </c>
      <c r="L145" t="inlineStr">
        <is>
          <t>19 Oktober 2026</t>
        </is>
      </c>
      <c r="M145" t="inlineStr">
        <is>
          <t>Konstruksi Bangunan Sipil Jalan, Konstruksi Jaringan Irigasi dan Drainase</t>
        </is>
      </c>
      <c r="N145" t="inlineStr">
        <is>
          <t>K</t>
        </is>
      </c>
      <c r="O145" t="inlineStr">
        <is>
          <t>20231018</t>
        </is>
      </c>
      <c r="P145" t="inlineStr">
        <is>
          <t>Sumatera Selatan</t>
        </is>
      </c>
      <c r="Q145" t="inlineStr"/>
    </row>
    <row r="146">
      <c r="A146" t="inlineStr">
        <is>
          <t>SENDANGMULYO</t>
        </is>
      </c>
      <c r="B146" t="inlineStr">
        <is>
          <t>Kota Semarang</t>
        </is>
      </c>
      <c r="C146" t="inlineStr">
        <is>
          <t>082227132271</t>
        </is>
      </c>
      <c r="D146" t="inlineStr">
        <is>
          <t>cvsendangmulyo.smg@gmail.com</t>
        </is>
      </c>
      <c r="E146" t="inlineStr">
        <is>
          <t>https://lpjk.pu.go.id/search-badan-usaha-detail/NDhEbHd1T0pQbnppUER0TUJYTkg3UT09</t>
        </is>
      </c>
      <c r="F146" t="n">
        <v>1</v>
      </c>
      <c r="G146" t="inlineStr">
        <is>
          <t>BG005</t>
        </is>
      </c>
      <c r="H146" t="inlineStr">
        <is>
          <t>24 Juni 2020</t>
        </is>
      </c>
      <c r="I146" s="2" t="n">
        <v>46314</v>
      </c>
      <c r="J146" t="inlineStr">
        <is>
          <t>Disetujui</t>
        </is>
      </c>
      <c r="K146" t="n">
        <v>90</v>
      </c>
      <c r="L146" t="inlineStr">
        <is>
          <t>19 Oktober 2026</t>
        </is>
      </c>
      <c r="M146" t="inlineStr">
        <is>
          <t>Konstruksi Gedung Kesehatan</t>
        </is>
      </c>
      <c r="N146" t="inlineStr">
        <is>
          <t>K</t>
        </is>
      </c>
      <c r="O146" t="inlineStr">
        <is>
          <t>20231019</t>
        </is>
      </c>
      <c r="P146" t="inlineStr">
        <is>
          <t>Jawa Tengah</t>
        </is>
      </c>
      <c r="Q146" t="inlineStr"/>
    </row>
    <row r="147">
      <c r="A147" t="inlineStr">
        <is>
          <t>SENTOSA INDONESIA PERSADA</t>
        </is>
      </c>
      <c r="B147" t="inlineStr">
        <is>
          <t>Kota Kediri</t>
        </is>
      </c>
      <c r="C147" t="inlineStr">
        <is>
          <t>081234854929</t>
        </is>
      </c>
      <c r="D147" t="inlineStr">
        <is>
          <t>indonesiapersada.sentosa@gmail.com</t>
        </is>
      </c>
      <c r="E147" t="inlineStr">
        <is>
          <t>https://lpjk.pu.go.id/search-badan-usaha-detail/QXBjSzhnL240MXk1UTVicVRscDF5dz09</t>
        </is>
      </c>
      <c r="F147" t="n">
        <v>1</v>
      </c>
      <c r="G147" t="inlineStr">
        <is>
          <t>BG001</t>
        </is>
      </c>
      <c r="H147" t="inlineStr">
        <is>
          <t>16 Maret 2022</t>
        </is>
      </c>
      <c r="I147" s="2" t="n">
        <v>46314</v>
      </c>
      <c r="J147" t="inlineStr">
        <is>
          <t>Disetujui</t>
        </is>
      </c>
      <c r="K147" t="n">
        <v>90</v>
      </c>
      <c r="L147" t="inlineStr">
        <is>
          <t>19 Oktober 2026</t>
        </is>
      </c>
      <c r="M147" t="inlineStr">
        <is>
          <t>Konstruksi Gedung Hunian</t>
        </is>
      </c>
      <c r="N147" t="inlineStr">
        <is>
          <t>K</t>
        </is>
      </c>
      <c r="O147" t="inlineStr">
        <is>
          <t>20230823</t>
        </is>
      </c>
      <c r="P147" t="inlineStr">
        <is>
          <t>Jawa Timur</t>
        </is>
      </c>
      <c r="Q147" t="inlineStr"/>
    </row>
    <row r="148">
      <c r="A148" t="inlineStr">
        <is>
          <t>SHANGHAI BAOYE GROUP CORP., LTD</t>
        </is>
      </c>
      <c r="B148" t="inlineStr">
        <is>
          <t>Kota Adm. Jakarta Pusat</t>
        </is>
      </c>
      <c r="C148" t="inlineStr">
        <is>
          <t>081315335078</t>
        </is>
      </c>
      <c r="D148" t="inlineStr">
        <is>
          <t>shanghaibaoye49@gmail.com</t>
        </is>
      </c>
      <c r="E148" t="inlineStr">
        <is>
          <t>https://lpjk.pu.go.id/search-badan-usaha-detail/N0RCNnJGSDNEazR6WWNoQmp4UHd4QT09</t>
        </is>
      </c>
      <c r="F148" t="n">
        <v>1</v>
      </c>
      <c r="G148" t="inlineStr">
        <is>
          <t>IN003</t>
        </is>
      </c>
      <c r="H148" t="inlineStr">
        <is>
          <t>24 Juni 2022</t>
        </is>
      </c>
      <c r="I148" s="2" t="n">
        <v>46314</v>
      </c>
      <c r="J148" t="inlineStr">
        <is>
          <t>Pembekuan</t>
        </is>
      </c>
      <c r="K148" t="n">
        <v>90</v>
      </c>
      <c r="L148" t="inlineStr">
        <is>
          <t>19 Oktober 2026</t>
        </is>
      </c>
      <c r="M148" t="inlineStr">
        <is>
          <t>Instalasi Peralatan Infrastruktur Pertambangan dan Manufaktur</t>
        </is>
      </c>
      <c r="N148" t="inlineStr">
        <is>
          <t>Spesialis</t>
        </is>
      </c>
      <c r="O148" t="inlineStr">
        <is>
          <t>20231020</t>
        </is>
      </c>
      <c r="P148" t="inlineStr">
        <is>
          <t>DKI Jakarta</t>
        </is>
      </c>
      <c r="Q148" t="inlineStr"/>
    </row>
    <row r="149">
      <c r="A149" t="inlineStr">
        <is>
          <t>SHILIN CONSTRUCTION ASIA</t>
        </is>
      </c>
      <c r="B149" t="inlineStr">
        <is>
          <t>Kota Bandung</t>
        </is>
      </c>
      <c r="C149" t="inlineStr">
        <is>
          <t>08126771108</t>
        </is>
      </c>
      <c r="D149" t="inlineStr">
        <is>
          <t>shilincontructionasia@gmail.com</t>
        </is>
      </c>
      <c r="E149" t="inlineStr">
        <is>
          <t>https://lpjk.pu.go.id/search-badan-usaha-detail/Y3BuOEZpM0lMMHZTMmNoZGx0RDY5Zz09</t>
        </is>
      </c>
      <c r="F149" t="n">
        <v>1</v>
      </c>
      <c r="G149" t="inlineStr">
        <is>
          <t>PL003</t>
        </is>
      </c>
      <c r="H149" t="inlineStr">
        <is>
          <t>23 September 2019</t>
        </is>
      </c>
      <c r="I149" s="2" t="n">
        <v>46314</v>
      </c>
      <c r="J149" t="inlineStr">
        <is>
          <t>Pembekuan</t>
        </is>
      </c>
      <c r="K149" t="n">
        <v>90</v>
      </c>
      <c r="L149" t="inlineStr">
        <is>
          <t>19 Oktober 2026</t>
        </is>
      </c>
      <c r="M149" t="inlineStr">
        <is>
          <t>Penyiapan Lahan Konstruksi</t>
        </is>
      </c>
      <c r="N149" t="inlineStr">
        <is>
          <t>Spesialis</t>
        </is>
      </c>
      <c r="O149" t="inlineStr">
        <is>
          <t>20230827</t>
        </is>
      </c>
      <c r="P149" t="inlineStr">
        <is>
          <t>Jawa Barat</t>
        </is>
      </c>
      <c r="Q149" t="inlineStr"/>
    </row>
    <row r="150">
      <c r="A150" t="inlineStr">
        <is>
          <t>SIMACON</t>
        </is>
      </c>
      <c r="B150" t="inlineStr">
        <is>
          <t>Kab. Tangerang</t>
        </is>
      </c>
      <c r="C150" t="inlineStr">
        <is>
          <t>085966394518</t>
        </is>
      </c>
      <c r="D150" t="inlineStr">
        <is>
          <t>sismacon@yahoo.com</t>
        </is>
      </c>
      <c r="E150" t="inlineStr">
        <is>
          <t>https://lpjk.pu.go.id/search-badan-usaha-detail/RE5kZktkOU1ZekxCdjFCbDBvdGlWdz09</t>
        </is>
      </c>
      <c r="F150" t="n">
        <v>2</v>
      </c>
      <c r="G150" t="inlineStr">
        <is>
          <t>BS004, BS010</t>
        </is>
      </c>
      <c r="H150" t="inlineStr">
        <is>
          <t>5 Oktober 2017</t>
        </is>
      </c>
      <c r="I150" s="2" t="n">
        <v>46314</v>
      </c>
      <c r="J150" t="inlineStr">
        <is>
          <t>Disetujui</t>
        </is>
      </c>
      <c r="K150" t="n">
        <v>90</v>
      </c>
      <c r="L150" t="inlineStr">
        <is>
          <t>19 Oktober 2026</t>
        </is>
      </c>
      <c r="M150" t="inlineStr">
        <is>
          <t>Konstruksi Bangunan Prasarana Sumber Daya Air, Konstruksi Jaringan Irigasi dan Drainase</t>
        </is>
      </c>
      <c r="N150" t="inlineStr">
        <is>
          <t>K</t>
        </is>
      </c>
      <c r="O150" t="inlineStr">
        <is>
          <t>20231019</t>
        </is>
      </c>
      <c r="P150" t="inlineStr">
        <is>
          <t>Banten</t>
        </is>
      </c>
      <c r="Q150" t="inlineStr"/>
    </row>
    <row r="151">
      <c r="A151" t="inlineStr">
        <is>
          <t>SINAR ABADI</t>
        </is>
      </c>
      <c r="B151" t="inlineStr">
        <is>
          <t>Kab. Bulukumba</t>
        </is>
      </c>
      <c r="C151" t="inlineStr">
        <is>
          <t>0852 5460 2287</t>
        </is>
      </c>
      <c r="D151" t="inlineStr">
        <is>
          <t>SINARABADI.CV@YAHOO.COM</t>
        </is>
      </c>
      <c r="E151" t="inlineStr">
        <is>
          <t>https://lpjk.pu.go.id/search-badan-usaha-detail/ZkZ3d1BGYUdiWVZjTDR1Y2UxTDR2QT09</t>
        </is>
      </c>
      <c r="F151" t="n">
        <v>1</v>
      </c>
      <c r="G151" t="inlineStr">
        <is>
          <t>BS001</t>
        </is>
      </c>
      <c r="H151" t="inlineStr">
        <is>
          <t>9 Januari 2004</t>
        </is>
      </c>
      <c r="I151" s="2" t="n">
        <v>46314</v>
      </c>
      <c r="J151" t="inlineStr">
        <is>
          <t>Disetujui</t>
        </is>
      </c>
      <c r="K151" t="n">
        <v>90</v>
      </c>
      <c r="L151" t="inlineStr">
        <is>
          <t>19 Oktober 2026</t>
        </is>
      </c>
      <c r="M151" t="inlineStr">
        <is>
          <t>Konstruksi Bangunan Sipil Jalan</t>
        </is>
      </c>
      <c r="N151" t="inlineStr">
        <is>
          <t>K</t>
        </is>
      </c>
      <c r="O151" t="inlineStr">
        <is>
          <t>20231019</t>
        </is>
      </c>
      <c r="P151" t="inlineStr">
        <is>
          <t>Sulawesi Selatan</t>
        </is>
      </c>
      <c r="Q151" t="inlineStr"/>
    </row>
    <row r="152">
      <c r="A152" t="inlineStr">
        <is>
          <t>SINAR AKBAR UTAMA</t>
        </is>
      </c>
      <c r="B152" t="inlineStr">
        <is>
          <t>Kota Bengkulu</t>
        </is>
      </c>
      <c r="C152" t="inlineStr">
        <is>
          <t>085311455061</t>
        </is>
      </c>
      <c r="D152" t="inlineStr">
        <is>
          <t>cv.sinarakbarutama@gmail.com</t>
        </is>
      </c>
      <c r="E152" t="inlineStr">
        <is>
          <t>https://lpjk.pu.go.id/search-badan-usaha-detail/REdZem44S2Z1d2xjM0d1em55d2pnZz09</t>
        </is>
      </c>
      <c r="F152" t="n">
        <v>1</v>
      </c>
      <c r="G152" t="inlineStr">
        <is>
          <t>BS001</t>
        </is>
      </c>
      <c r="H152" t="inlineStr">
        <is>
          <t>7 Oktober 1991</t>
        </is>
      </c>
      <c r="I152" s="2" t="n">
        <v>46314</v>
      </c>
      <c r="J152" t="inlineStr">
        <is>
          <t>Disetujui</t>
        </is>
      </c>
      <c r="K152" t="n">
        <v>90</v>
      </c>
      <c r="L152" t="inlineStr">
        <is>
          <t>19 Oktober 2026</t>
        </is>
      </c>
      <c r="M152" t="inlineStr">
        <is>
          <t>Konstruksi Bangunan Sipil Jalan</t>
        </is>
      </c>
      <c r="N152" t="inlineStr">
        <is>
          <t>K</t>
        </is>
      </c>
      <c r="O152" t="inlineStr">
        <is>
          <t>20231016</t>
        </is>
      </c>
      <c r="P152" t="inlineStr">
        <is>
          <t>Bengkulu</t>
        </is>
      </c>
      <c r="Q152" t="inlineStr"/>
    </row>
    <row r="153">
      <c r="A153" t="inlineStr">
        <is>
          <t>SINAR PAPUA PRATAMA</t>
        </is>
      </c>
      <c r="B153" t="inlineStr">
        <is>
          <t>Kab. Teluk Bintuni</t>
        </is>
      </c>
      <c r="C153" t="inlineStr">
        <is>
          <t>081215643906</t>
        </is>
      </c>
      <c r="D153" t="inlineStr">
        <is>
          <t>cvsinarpapuapratama@gmail.com</t>
        </is>
      </c>
      <c r="E153" t="inlineStr">
        <is>
          <t>https://lpjk.pu.go.id/search-badan-usaha-detail/VkZtS0dLT2FsT2ZIbFM4UEs1cGhuUT09</t>
        </is>
      </c>
      <c r="F153" t="n">
        <v>4</v>
      </c>
      <c r="G153" t="inlineStr">
        <is>
          <t>BG001, BG005, BG006, BS001</t>
        </is>
      </c>
      <c r="H153" t="inlineStr">
        <is>
          <t>6 Oktober 2023</t>
        </is>
      </c>
      <c r="I153" s="2" t="n">
        <v>46314</v>
      </c>
      <c r="J153" t="inlineStr">
        <is>
          <t>Disetujui</t>
        </is>
      </c>
      <c r="K153" t="n">
        <v>90</v>
      </c>
      <c r="L153" t="inlineStr">
        <is>
          <t>19 Oktober 2026</t>
        </is>
      </c>
      <c r="M153" t="inlineStr">
        <is>
          <t>Konstruksi Bangunan Sipil Jalan, Konstruksi Gedung Hunian, Konstruksi Gedung Kesehatan, Konstruksi Gedung Pendidikan</t>
        </is>
      </c>
      <c r="N153" t="inlineStr">
        <is>
          <t>K</t>
        </is>
      </c>
      <c r="O153" t="inlineStr">
        <is>
          <t>20231017</t>
        </is>
      </c>
      <c r="P153" t="inlineStr">
        <is>
          <t>Papua Barat</t>
        </is>
      </c>
      <c r="Q153" t="inlineStr"/>
    </row>
    <row r="154">
      <c r="A154" t="inlineStr">
        <is>
          <t>SINAR TANI MAURO STAR</t>
        </is>
      </c>
      <c r="B154" t="inlineStr">
        <is>
          <t>Kab. Pegunungan Arfak</t>
        </is>
      </c>
      <c r="C154" t="inlineStr">
        <is>
          <t>082399128116</t>
        </is>
      </c>
      <c r="D154" t="inlineStr">
        <is>
          <t>cvsinartanimaurostar@gmail.com</t>
        </is>
      </c>
      <c r="E154" t="inlineStr">
        <is>
          <t>https://lpjk.pu.go.id/search-badan-usaha-detail/enhsYklsQVFpMWhpVzVDNjFOQ1U1dz09</t>
        </is>
      </c>
      <c r="F154" t="n">
        <v>1</v>
      </c>
      <c r="G154" t="inlineStr">
        <is>
          <t>BG001</t>
        </is>
      </c>
      <c r="H154" t="inlineStr">
        <is>
          <t>10 Oktober 2023</t>
        </is>
      </c>
      <c r="I154" s="2" t="n">
        <v>46314</v>
      </c>
      <c r="J154" t="inlineStr">
        <is>
          <t>Pencabutan</t>
        </is>
      </c>
      <c r="K154" t="n">
        <v>90</v>
      </c>
      <c r="L154" t="inlineStr">
        <is>
          <t>19 Oktober 2026</t>
        </is>
      </c>
      <c r="M154" t="inlineStr">
        <is>
          <t>Konstruksi Gedung Hunian</t>
        </is>
      </c>
      <c r="N154" t="inlineStr">
        <is>
          <t>K</t>
        </is>
      </c>
      <c r="O154" t="inlineStr">
        <is>
          <t>20231018</t>
        </is>
      </c>
      <c r="P154" t="inlineStr">
        <is>
          <t>Papua Barat</t>
        </is>
      </c>
      <c r="Q154" t="inlineStr"/>
    </row>
    <row r="155">
      <c r="A155" t="inlineStr">
        <is>
          <t>SRIKANDI</t>
        </is>
      </c>
      <c r="B155" t="inlineStr">
        <is>
          <t>Kota Bandung</t>
        </is>
      </c>
      <c r="C155" t="inlineStr">
        <is>
          <t>02287882555</t>
        </is>
      </c>
      <c r="D155" t="inlineStr">
        <is>
          <t>srikandi19.cv@yahoo.com</t>
        </is>
      </c>
      <c r="E155" t="inlineStr">
        <is>
          <t>https://lpjk.pu.go.id/search-badan-usaha-detail/bitianNuSmdFR2NOU0hhUFhIcTROQT09</t>
        </is>
      </c>
      <c r="F155" t="n">
        <v>4</v>
      </c>
      <c r="G155" t="inlineStr">
        <is>
          <t>AR001, RK001, RK002, RK003</t>
        </is>
      </c>
      <c r="H155" t="inlineStr">
        <is>
          <t>22 Maret 1976</t>
        </is>
      </c>
      <c r="I155" s="2" t="n">
        <v>46314</v>
      </c>
      <c r="J155" t="inlineStr">
        <is>
          <t>Disetujui, Pencabutan</t>
        </is>
      </c>
      <c r="K155" t="n">
        <v>90</v>
      </c>
      <c r="L155" t="inlineStr">
        <is>
          <t>19 Oktober 2026</t>
        </is>
      </c>
      <c r="M155" t="inlineStr">
        <is>
          <t>Jasa Arsitektural Bangunan Gedung Hunian dan Non Hunian, Jasa Rekayasa Konstruksi Bangunan Gedung Hunian dan Non Hunian, Jasa Rekayasa Pekerjaan Teknik Sipil Sumber Daya Air, Jasa Rekayasa Pekerjaan Teknik Sipil Transportasi</t>
        </is>
      </c>
      <c r="N155" t="inlineStr">
        <is>
          <t>K</t>
        </is>
      </c>
      <c r="O155" t="inlineStr">
        <is>
          <t>20231009</t>
        </is>
      </c>
      <c r="P155" t="inlineStr">
        <is>
          <t>Jawa Barat</t>
        </is>
      </c>
      <c r="Q155" t="inlineStr"/>
    </row>
    <row r="156">
      <c r="A156" t="inlineStr">
        <is>
          <t>SUGIH KENCANA</t>
        </is>
      </c>
      <c r="B156" t="inlineStr">
        <is>
          <t>Kab. Subang</t>
        </is>
      </c>
      <c r="C156" t="inlineStr">
        <is>
          <t>082120525520</t>
        </is>
      </c>
      <c r="D156" t="inlineStr">
        <is>
          <t>cv.sugihkencana@gmail.com</t>
        </is>
      </c>
      <c r="E156" t="inlineStr">
        <is>
          <t>https://lpjk.pu.go.id/search-badan-usaha-detail/ZDV2bmM0ZWFLWlc3cHdtTEtid01LQT09</t>
        </is>
      </c>
      <c r="F156" t="n">
        <v>2</v>
      </c>
      <c r="G156" t="inlineStr">
        <is>
          <t>BG002, BG005</t>
        </is>
      </c>
      <c r="H156" t="inlineStr">
        <is>
          <t>2 Februari 2022</t>
        </is>
      </c>
      <c r="I156" s="2" t="n">
        <v>46314</v>
      </c>
      <c r="J156" t="inlineStr">
        <is>
          <t>Disetujui</t>
        </is>
      </c>
      <c r="K156" t="n">
        <v>90</v>
      </c>
      <c r="L156" t="inlineStr">
        <is>
          <t>19 Oktober 2026</t>
        </is>
      </c>
      <c r="M156" t="inlineStr">
        <is>
          <t>Konstruksi Gedung Kesehatan, Konstruksi Gedung Perkantoran</t>
        </is>
      </c>
      <c r="N156" t="inlineStr">
        <is>
          <t>K</t>
        </is>
      </c>
      <c r="O156" t="inlineStr">
        <is>
          <t>20231019</t>
        </is>
      </c>
      <c r="P156" t="inlineStr">
        <is>
          <t>Jawa Barat</t>
        </is>
      </c>
      <c r="Q156" t="inlineStr"/>
    </row>
    <row r="157">
      <c r="A157" t="inlineStr">
        <is>
          <t>SURYA ADHI DAYA</t>
        </is>
      </c>
      <c r="B157" t="inlineStr">
        <is>
          <t>Kota Surabaya</t>
        </is>
      </c>
      <c r="C157" t="inlineStr">
        <is>
          <t>081233433466</t>
        </is>
      </c>
      <c r="D157" t="inlineStr">
        <is>
          <t>suryaadhidaya@yahoo.com</t>
        </is>
      </c>
      <c r="E157" t="inlineStr">
        <is>
          <t>https://lpjk.pu.go.id/search-badan-usaha-detail/R1h4bGoxLzh2dElxSlpzeDl0QWlkZz09</t>
        </is>
      </c>
      <c r="F157" t="n">
        <v>1</v>
      </c>
      <c r="G157" t="inlineStr">
        <is>
          <t>BS016</t>
        </is>
      </c>
      <c r="H157" t="inlineStr">
        <is>
          <t>25 Juli 2023</t>
        </is>
      </c>
      <c r="I157" s="2" t="n">
        <v>46314</v>
      </c>
      <c r="J157" t="inlineStr">
        <is>
          <t>Disetujui</t>
        </is>
      </c>
      <c r="K157" t="n">
        <v>90</v>
      </c>
      <c r="L157" t="inlineStr">
        <is>
          <t>19 Oktober 2026</t>
        </is>
      </c>
      <c r="M157" t="inlineStr">
        <is>
          <t>Konstruksi Bangunan Sipil Fasilitas Olah Raga</t>
        </is>
      </c>
      <c r="N157" t="inlineStr">
        <is>
          <t>K</t>
        </is>
      </c>
      <c r="O157" t="inlineStr">
        <is>
          <t>20231018</t>
        </is>
      </c>
      <c r="P157" t="inlineStr">
        <is>
          <t>Jawa Timur</t>
        </is>
      </c>
      <c r="Q157" t="inlineStr"/>
    </row>
    <row r="158">
      <c r="A158" t="inlineStr">
        <is>
          <t>SURYA JAYA UTAMA</t>
        </is>
      </c>
      <c r="B158" t="inlineStr">
        <is>
          <t>Kota Pematangsiantar</t>
        </is>
      </c>
      <c r="C158" t="inlineStr">
        <is>
          <t>081361446720</t>
        </is>
      </c>
      <c r="D158" t="inlineStr">
        <is>
          <t>suryajayautamaps@yahoo.com</t>
        </is>
      </c>
      <c r="E158" t="inlineStr">
        <is>
          <t>https://lpjk.pu.go.id/search-badan-usaha-detail/MG1GcS9vTUM3UDNORFB6RFJyR0ZjZz09</t>
        </is>
      </c>
      <c r="F158" t="n">
        <v>2</v>
      </c>
      <c r="G158" t="inlineStr">
        <is>
          <t>BG001, BG002</t>
        </is>
      </c>
      <c r="H158" t="inlineStr">
        <is>
          <t>22 Juni 2012</t>
        </is>
      </c>
      <c r="I158" s="2" t="n">
        <v>46314</v>
      </c>
      <c r="J158" t="inlineStr">
        <is>
          <t>Disetujui</t>
        </is>
      </c>
      <c r="K158" t="n">
        <v>90</v>
      </c>
      <c r="L158" t="inlineStr">
        <is>
          <t>19 Oktober 2026</t>
        </is>
      </c>
      <c r="M158" t="inlineStr">
        <is>
          <t>Konstruksi Gedung Hunian, Konstruksi Gedung Perkantoran</t>
        </is>
      </c>
      <c r="N158" t="inlineStr">
        <is>
          <t>K</t>
        </is>
      </c>
      <c r="O158" t="inlineStr">
        <is>
          <t>20231019</t>
        </is>
      </c>
      <c r="P158" t="inlineStr">
        <is>
          <t>Sumatera Utara</t>
        </is>
      </c>
      <c r="Q158" t="inlineStr"/>
    </row>
    <row r="159">
      <c r="A159" t="inlineStr">
        <is>
          <t>SWARNA BHUMI SEJAHTERA</t>
        </is>
      </c>
      <c r="B159" t="inlineStr">
        <is>
          <t>Kab. Lampung Selatan</t>
        </is>
      </c>
      <c r="C159" t="inlineStr">
        <is>
          <t>081272058007</t>
        </is>
      </c>
      <c r="D159" t="inlineStr">
        <is>
          <t>swarnaBS23@gmail.com</t>
        </is>
      </c>
      <c r="E159" t="inlineStr">
        <is>
          <t>https://lpjk.pu.go.id/search-badan-usaha-detail/RU5wQjVhN3RoVFE1RmJkRHFpOGpQQT09</t>
        </is>
      </c>
      <c r="F159" t="n">
        <v>1</v>
      </c>
      <c r="G159" t="inlineStr">
        <is>
          <t>BG002</t>
        </is>
      </c>
      <c r="H159" t="inlineStr">
        <is>
          <t>9 Januari 2023</t>
        </is>
      </c>
      <c r="I159" s="2" t="n">
        <v>46314</v>
      </c>
      <c r="J159" t="inlineStr">
        <is>
          <t>Disetujui</t>
        </is>
      </c>
      <c r="K159" t="n">
        <v>90</v>
      </c>
      <c r="L159" t="inlineStr">
        <is>
          <t>19 Oktober 2026</t>
        </is>
      </c>
      <c r="M159" t="inlineStr">
        <is>
          <t>Konstruksi Gedung Perkantoran</t>
        </is>
      </c>
      <c r="N159" t="inlineStr">
        <is>
          <t>K</t>
        </is>
      </c>
      <c r="O159" t="inlineStr">
        <is>
          <t>20231018</t>
        </is>
      </c>
      <c r="P159" t="inlineStr">
        <is>
          <t>Lampung</t>
        </is>
      </c>
      <c r="Q159" t="inlineStr"/>
    </row>
    <row r="160">
      <c r="A160" t="inlineStr">
        <is>
          <t>SWARNA DWIPA</t>
        </is>
      </c>
      <c r="B160" t="inlineStr">
        <is>
          <t>Kab. Deli Serdang</t>
        </is>
      </c>
      <c r="C160" t="inlineStr">
        <is>
          <t>085362169112</t>
        </is>
      </c>
      <c r="D160" t="inlineStr">
        <is>
          <t>cv.swarna.dwipa96@gmail.com</t>
        </is>
      </c>
      <c r="E160" t="inlineStr">
        <is>
          <t>https://lpjk.pu.go.id/search-badan-usaha-detail/b24yZUJibm9mUThZQ0xsSmxGS2tiZz09</t>
        </is>
      </c>
      <c r="F160" t="n">
        <v>1</v>
      </c>
      <c r="G160" t="inlineStr">
        <is>
          <t>BS004</t>
        </is>
      </c>
      <c r="H160" t="inlineStr">
        <is>
          <t>14 Maret 2012</t>
        </is>
      </c>
      <c r="I160" s="2" t="n">
        <v>46314</v>
      </c>
      <c r="J160" t="inlineStr">
        <is>
          <t>Disetujui</t>
        </is>
      </c>
      <c r="K160" t="n">
        <v>90</v>
      </c>
      <c r="L160" t="inlineStr">
        <is>
          <t>19 Oktober 2026</t>
        </is>
      </c>
      <c r="M160" t="inlineStr">
        <is>
          <t>Konstruksi Jaringan Irigasi dan Drainase</t>
        </is>
      </c>
      <c r="N160" t="inlineStr">
        <is>
          <t>K</t>
        </is>
      </c>
      <c r="O160" t="inlineStr">
        <is>
          <t>20231018</t>
        </is>
      </c>
      <c r="P160" t="inlineStr">
        <is>
          <t>Sumatera Utara</t>
        </is>
      </c>
      <c r="Q160" t="inlineStr"/>
    </row>
    <row r="161">
      <c r="A161" t="inlineStr">
        <is>
          <t>TAM BINTANG</t>
        </is>
      </c>
      <c r="B161" t="inlineStr">
        <is>
          <t>Kab. Aceh Utara</t>
        </is>
      </c>
      <c r="C161" t="inlineStr">
        <is>
          <t>085358613737</t>
        </is>
      </c>
      <c r="D161" t="inlineStr">
        <is>
          <t>tambintang_dws@yahoo.com</t>
        </is>
      </c>
      <c r="E161" t="inlineStr">
        <is>
          <t>https://lpjk.pu.go.id/search-badan-usaha-detail/Z0RGOXVidzRVdnhBaHNsRTNKdU1YZz09</t>
        </is>
      </c>
      <c r="F161" t="n">
        <v>1</v>
      </c>
      <c r="G161" t="inlineStr">
        <is>
          <t>BS004</t>
        </is>
      </c>
      <c r="H161" t="inlineStr">
        <is>
          <t>21 Februari 2007</t>
        </is>
      </c>
      <c r="I161" s="2" t="n">
        <v>46314</v>
      </c>
      <c r="J161" t="inlineStr">
        <is>
          <t>Disetujui</t>
        </is>
      </c>
      <c r="K161" t="n">
        <v>90</v>
      </c>
      <c r="L161" t="inlineStr">
        <is>
          <t>19 Oktober 2026</t>
        </is>
      </c>
      <c r="M161" t="inlineStr">
        <is>
          <t>Konstruksi Jaringan Irigasi dan Drainase</t>
        </is>
      </c>
      <c r="N161" t="inlineStr">
        <is>
          <t>K</t>
        </is>
      </c>
      <c r="O161" t="inlineStr">
        <is>
          <t>20231019</t>
        </is>
      </c>
      <c r="P161" t="inlineStr">
        <is>
          <t>Aceh</t>
        </is>
      </c>
      <c r="Q161" t="inlineStr"/>
    </row>
    <row r="162">
      <c r="A162" t="inlineStr">
        <is>
          <t>TIARA JAYA BERKAH</t>
        </is>
      </c>
      <c r="B162" t="inlineStr">
        <is>
          <t>Kab. Tanah Bumbu</t>
        </is>
      </c>
      <c r="C162" t="inlineStr">
        <is>
          <t>0</t>
        </is>
      </c>
      <c r="D162" t="inlineStr">
        <is>
          <t>tiarajayaberkah@gmail.com</t>
        </is>
      </c>
      <c r="E162" t="inlineStr">
        <is>
          <t>https://lpjk.pu.go.id/search-badan-usaha-detail/dklVbmdZMW9EUGNwM1hiVnREY2xDZz09</t>
        </is>
      </c>
      <c r="F162" t="n">
        <v>2</v>
      </c>
      <c r="G162" t="inlineStr">
        <is>
          <t>BS001, BS004</t>
        </is>
      </c>
      <c r="H162" t="inlineStr">
        <is>
          <t>9 September 2019</t>
        </is>
      </c>
      <c r="I162" s="2" t="n">
        <v>46314</v>
      </c>
      <c r="J162" t="inlineStr">
        <is>
          <t>Disetujui</t>
        </is>
      </c>
      <c r="K162" t="n">
        <v>90</v>
      </c>
      <c r="L162" t="inlineStr">
        <is>
          <t>19 Oktober 2026</t>
        </is>
      </c>
      <c r="M162" t="inlineStr">
        <is>
          <t>Konstruksi Bangunan Sipil Jalan, Konstruksi Jaringan Irigasi dan Drainase</t>
        </is>
      </c>
      <c r="N162" t="inlineStr">
        <is>
          <t>K</t>
        </is>
      </c>
      <c r="O162" t="inlineStr">
        <is>
          <t>20231015</t>
        </is>
      </c>
      <c r="P162" t="inlineStr">
        <is>
          <t>Kalimantan Selatan</t>
        </is>
      </c>
      <c r="Q162" t="inlineStr"/>
    </row>
    <row r="163">
      <c r="A163" t="inlineStr">
        <is>
          <t>TIGA MANUNGGAL ABADI</t>
        </is>
      </c>
      <c r="B163" t="inlineStr">
        <is>
          <t>Kota Samarinda</t>
        </is>
      </c>
      <c r="C163" t="inlineStr">
        <is>
          <t>082318081969</t>
        </is>
      </c>
      <c r="D163" t="inlineStr">
        <is>
          <t>tma.smd.1@gmail.com</t>
        </is>
      </c>
      <c r="E163" t="inlineStr">
        <is>
          <t>https://lpjk.pu.go.id/search-badan-usaha-detail/WEtPckRlVjZaNWUrN1VGWDcxUW0xdz09</t>
        </is>
      </c>
      <c r="F163" t="n">
        <v>4</v>
      </c>
      <c r="G163" t="inlineStr">
        <is>
          <t>RK001, RK002, RK003, RK005</t>
        </is>
      </c>
      <c r="H163" t="inlineStr">
        <is>
          <t>26 Februari 2001</t>
        </is>
      </c>
      <c r="I163" s="2" t="n">
        <v>46314</v>
      </c>
      <c r="J163" t="inlineStr">
        <is>
          <t>Disetujui</t>
        </is>
      </c>
      <c r="K163" t="n">
        <v>90</v>
      </c>
      <c r="L163" t="inlineStr">
        <is>
          <t>19 Oktober 2026</t>
        </is>
      </c>
      <c r="M163" t="inlineStr">
        <is>
          <t>Jasa Rekayasa Konstruksi Bangunan Gedung Hunian dan Non Hunian, Jasa Rekayasa Lainnya, Jasa Rekayasa Pekerjaan Teknik Sipil Sumber Daya Air, Jasa Rekayasa Pekerjaan Teknik Sipil Transportasi</t>
        </is>
      </c>
      <c r="N163" t="inlineStr">
        <is>
          <t>K</t>
        </is>
      </c>
      <c r="O163" t="inlineStr">
        <is>
          <t>20231010, 20231012</t>
        </is>
      </c>
      <c r="P163" t="inlineStr">
        <is>
          <t>Kalimantan Timur</t>
        </is>
      </c>
      <c r="Q163" t="inlineStr"/>
    </row>
    <row r="164">
      <c r="A164" t="inlineStr">
        <is>
          <t>TIRTA KARYA KONSULTAN</t>
        </is>
      </c>
      <c r="B164" t="inlineStr">
        <is>
          <t>Kab. Kaimana</t>
        </is>
      </c>
      <c r="C164" t="inlineStr">
        <is>
          <t>085395028516</t>
        </is>
      </c>
      <c r="D164" t="inlineStr">
        <is>
          <t>tirtakarya2022@gmail.com</t>
        </is>
      </c>
      <c r="E164" t="inlineStr">
        <is>
          <t>https://lpjk.pu.go.id/search-badan-usaha-detail/ZU1ha0c3YW4wT0hyR3Y5TDBORHI1UT09</t>
        </is>
      </c>
      <c r="F164" t="n">
        <v>2</v>
      </c>
      <c r="G164" t="inlineStr">
        <is>
          <t>AR002, AR003</t>
        </is>
      </c>
      <c r="H164" t="inlineStr">
        <is>
          <t>10 Agustus 2022</t>
        </is>
      </c>
      <c r="I164" s="2" t="n">
        <v>46314</v>
      </c>
      <c r="J164" t="inlineStr">
        <is>
          <t>Disetujui</t>
        </is>
      </c>
      <c r="K164" t="n">
        <v>90</v>
      </c>
      <c r="L164" t="inlineStr">
        <is>
          <t>19 Oktober 2026</t>
        </is>
      </c>
      <c r="M164" t="inlineStr">
        <is>
          <t>Jasa Arsitektural Lainnya, Jasa Desain Interior pada Bangunan Gedung dan Bangunan Sipil</t>
        </is>
      </c>
      <c r="N164" t="inlineStr">
        <is>
          <t>K</t>
        </is>
      </c>
      <c r="O164" t="inlineStr">
        <is>
          <t>20231013</t>
        </is>
      </c>
      <c r="P164" t="inlineStr">
        <is>
          <t>Papua Barat</t>
        </is>
      </c>
      <c r="Q164" t="inlineStr"/>
    </row>
    <row r="165">
      <c r="A165" t="inlineStr">
        <is>
          <t>TIRTA SURYA</t>
        </is>
      </c>
      <c r="B165" t="inlineStr">
        <is>
          <t>Kab. Bojonegoro</t>
        </is>
      </c>
      <c r="C165" t="inlineStr">
        <is>
          <t>081234900000</t>
        </is>
      </c>
      <c r="D165" t="inlineStr">
        <is>
          <t>cvtirtasuryadrajat@gmail.com</t>
        </is>
      </c>
      <c r="E165" t="inlineStr">
        <is>
          <t>https://lpjk.pu.go.id/search-badan-usaha-detail/WGtVVHQ2aitKN0toc1JlSytWeCtRQT09</t>
        </is>
      </c>
      <c r="F165" t="n">
        <v>1</v>
      </c>
      <c r="G165" t="inlineStr">
        <is>
          <t>BS002</t>
        </is>
      </c>
      <c r="H165" t="inlineStr">
        <is>
          <t>11 Januari 2023</t>
        </is>
      </c>
      <c r="I165" s="2" t="n">
        <v>46314</v>
      </c>
      <c r="J165" t="inlineStr">
        <is>
          <t>Disetujui</t>
        </is>
      </c>
      <c r="K165" t="n">
        <v>90</v>
      </c>
      <c r="L165" t="inlineStr">
        <is>
          <t>19 Oktober 2026</t>
        </is>
      </c>
      <c r="M165" t="inlineStr">
        <is>
          <t>Bangunan Sipil Jembatan, Jalan Layang, Fly Over, dan Underpass</t>
        </is>
      </c>
      <c r="N165" t="inlineStr">
        <is>
          <t>K</t>
        </is>
      </c>
      <c r="O165" t="inlineStr">
        <is>
          <t>20231018</t>
        </is>
      </c>
      <c r="P165" t="inlineStr">
        <is>
          <t>Jawa Timur</t>
        </is>
      </c>
      <c r="Q165" t="inlineStr"/>
    </row>
    <row r="166">
      <c r="A166" t="inlineStr">
        <is>
          <t>TRISULA JAYA SAKTI</t>
        </is>
      </c>
      <c r="B166" t="inlineStr">
        <is>
          <t>Kab. Cianjur</t>
        </is>
      </c>
      <c r="C166" t="inlineStr">
        <is>
          <t>081312554513</t>
        </is>
      </c>
      <c r="D166" t="inlineStr">
        <is>
          <t>cvtrisulajayasakti23@gmail.com</t>
        </is>
      </c>
      <c r="E166" t="inlineStr">
        <is>
          <t>https://lpjk.pu.go.id/search-badan-usaha-detail/Qm9VbjltRzFIVmF1WVNkTjJXY2JWZz09</t>
        </is>
      </c>
      <c r="F166" t="n">
        <v>1</v>
      </c>
      <c r="G166" t="inlineStr">
        <is>
          <t>BS001</t>
        </is>
      </c>
      <c r="H166" t="inlineStr"/>
      <c r="I166" s="2" t="n">
        <v>46314</v>
      </c>
      <c r="J166" t="inlineStr">
        <is>
          <t>Pencabutan</t>
        </is>
      </c>
      <c r="K166" t="n">
        <v>90</v>
      </c>
      <c r="L166" t="inlineStr">
        <is>
          <t>19 Oktober 2026</t>
        </is>
      </c>
      <c r="M166" t="inlineStr">
        <is>
          <t>Konstruksi Bangunan Sipil Jalan</t>
        </is>
      </c>
      <c r="N166" t="inlineStr">
        <is>
          <t>K</t>
        </is>
      </c>
      <c r="O166" t="inlineStr">
        <is>
          <t>20231020</t>
        </is>
      </c>
      <c r="P166" t="inlineStr">
        <is>
          <t>Jawa Barat</t>
        </is>
      </c>
      <c r="Q166" t="inlineStr"/>
    </row>
    <row r="167">
      <c r="A167" t="inlineStr">
        <is>
          <t>TUJUH TUJUH</t>
        </is>
      </c>
      <c r="B167" t="inlineStr">
        <is>
          <t>Kab. Blitar</t>
        </is>
      </c>
      <c r="C167" t="inlineStr">
        <is>
          <t>082233886906</t>
        </is>
      </c>
      <c r="D167" t="inlineStr">
        <is>
          <t>tujuhtujuh.cv@gmail.com</t>
        </is>
      </c>
      <c r="E167" t="inlineStr">
        <is>
          <t>https://lpjk.pu.go.id/search-badan-usaha-detail/UVlKMFExM0c2bS8rblNmY0FkbUk1QT09</t>
        </is>
      </c>
      <c r="F167" t="n">
        <v>2</v>
      </c>
      <c r="G167" t="inlineStr">
        <is>
          <t>BG009, BS004</t>
        </is>
      </c>
      <c r="H167" t="inlineStr">
        <is>
          <t>23 September 2006</t>
        </is>
      </c>
      <c r="I167" s="2" t="n">
        <v>46314</v>
      </c>
      <c r="J167" t="inlineStr">
        <is>
          <t>Disetujui</t>
        </is>
      </c>
      <c r="K167" t="n">
        <v>90</v>
      </c>
      <c r="L167" t="inlineStr">
        <is>
          <t>19 Oktober 2026</t>
        </is>
      </c>
      <c r="M167" t="inlineStr">
        <is>
          <t>Konstruksi Gedung Lainnya, Konstruksi Jaringan Irigasi dan Drainase</t>
        </is>
      </c>
      <c r="N167" t="inlineStr">
        <is>
          <t>K</t>
        </is>
      </c>
      <c r="O167" t="inlineStr">
        <is>
          <t>20231019</t>
        </is>
      </c>
      <c r="P167" t="inlineStr">
        <is>
          <t>Jawa Timur</t>
        </is>
      </c>
      <c r="Q167" t="inlineStr"/>
    </row>
    <row r="168">
      <c r="A168" t="inlineStr">
        <is>
          <t>ULI ARTA TUA</t>
        </is>
      </c>
      <c r="B168" t="inlineStr">
        <is>
          <t>Kota Pematangsiantar</t>
        </is>
      </c>
      <c r="C168" t="inlineStr">
        <is>
          <t>081397663551</t>
        </is>
      </c>
      <c r="D168" t="inlineStr">
        <is>
          <t>cv.uliartatua@gmail.com</t>
        </is>
      </c>
      <c r="E168" t="inlineStr">
        <is>
          <t>https://lpjk.pu.go.id/search-badan-usaha-detail/UU9BUm9FbFZ2VmluaW9xUVpqWWllQT09</t>
        </is>
      </c>
      <c r="F168" t="n">
        <v>1</v>
      </c>
      <c r="G168" t="inlineStr">
        <is>
          <t>BG001</t>
        </is>
      </c>
      <c r="H168" t="inlineStr">
        <is>
          <t>31 Januari 2017</t>
        </is>
      </c>
      <c r="I168" s="2" t="n">
        <v>46314</v>
      </c>
      <c r="J168" t="inlineStr">
        <is>
          <t>Disetujui</t>
        </is>
      </c>
      <c r="K168" t="n">
        <v>90</v>
      </c>
      <c r="L168" t="inlineStr">
        <is>
          <t>19 Oktober 2026</t>
        </is>
      </c>
      <c r="M168" t="inlineStr">
        <is>
          <t>Konstruksi Gedung Hunian</t>
        </is>
      </c>
      <c r="N168" t="inlineStr">
        <is>
          <t>K</t>
        </is>
      </c>
      <c r="O168" t="inlineStr">
        <is>
          <t>20231017</t>
        </is>
      </c>
      <c r="P168" t="inlineStr">
        <is>
          <t>Sumatera Utara</t>
        </is>
      </c>
      <c r="Q168" t="inlineStr"/>
    </row>
    <row r="169">
      <c r="A169" t="inlineStr">
        <is>
          <t>USAHA KARYA TAMA</t>
        </is>
      </c>
      <c r="B169" t="inlineStr">
        <is>
          <t>Kab. Bulungan</t>
        </is>
      </c>
      <c r="C169" t="inlineStr">
        <is>
          <t>081253110778</t>
        </is>
      </c>
      <c r="D169" t="inlineStr">
        <is>
          <t>ptusahakaryatama@gmail.com</t>
        </is>
      </c>
      <c r="E169" t="inlineStr">
        <is>
          <t>https://lpjk.pu.go.id/search-badan-usaha-detail/bWFwMTlZc0VoMHlEeW9nZjY1b042dz09</t>
        </is>
      </c>
      <c r="F169" t="n">
        <v>3</v>
      </c>
      <c r="G169" t="inlineStr">
        <is>
          <t>BG001, BG003, BG009</t>
        </is>
      </c>
      <c r="H169" t="inlineStr">
        <is>
          <t>24 Desember 2005</t>
        </is>
      </c>
      <c r="I169" s="2" t="n">
        <v>46314</v>
      </c>
      <c r="J169" t="inlineStr">
        <is>
          <t>Pencabutan</t>
        </is>
      </c>
      <c r="K169" t="n">
        <v>90</v>
      </c>
      <c r="L169" t="inlineStr">
        <is>
          <t>19 Oktober 2026</t>
        </is>
      </c>
      <c r="M169" t="inlineStr">
        <is>
          <t>Konstruksi Gedung Hunian, Konstruksi Gedung Industri, Konstruksi Gedung Lainnya</t>
        </is>
      </c>
      <c r="N169" t="inlineStr">
        <is>
          <t>K</t>
        </is>
      </c>
      <c r="O169" t="inlineStr">
        <is>
          <t>20231013</t>
        </is>
      </c>
      <c r="P169" t="inlineStr">
        <is>
          <t>Kalimantan Utara</t>
        </is>
      </c>
      <c r="Q169" t="inlineStr"/>
    </row>
    <row r="170">
      <c r="A170" t="inlineStr">
        <is>
          <t>USAHA MUDA MANDIRI</t>
        </is>
      </c>
      <c r="B170" t="inlineStr">
        <is>
          <t>Kab. Langkat</t>
        </is>
      </c>
      <c r="C170" t="inlineStr">
        <is>
          <t>0</t>
        </is>
      </c>
      <c r="D170" t="inlineStr">
        <is>
          <t>usahamudam@gmail.com</t>
        </is>
      </c>
      <c r="E170" t="inlineStr">
        <is>
          <t>https://lpjk.pu.go.id/search-badan-usaha-detail/Ri8zNjFpbEN2WUV2SWczWmlET2JxUT09</t>
        </is>
      </c>
      <c r="F170" t="n">
        <v>1</v>
      </c>
      <c r="G170" t="inlineStr">
        <is>
          <t>BS002</t>
        </is>
      </c>
      <c r="H170" t="inlineStr">
        <is>
          <t>30 Juli 2019</t>
        </is>
      </c>
      <c r="I170" s="2" t="n">
        <v>46314</v>
      </c>
      <c r="J170" t="inlineStr">
        <is>
          <t>Pencabutan</t>
        </is>
      </c>
      <c r="K170" t="n">
        <v>90</v>
      </c>
      <c r="L170" t="inlineStr">
        <is>
          <t>19 Oktober 2026</t>
        </is>
      </c>
      <c r="M170" t="inlineStr">
        <is>
          <t>Bangunan Sipil Jembatan, Jalan Layang, Fly Over, dan Underpass</t>
        </is>
      </c>
      <c r="N170" t="inlineStr">
        <is>
          <t>K</t>
        </is>
      </c>
      <c r="O170" t="inlineStr">
        <is>
          <t>20231019</t>
        </is>
      </c>
      <c r="P170" t="inlineStr">
        <is>
          <t>Sumatera Utara</t>
        </is>
      </c>
      <c r="Q170" t="inlineStr"/>
    </row>
    <row r="171">
      <c r="A171" t="inlineStr">
        <is>
          <t>WINARNI SAPUTRA</t>
        </is>
      </c>
      <c r="B171" t="inlineStr">
        <is>
          <t>Kab. Bojonegoro</t>
        </is>
      </c>
      <c r="C171" t="inlineStr">
        <is>
          <t>082243499011</t>
        </is>
      </c>
      <c r="D171" t="inlineStr">
        <is>
          <t>winarnisaputra01@gmail.com</t>
        </is>
      </c>
      <c r="E171" t="inlineStr">
        <is>
          <t>https://lpjk.pu.go.id/search-badan-usaha-detail/L2NOYWpNL2NqL2R2SWM1Q1B3S2dSUT09</t>
        </is>
      </c>
      <c r="F171" t="n">
        <v>1</v>
      </c>
      <c r="G171" t="inlineStr">
        <is>
          <t>BG001</t>
        </is>
      </c>
      <c r="H171" t="inlineStr">
        <is>
          <t>22 Februari 2023</t>
        </is>
      </c>
      <c r="I171" s="2" t="n">
        <v>46314</v>
      </c>
      <c r="J171" t="inlineStr">
        <is>
          <t>Disetujui</t>
        </is>
      </c>
      <c r="K171" t="n">
        <v>90</v>
      </c>
      <c r="L171" t="inlineStr">
        <is>
          <t>19 Oktober 2026</t>
        </is>
      </c>
      <c r="M171" t="inlineStr">
        <is>
          <t>Konstruksi Gedung Hunian</t>
        </is>
      </c>
      <c r="N171" t="inlineStr">
        <is>
          <t>K</t>
        </is>
      </c>
      <c r="O171" t="inlineStr">
        <is>
          <t>20231016</t>
        </is>
      </c>
      <c r="P171" t="inlineStr">
        <is>
          <t>Jawa Timur</t>
        </is>
      </c>
      <c r="Q171" t="inlineStr"/>
    </row>
    <row r="172">
      <c r="A172" t="inlineStr">
        <is>
          <t>WIRA SAKTI KONSTRUKSI</t>
        </is>
      </c>
      <c r="B172" t="inlineStr">
        <is>
          <t>Kab. Tangerang</t>
        </is>
      </c>
      <c r="C172" t="inlineStr">
        <is>
          <t>02122223748</t>
        </is>
      </c>
      <c r="D172" t="inlineStr">
        <is>
          <t>wisakons.official@gmail.com</t>
        </is>
      </c>
      <c r="E172" t="inlineStr">
        <is>
          <t>https://lpjk.pu.go.id/search-badan-usaha-detail/OTIrRXRDeWkvS2xQYUR5cGVZN3hsUT09</t>
        </is>
      </c>
      <c r="F172" t="n">
        <v>2</v>
      </c>
      <c r="G172" t="inlineStr">
        <is>
          <t>BG001, BS001</t>
        </is>
      </c>
      <c r="H172" t="inlineStr">
        <is>
          <t>12 Juli 2021</t>
        </is>
      </c>
      <c r="I172" s="2" t="n">
        <v>46314</v>
      </c>
      <c r="J172" t="inlineStr">
        <is>
          <t>Disetujui</t>
        </is>
      </c>
      <c r="K172" t="n">
        <v>90</v>
      </c>
      <c r="L172" t="inlineStr">
        <is>
          <t>19 Oktober 2026</t>
        </is>
      </c>
      <c r="M172" t="inlineStr">
        <is>
          <t>Konstruksi Bangunan Sipil Jalan, Konstruksi Gedung Hunian</t>
        </is>
      </c>
      <c r="N172" t="inlineStr">
        <is>
          <t>K</t>
        </is>
      </c>
      <c r="O172" t="inlineStr">
        <is>
          <t>20231019</t>
        </is>
      </c>
      <c r="P172" t="inlineStr">
        <is>
          <t>Banten</t>
        </is>
      </c>
      <c r="Q172" t="inlineStr"/>
    </row>
    <row r="173">
      <c r="A173" t="inlineStr">
        <is>
          <t>WIRATMA MAKMUR</t>
        </is>
      </c>
      <c r="B173" t="inlineStr">
        <is>
          <t>Kab. Bandung Barat</t>
        </is>
      </c>
      <c r="C173" t="inlineStr">
        <is>
          <t>082129919993</t>
        </is>
      </c>
      <c r="D173" t="inlineStr">
        <is>
          <t>wiratmamakmur@gmail.com</t>
        </is>
      </c>
      <c r="E173" t="inlineStr">
        <is>
          <t>https://lpjk.pu.go.id/search-badan-usaha-detail/L1NiNFZkUjR6b0FaVkpad2NoSEhGZz09</t>
        </is>
      </c>
      <c r="F173" t="n">
        <v>6</v>
      </c>
      <c r="G173" t="inlineStr">
        <is>
          <t>BG006, BG009, BS001</t>
        </is>
      </c>
      <c r="H173" t="inlineStr">
        <is>
          <t>17 Maret 2023</t>
        </is>
      </c>
      <c r="I173" s="2" t="n">
        <v>46314</v>
      </c>
      <c r="J173" t="inlineStr">
        <is>
          <t>Disetujui</t>
        </is>
      </c>
      <c r="K173" t="n">
        <v>90</v>
      </c>
      <c r="L173" t="inlineStr">
        <is>
          <t>19 Oktober 2026</t>
        </is>
      </c>
      <c r="M173" t="inlineStr">
        <is>
          <t>Konstruksi Bangunan Sipil Jalan, Konstruksi Gedung Lainnya, Konstruksi Gedung Pendidikan</t>
        </is>
      </c>
      <c r="N173" t="inlineStr">
        <is>
          <t>K</t>
        </is>
      </c>
      <c r="O173" t="inlineStr">
        <is>
          <t>20231018</t>
        </is>
      </c>
      <c r="P173" t="inlineStr">
        <is>
          <t>Jawa Barat</t>
        </is>
      </c>
      <c r="Q1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0"/>
  <sheetViews>
    <sheetView workbookViewId="0">
      <selection activeCell="A1" sqref="A1"/>
    </sheetView>
  </sheetViews>
  <sheetFormatPr baseColWidth="8" defaultRowHeight="15"/>
  <cols>
    <col width="49" customWidth="1" min="1" max="1"/>
    <col width="27" customWidth="1" min="2" max="2"/>
    <col width="16" customWidth="1" min="3" max="3"/>
    <col width="41"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PERSADA NUSANTARA</t>
        </is>
      </c>
      <c r="B2" t="inlineStr">
        <is>
          <t>Kab. Bekasi</t>
        </is>
      </c>
      <c r="C2" t="inlineStr">
        <is>
          <t>081318180478</t>
        </is>
      </c>
      <c r="D2" t="inlineStr">
        <is>
          <t>cv.bpn.bks@gmail.com</t>
        </is>
      </c>
      <c r="E2" t="inlineStr">
        <is>
          <t>https://lpjk.pu.go.id/search-badan-usaha-detail/bkQ2WmhsWUlUbG1kS3V4Zm9ZNEExZz09</t>
        </is>
      </c>
      <c r="F2" t="n">
        <v>1</v>
      </c>
      <c r="G2" t="inlineStr">
        <is>
          <t>BG009</t>
        </is>
      </c>
      <c r="H2" t="inlineStr">
        <is>
          <t>14 Maret 2012</t>
        </is>
      </c>
      <c r="I2" s="2" t="n">
        <v>46284</v>
      </c>
      <c r="J2" t="inlineStr">
        <is>
          <t>Disetujui</t>
        </is>
      </c>
      <c r="K2" t="n">
        <v>60</v>
      </c>
      <c r="L2" t="inlineStr">
        <is>
          <t>19 September 2026</t>
        </is>
      </c>
      <c r="M2" t="inlineStr">
        <is>
          <t>Konstruksi Gedung Lainnya</t>
        </is>
      </c>
      <c r="N2" t="inlineStr">
        <is>
          <t>K</t>
        </is>
      </c>
      <c r="O2" t="inlineStr">
        <is>
          <t>20230914</t>
        </is>
      </c>
      <c r="P2" t="inlineStr">
        <is>
          <t>Jawa Barat</t>
        </is>
      </c>
      <c r="Q2" s="3">
        <f>HYPERLINK("https://wa.me/6281318180478?text=*[PENGINGAT MASA BERLAKU SBU BANGUN PERSADA NUSANTARA]*%0A%0AYth. Pimpinan BANGUN PERSADA NUSANTARA,%0AMohon izin menginformasikan status SBU Anda di sistem LPJK:%0A%0A📄 SBU: BG009%0A📅 Expired: 19 September 2026 (60 Hari Lagi)%0A%0AKami tim PT. ESDEA Assistance Management siap men-support proses perpanjangan segera agar administrasi proyek tidak terhambat%0A%0AApakah boleh saya bantu siapkan estimasi biaya dan waktu pengerjaannya?.", "Hubungi")</f>
        <v/>
      </c>
    </row>
    <row r="3">
      <c r="A3" t="inlineStr">
        <is>
          <t>CAHAYA TERANG</t>
        </is>
      </c>
      <c r="B3" t="inlineStr">
        <is>
          <t>Kab. Bekasi</t>
        </is>
      </c>
      <c r="C3" t="inlineStr">
        <is>
          <t>081289763666</t>
        </is>
      </c>
      <c r="D3" t="inlineStr">
        <is>
          <t>cahayaterangbks@gmail.com</t>
        </is>
      </c>
      <c r="E3" t="inlineStr">
        <is>
          <t>https://lpjk.pu.go.id/search-badan-usaha-detail/cDVnZTFlNmR6MWFUUmhmRXUrKzI5dz09</t>
        </is>
      </c>
      <c r="F3" t="n">
        <v>5</v>
      </c>
      <c r="G3" t="inlineStr">
        <is>
          <t>BG005, BG006, BS001, BS004</t>
        </is>
      </c>
      <c r="H3" t="inlineStr">
        <is>
          <t>9 Februari 2009</t>
        </is>
      </c>
      <c r="I3" s="2" t="n">
        <v>46284</v>
      </c>
      <c r="J3" t="inlineStr">
        <is>
          <t>Disetujui</t>
        </is>
      </c>
      <c r="K3" t="n">
        <v>60</v>
      </c>
      <c r="L3" t="inlineStr">
        <is>
          <t>19 September 2026</t>
        </is>
      </c>
      <c r="M3" t="inlineStr">
        <is>
          <t>Konstruksi Bangunan Sipil Jalan, Konstruksi Gedung Kesehatan, Konstruksi Gedung Pendidikan, Konstruksi Jaringan Irigasi dan Drainase</t>
        </is>
      </c>
      <c r="N3" t="inlineStr">
        <is>
          <t>K</t>
        </is>
      </c>
      <c r="O3" t="inlineStr">
        <is>
          <t>20230724, 20230902, 20230915</t>
        </is>
      </c>
      <c r="P3" t="inlineStr">
        <is>
          <t>Jawa Barat</t>
        </is>
      </c>
      <c r="Q3" s="3">
        <f>HYPERLINK("https://wa.me/6281289763666?text=*[PENGINGAT MASA BERLAKU SBU CAHAYA TERANG]*%0A%0AYth. Pimpinan CAHAYA TERANG,%0AMohon izin menginformasikan status SBU Anda di sistem LPJK:%0A%0A📄 SBU: BG005, BG006, BS001, BS004%0A📅 Expired: 19 September 2026 (60 Hari Lagi)%0A%0AKami tim PT. ESDEA Assistance Management siap men-support proses perpanjangan segera agar administrasi proyek tidak terhambat%0A%0AApakah boleh saya bantu siapkan estimasi biaya dan waktu pengerjaannya?.", "Hubungi")</f>
        <v/>
      </c>
    </row>
    <row r="4">
      <c r="A4" t="inlineStr">
        <is>
          <t>COMETOPAPA</t>
        </is>
      </c>
      <c r="B4" t="inlineStr">
        <is>
          <t>Kab. Bekasi</t>
        </is>
      </c>
      <c r="C4" t="inlineStr">
        <is>
          <t>081902307790</t>
        </is>
      </c>
      <c r="D4" t="inlineStr">
        <is>
          <t>cv.cometopapa@gmail.com</t>
        </is>
      </c>
      <c r="E4" t="inlineStr">
        <is>
          <t>https://lpjk.pu.go.id/search-badan-usaha-detail/cGFmZ0hsRmhtbEVtay9uQWlJZk9OQT09</t>
        </is>
      </c>
      <c r="F4" t="n">
        <v>2</v>
      </c>
      <c r="G4" t="inlineStr">
        <is>
          <t>BS001, BS004</t>
        </is>
      </c>
      <c r="H4" t="inlineStr">
        <is>
          <t>11 Januari 2023</t>
        </is>
      </c>
      <c r="I4" s="2" t="n">
        <v>46284</v>
      </c>
      <c r="J4" t="inlineStr">
        <is>
          <t>Disetujui</t>
        </is>
      </c>
      <c r="K4" t="n">
        <v>60</v>
      </c>
      <c r="L4" t="inlineStr">
        <is>
          <t>19 September 2026</t>
        </is>
      </c>
      <c r="M4" t="inlineStr">
        <is>
          <t>Konstruksi Bangunan Sipil Jalan, Konstruksi Jaringan Irigasi dan Drainase</t>
        </is>
      </c>
      <c r="N4" t="inlineStr">
        <is>
          <t>K</t>
        </is>
      </c>
      <c r="O4" t="inlineStr">
        <is>
          <t>20230808, 20230821</t>
        </is>
      </c>
      <c r="P4" t="inlineStr">
        <is>
          <t>Jawa Barat</t>
        </is>
      </c>
      <c r="Q4" s="3">
        <f>HYPERLINK("https://wa.me/6281902307790?text=*[PENGINGAT MASA BERLAKU SBU COMETOPAPA]*%0A%0AYth. Pimpinan COMETOPAPA,%0AMohon izin menginformasikan status SBU Anda di sistem LPJK:%0A%0A📄 SBU: BS001, BS004%0A📅 Expired: 19 September 2026 (60 Hari Lagi)%0A%0AKami tim PT. ESDEA Assistance Management siap men-support proses perpanjangan segera agar administrasi proyek tidak terhambat%0A%0AApakah boleh saya bantu siapkan estimasi biaya dan waktu pengerjaannya?.", "Hubungi")</f>
        <v/>
      </c>
    </row>
    <row r="5">
      <c r="A5" t="inlineStr">
        <is>
          <t>DWIKEI MULIA PRATAMA</t>
        </is>
      </c>
      <c r="B5" t="inlineStr">
        <is>
          <t>Kab. Bekasi</t>
        </is>
      </c>
      <c r="C5" t="inlineStr">
        <is>
          <t>02189523539</t>
        </is>
      </c>
      <c r="D5" t="inlineStr">
        <is>
          <t>dwikeimulia@gmail.com</t>
        </is>
      </c>
      <c r="E5" t="inlineStr">
        <is>
          <t>https://lpjk.pu.go.id/search-badan-usaha-detail/VStWZWZuZFVYRnVtSUxpRExPY0hEQT09</t>
        </is>
      </c>
      <c r="F5" t="n">
        <v>1</v>
      </c>
      <c r="G5" t="inlineStr">
        <is>
          <t>BG009</t>
        </is>
      </c>
      <c r="H5" t="inlineStr">
        <is>
          <t>2 Juni 2012</t>
        </is>
      </c>
      <c r="I5" s="2" t="n">
        <v>46284</v>
      </c>
      <c r="J5" t="inlineStr">
        <is>
          <t>Pencabutan</t>
        </is>
      </c>
      <c r="K5" t="n">
        <v>60</v>
      </c>
      <c r="L5" t="inlineStr">
        <is>
          <t>19 September 2026</t>
        </is>
      </c>
      <c r="M5" t="inlineStr">
        <is>
          <t>Konstruksi Gedung Lainnya</t>
        </is>
      </c>
      <c r="N5" t="inlineStr">
        <is>
          <t>K</t>
        </is>
      </c>
      <c r="O5" t="inlineStr">
        <is>
          <t>20230919</t>
        </is>
      </c>
      <c r="P5" t="inlineStr">
        <is>
          <t>Jawa Barat</t>
        </is>
      </c>
      <c r="Q5" t="inlineStr"/>
    </row>
    <row r="6">
      <c r="A6" t="inlineStr">
        <is>
          <t>ECO TEKNO GRAHA</t>
        </is>
      </c>
      <c r="B6" t="inlineStr">
        <is>
          <t>Kab. Bogor</t>
        </is>
      </c>
      <c r="C6" t="inlineStr">
        <is>
          <t>02184931697</t>
        </is>
      </c>
      <c r="D6" t="inlineStr">
        <is>
          <t>ectegra2019oss@gmail.com</t>
        </is>
      </c>
      <c r="E6" t="inlineStr">
        <is>
          <t>https://lpjk.pu.go.id/search-badan-usaha-detail/SndpUXN0R0hHVURwOHNtYUdxZ05oZz09</t>
        </is>
      </c>
      <c r="F6" t="n">
        <v>5</v>
      </c>
      <c r="G6" t="inlineStr">
        <is>
          <t>BG001, BG002, BG003, BG005, BG009</t>
        </is>
      </c>
      <c r="H6" t="inlineStr">
        <is>
          <t>22 Oktober 2010</t>
        </is>
      </c>
      <c r="I6" s="2" t="n">
        <v>46284</v>
      </c>
      <c r="J6" t="inlineStr">
        <is>
          <t>Disetujui</t>
        </is>
      </c>
      <c r="K6" t="n">
        <v>60</v>
      </c>
      <c r="L6" t="inlineStr">
        <is>
          <t>19 September 2026</t>
        </is>
      </c>
      <c r="M6" t="inlineStr">
        <is>
          <t>Konstruksi Gedung Hunian, Konstruksi Gedung Industri, Konstruksi Gedung Kesehatan, Konstruksi Gedung Lainnya, Konstruksi Gedung Perkantoran</t>
        </is>
      </c>
      <c r="N6" t="inlineStr">
        <is>
          <t>K</t>
        </is>
      </c>
      <c r="O6" t="inlineStr">
        <is>
          <t>20230915</t>
        </is>
      </c>
      <c r="P6" t="inlineStr">
        <is>
          <t>Jawa Barat</t>
        </is>
      </c>
      <c r="Q6" t="inlineStr"/>
    </row>
    <row r="7">
      <c r="A7" t="inlineStr">
        <is>
          <t>LUMBUNG KARUNIA</t>
        </is>
      </c>
      <c r="B7" t="inlineStr">
        <is>
          <t>Kota Bekasi</t>
        </is>
      </c>
      <c r="C7" t="inlineStr">
        <is>
          <t>087885855847</t>
        </is>
      </c>
      <c r="D7" t="inlineStr">
        <is>
          <t>lumbung_karuniapt@yahoo.co.id</t>
        </is>
      </c>
      <c r="E7" t="inlineStr">
        <is>
          <t>https://lpjk.pu.go.id/search-badan-usaha-detail/N3BKR0EyVWF3d2d6STRETlYrOW44Zz09</t>
        </is>
      </c>
      <c r="F7" t="n">
        <v>1</v>
      </c>
      <c r="G7" t="inlineStr">
        <is>
          <t>BS004</t>
        </is>
      </c>
      <c r="H7" t="inlineStr">
        <is>
          <t>15 Juli 2009</t>
        </is>
      </c>
      <c r="I7" s="2" t="n">
        <v>46284</v>
      </c>
      <c r="J7" t="inlineStr">
        <is>
          <t>Disetujui</t>
        </is>
      </c>
      <c r="K7" t="n">
        <v>60</v>
      </c>
      <c r="L7" t="inlineStr">
        <is>
          <t>19 September 2026</t>
        </is>
      </c>
      <c r="M7" t="inlineStr">
        <is>
          <t>Konstruksi Jaringan Irigasi dan Drainase</t>
        </is>
      </c>
      <c r="N7" t="inlineStr">
        <is>
          <t>K</t>
        </is>
      </c>
      <c r="O7" t="inlineStr">
        <is>
          <t>20230919</t>
        </is>
      </c>
      <c r="P7" t="inlineStr">
        <is>
          <t>Jawa Barat</t>
        </is>
      </c>
      <c r="Q7" s="3">
        <f>HYPERLINK("https://wa.me/6287885855847?text=*[PENGINGAT MASA BERLAKU SBU LUMBUNG KARUNIA]*%0A%0AYth. Pimpinan LUMBUNG KARUNIA,%0AMohon izin menginformasikan status SBU Anda di sistem LPJK:%0A%0A📄 SBU: BS004%0A📅 Expired: 19 September 2026 (60 Hari Lagi)%0A%0AKami tim PT. ESDEA Assistance Management siap men-support proses perpanjangan segera agar administrasi proyek tidak terhambat%0A%0AApakah boleh saya bantu siapkan estimasi biaya dan waktu pengerjaannya?.", "Hubungi")</f>
        <v/>
      </c>
    </row>
    <row r="8">
      <c r="A8" t="inlineStr">
        <is>
          <t>PANDAWA TUNGGAL JAYA</t>
        </is>
      </c>
      <c r="B8" t="inlineStr">
        <is>
          <t>Kota Adm. Jakarta Timur</t>
        </is>
      </c>
      <c r="C8" t="inlineStr">
        <is>
          <t>087858722975</t>
        </is>
      </c>
      <c r="D8" t="inlineStr">
        <is>
          <t>pandawatunggaljaya@gmail.com</t>
        </is>
      </c>
      <c r="E8" t="inlineStr">
        <is>
          <t>https://lpjk.pu.go.id/search-badan-usaha-detail/MHFWdVBzcHlhOUlzenJUR29SeTZ4QT09</t>
        </is>
      </c>
      <c r="F8" t="n">
        <v>2</v>
      </c>
      <c r="G8" t="inlineStr">
        <is>
          <t>BG009</t>
        </is>
      </c>
      <c r="H8" t="inlineStr">
        <is>
          <t>21 Januari 2014</t>
        </is>
      </c>
      <c r="I8" s="2" t="n">
        <v>46284</v>
      </c>
      <c r="J8" t="inlineStr">
        <is>
          <t>Disetujui</t>
        </is>
      </c>
      <c r="K8" t="n">
        <v>60</v>
      </c>
      <c r="L8" t="inlineStr">
        <is>
          <t>19 September 2026</t>
        </is>
      </c>
      <c r="M8" t="inlineStr">
        <is>
          <t>Konstruksi Gedung Lainnya</t>
        </is>
      </c>
      <c r="N8" t="inlineStr">
        <is>
          <t>K</t>
        </is>
      </c>
      <c r="O8" t="inlineStr">
        <is>
          <t>20230918</t>
        </is>
      </c>
      <c r="P8" t="inlineStr">
        <is>
          <t>DKI Jakarta</t>
        </is>
      </c>
      <c r="Q8" s="3">
        <f>HYPERLINK("https://wa.me/6287858722975?text=*[PENGINGAT MASA BERLAKU SBU PANDAWA TUNGGAL JAYA]*%0A%0AYth. Pimpinan PANDAWA TUNGGAL JAYA,%0AMohon izin menginformasikan status SBU Anda di sistem LPJK:%0A%0A📄 SBU: BG009%0A📅 Expired: 19 September 2026 (60 Hari Lagi)%0A%0AKami tim PT. ESDEA Assistance Management siap men-support proses perpanjangan segera agar administrasi proyek tidak terhambat%0A%0AApakah boleh saya bantu siapkan estimasi biaya dan waktu pengerjaannya?.", "Hubungi")</f>
        <v/>
      </c>
    </row>
    <row r="9">
      <c r="A9" t="inlineStr">
        <is>
          <t>PERUSAHAAN PERSEROAN (PERSERO) PT. WIJAYA KARYA</t>
        </is>
      </c>
      <c r="B9" t="inlineStr">
        <is>
          <t>Kota Adm. Jakarta Timur</t>
        </is>
      </c>
      <c r="C9" t="inlineStr">
        <is>
          <t>81909549222</t>
        </is>
      </c>
      <c r="D9" t="inlineStr">
        <is>
          <t>epc@wika.co.id</t>
        </is>
      </c>
      <c r="E9" t="inlineStr">
        <is>
          <t>https://lpjk.pu.go.id/search-badan-usaha-detail/bzdZcTV0SlVvYThqaTlPV09YSXVDUT09</t>
        </is>
      </c>
      <c r="F9" t="n">
        <v>1</v>
      </c>
      <c r="G9" t="inlineStr">
        <is>
          <t>BS013</t>
        </is>
      </c>
      <c r="H9" t="inlineStr">
        <is>
          <t>20 Desember 1972</t>
        </is>
      </c>
      <c r="I9" s="2" t="n">
        <v>46284</v>
      </c>
      <c r="J9" t="inlineStr">
        <is>
          <t>Disetujui</t>
        </is>
      </c>
      <c r="K9" t="n">
        <v>60</v>
      </c>
      <c r="L9" t="inlineStr">
        <is>
          <t>19 September 2026</t>
        </is>
      </c>
      <c r="M9" t="inlineStr">
        <is>
          <t>Konstruksi Bangunan Sipil Minyak dan Gas Bumi</t>
        </is>
      </c>
      <c r="N9" t="inlineStr">
        <is>
          <t>B</t>
        </is>
      </c>
      <c r="O9" t="inlineStr">
        <is>
          <t>20230727</t>
        </is>
      </c>
      <c r="P9" t="inlineStr">
        <is>
          <t>DKI Jakarta</t>
        </is>
      </c>
      <c r="Q9" s="3">
        <f>HYPERLINK("https://wa.me/6281909549222?text=*[PENGINGAT MASA BERLAKU SBU PERUSAHAAN PERSEROAN (PERSERO) PT. WIJAYA KARYA]*%0A%0AYth. Pimpinan PERUSAHAAN PERSEROAN (PERSERO) PT. WIJAYA KARYA,%0AMohon izin menginformasikan status SBU Anda di sistem LPJK:%0A%0A📄 SBU: BS013%0A📅 Expired: 19 September 2026 (60 Hari Lagi)%0A%0AKami tim PT. ESDEA Assistance Management siap men-support proses perpanjangan segera agar administrasi proyek tidak terhambat%0A%0AApakah boleh saya bantu siapkan estimasi biaya dan waktu pengerjaannya?.", "Hubungi")</f>
        <v/>
      </c>
    </row>
    <row r="10">
      <c r="A10" t="inlineStr">
        <is>
          <t>PUTRA ALFINDO CONSULTAMA</t>
        </is>
      </c>
      <c r="B10" t="inlineStr">
        <is>
          <t>Kota Adm. Jakarta Timur</t>
        </is>
      </c>
      <c r="C10" t="inlineStr">
        <is>
          <t>081237775751</t>
        </is>
      </c>
      <c r="D10" t="inlineStr">
        <is>
          <t>putraalfindo2@gmail.com</t>
        </is>
      </c>
      <c r="E10" t="inlineStr">
        <is>
          <t>https://lpjk.pu.go.id/search-badan-usaha-detail/MFkrejlybnZHbW01WUdRMnIvZkQ4QT09</t>
        </is>
      </c>
      <c r="F10" t="n">
        <v>3</v>
      </c>
      <c r="G10" t="inlineStr">
        <is>
          <t>BG001, BS001, BS004</t>
        </is>
      </c>
      <c r="H10" t="inlineStr">
        <is>
          <t>26 Juli 2021</t>
        </is>
      </c>
      <c r="I10" s="2" t="n">
        <v>46284</v>
      </c>
      <c r="J10" t="inlineStr">
        <is>
          <t>Disetujui, Pencabutan</t>
        </is>
      </c>
      <c r="K10" t="n">
        <v>60</v>
      </c>
      <c r="L10" t="inlineStr">
        <is>
          <t>19 September 2026</t>
        </is>
      </c>
      <c r="M10" t="inlineStr">
        <is>
          <t>Konstruksi Bangunan Sipil Jalan, Konstruksi Gedung Hunian, Konstruksi Jaringan Irigasi dan Drainase</t>
        </is>
      </c>
      <c r="N10" t="inlineStr">
        <is>
          <t>K</t>
        </is>
      </c>
      <c r="O10" t="inlineStr">
        <is>
          <t>20230915</t>
        </is>
      </c>
      <c r="P10" t="inlineStr">
        <is>
          <t>DKI Jakarta</t>
        </is>
      </c>
      <c r="Q10" s="3">
        <f>HYPERLINK("https://wa.me/6281237775751?text=*[PENGINGAT MASA BERLAKU SBU PUTRA ALFINDO CONSULTAMA]*%0A%0AYth. Pimpinan PUTRA ALFINDO CONSULTAMA,%0AMohon izin menginformasikan status SBU Anda di sistem LPJK:%0A%0A📄 SBU: BG001, BS001, BS004%0A📅 Expired: 19 September 2026 (60 Hari Lagi)%0A%0AKami tim PT. ESDEA Assistance Management siap men-support proses perpanjangan segera agar administrasi proyek tidak terhambat%0A%0AApakah boleh saya bantu siapkan estimasi biaya dan waktu pengerjaannya?.", "Hubungi")</f>
        <v/>
      </c>
    </row>
    <row r="11">
      <c r="A11" t="inlineStr">
        <is>
          <t>VAGHANDON JAYA TEKNIK</t>
        </is>
      </c>
      <c r="B11" t="inlineStr">
        <is>
          <t>Kab. Bekasi</t>
        </is>
      </c>
      <c r="C11" t="inlineStr">
        <is>
          <t>081297008999</t>
        </is>
      </c>
      <c r="D11" t="inlineStr">
        <is>
          <t>vaghandonjayateknik@gmail.com</t>
        </is>
      </c>
      <c r="E11" t="inlineStr">
        <is>
          <t>https://lpjk.pu.go.id/search-badan-usaha-detail/ZUp6NnU0WXBFaDBXNUlIZkszSTVTUT09</t>
        </is>
      </c>
      <c r="F11" t="n">
        <v>1</v>
      </c>
      <c r="G11" t="inlineStr">
        <is>
          <t>BG002</t>
        </is>
      </c>
      <c r="H11" t="inlineStr">
        <is>
          <t>2 Februari 2022</t>
        </is>
      </c>
      <c r="I11" s="2" t="n">
        <v>46284</v>
      </c>
      <c r="J11" t="inlineStr">
        <is>
          <t>Disetujui</t>
        </is>
      </c>
      <c r="K11" t="n">
        <v>60</v>
      </c>
      <c r="L11" t="inlineStr">
        <is>
          <t>19 September 2026</t>
        </is>
      </c>
      <c r="M11" t="inlineStr">
        <is>
          <t>Konstruksi Gedung Perkantoran</t>
        </is>
      </c>
      <c r="N11" t="inlineStr">
        <is>
          <t>K</t>
        </is>
      </c>
      <c r="O11" t="inlineStr">
        <is>
          <t>20230919</t>
        </is>
      </c>
      <c r="P11" t="inlineStr">
        <is>
          <t>Jawa Barat</t>
        </is>
      </c>
      <c r="Q11" s="3">
        <f>HYPERLINK("https://wa.me/6281297008999?text=*[PENGINGAT MASA BERLAKU SBU VAGHANDON JAYA TEKNIK]*%0A%0AYth. Pimpinan VAGHANDON JAYA TEKNIK,%0AMohon izin menginformasikan status SBU Anda di sistem LPJK:%0A%0A📄 SBU: BG002%0A📅 Expired: 19 September 2026 (60 Hari Lagi)%0A%0AKami tim PT. ESDEA Assistance Management siap men-support proses perpanjangan segera agar administrasi proyek tidak terhambat%0A%0AApakah boleh saya bantu siapkan estimasi biaya dan waktu pengerjaannya?.", "Hubungi")</f>
        <v/>
      </c>
    </row>
    <row r="12">
      <c r="A12" t="inlineStr">
        <is>
          <t>ABADI KEREN</t>
        </is>
      </c>
      <c r="B12" t="inlineStr">
        <is>
          <t>Kab. Mamuju</t>
        </is>
      </c>
      <c r="C12" t="inlineStr">
        <is>
          <t>085254706510</t>
        </is>
      </c>
      <c r="D12" t="inlineStr">
        <is>
          <t>cvabadikeren@gmail.com</t>
        </is>
      </c>
      <c r="E12" t="inlineStr">
        <is>
          <t>https://lpjk.pu.go.id/search-badan-usaha-detail/N3VoSXpqLzZZeHhDdTZRZiswdUtlUT09</t>
        </is>
      </c>
      <c r="F12" t="n">
        <v>8</v>
      </c>
      <c r="G12" t="inlineStr">
        <is>
          <t>BS001</t>
        </is>
      </c>
      <c r="H12" t="inlineStr">
        <is>
          <t>9 November 2022</t>
        </is>
      </c>
      <c r="I12" s="2" t="n">
        <v>46284</v>
      </c>
      <c r="J12" t="inlineStr">
        <is>
          <t>Disetujui</t>
        </is>
      </c>
      <c r="K12" t="n">
        <v>60</v>
      </c>
      <c r="L12" t="inlineStr">
        <is>
          <t>19 September 2026</t>
        </is>
      </c>
      <c r="M12" t="inlineStr">
        <is>
          <t>Konstruksi Bangunan Sipil Jalan</t>
        </is>
      </c>
      <c r="N12" t="inlineStr">
        <is>
          <t>K</t>
        </is>
      </c>
      <c r="O12" t="inlineStr">
        <is>
          <t>20230915</t>
        </is>
      </c>
      <c r="P12" t="inlineStr">
        <is>
          <t>Sulawesi Barat</t>
        </is>
      </c>
      <c r="Q12" t="inlineStr"/>
    </row>
    <row r="13">
      <c r="A13" t="inlineStr">
        <is>
          <t>ADHIE JAYA MUKTI</t>
        </is>
      </c>
      <c r="B13" t="inlineStr">
        <is>
          <t>Kab. Jepara</t>
        </is>
      </c>
      <c r="C13" t="inlineStr">
        <is>
          <t>082328208453</t>
        </is>
      </c>
      <c r="D13" t="inlineStr">
        <is>
          <t>adhiejayamukti@gmail.com</t>
        </is>
      </c>
      <c r="E13" t="inlineStr">
        <is>
          <t>https://lpjk.pu.go.id/search-badan-usaha-detail/Nk8xM2FWMWt0TXN1Mjd6R2VzN1B6V1pLNzVXQXBJVnRtQmpDOEdvaGhCUT0</t>
        </is>
      </c>
      <c r="F13" t="n">
        <v>1</v>
      </c>
      <c r="G13" t="inlineStr">
        <is>
          <t>BG003</t>
        </is>
      </c>
      <c r="H13" t="inlineStr">
        <is>
          <t>18 November 2025</t>
        </is>
      </c>
      <c r="I13" s="2" t="n">
        <v>46284</v>
      </c>
      <c r="J13" t="inlineStr">
        <is>
          <t>Disetujui</t>
        </is>
      </c>
      <c r="K13" t="n">
        <v>60</v>
      </c>
      <c r="L13" t="inlineStr">
        <is>
          <t>19 September 2026</t>
        </is>
      </c>
      <c r="M13" t="inlineStr">
        <is>
          <t>Konstruksi Gedung Industri</t>
        </is>
      </c>
      <c r="N13" t="inlineStr">
        <is>
          <t>K</t>
        </is>
      </c>
      <c r="O13" t="inlineStr">
        <is>
          <t>20230915</t>
        </is>
      </c>
      <c r="P13" t="inlineStr">
        <is>
          <t>Jawa Tengah</t>
        </is>
      </c>
      <c r="Q13" t="inlineStr"/>
    </row>
    <row r="14">
      <c r="A14" t="inlineStr">
        <is>
          <t>ADIL MAKMUR SENTOSA</t>
        </is>
      </c>
      <c r="B14" t="inlineStr">
        <is>
          <t>Kota Adm. Jakarta Barat</t>
        </is>
      </c>
      <c r="C14" t="inlineStr">
        <is>
          <t>0215553648</t>
        </is>
      </c>
      <c r="D14" t="inlineStr">
        <is>
          <t>adilmakmursentosajakarta@gmail.com</t>
        </is>
      </c>
      <c r="E14" t="inlineStr">
        <is>
          <t>https://lpjk.pu.go.id/search-badan-usaha-detail/cFBVb0oxSXFXLzhvdmZLbHp1OWtOZz09</t>
        </is>
      </c>
      <c r="F14" t="n">
        <v>1</v>
      </c>
      <c r="G14" t="inlineStr">
        <is>
          <t>BS010</t>
        </is>
      </c>
      <c r="H14" t="inlineStr">
        <is>
          <t>25 Oktober 2012</t>
        </is>
      </c>
      <c r="I14" s="2" t="n">
        <v>46284</v>
      </c>
      <c r="J14" t="inlineStr">
        <is>
          <t>Disetujui</t>
        </is>
      </c>
      <c r="K14" t="n">
        <v>60</v>
      </c>
      <c r="L14" t="inlineStr">
        <is>
          <t>19 September 2026</t>
        </is>
      </c>
      <c r="M14" t="inlineStr">
        <is>
          <t>Konstruksi Bangunan Prasarana Sumber Daya Air</t>
        </is>
      </c>
      <c r="N14" t="inlineStr">
        <is>
          <t>K</t>
        </is>
      </c>
      <c r="O14" t="inlineStr">
        <is>
          <t>20230830</t>
        </is>
      </c>
      <c r="P14" t="inlineStr">
        <is>
          <t>DKI Jakarta</t>
        </is>
      </c>
      <c r="Q14" t="inlineStr"/>
    </row>
    <row r="15">
      <c r="A15" t="inlineStr">
        <is>
          <t>ADITYA SINAR PRATAMA</t>
        </is>
      </c>
      <c r="B15" t="inlineStr">
        <is>
          <t>Kab. Klungkung</t>
        </is>
      </c>
      <c r="C15" t="inlineStr">
        <is>
          <t>087761298320</t>
        </is>
      </c>
      <c r="D15" t="inlineStr">
        <is>
          <t>ptadityasinarpratama1990@gmail.com</t>
        </is>
      </c>
      <c r="E15" t="inlineStr">
        <is>
          <t>https://lpjk.pu.go.id/search-badan-usaha-detail/OWtHUDB6aTN2QVRRbVp6ZTk1NmFkdz09</t>
        </is>
      </c>
      <c r="F15" t="n">
        <v>1</v>
      </c>
      <c r="G15" t="inlineStr">
        <is>
          <t>BS004</t>
        </is>
      </c>
      <c r="H15" t="inlineStr">
        <is>
          <t>2 Februari 2007</t>
        </is>
      </c>
      <c r="I15" s="2" t="n">
        <v>46284</v>
      </c>
      <c r="J15" t="inlineStr">
        <is>
          <t>Disetujui</t>
        </is>
      </c>
      <c r="K15" t="n">
        <v>60</v>
      </c>
      <c r="L15" t="inlineStr">
        <is>
          <t>19 September 2026</t>
        </is>
      </c>
      <c r="M15" t="inlineStr">
        <is>
          <t>Konstruksi Jaringan Irigasi dan Drainase</t>
        </is>
      </c>
      <c r="N15" t="inlineStr">
        <is>
          <t>M</t>
        </is>
      </c>
      <c r="O15" t="inlineStr">
        <is>
          <t>20230728</t>
        </is>
      </c>
      <c r="P15" t="inlineStr">
        <is>
          <t>Bali</t>
        </is>
      </c>
      <c r="Q15" t="inlineStr"/>
    </row>
    <row r="16">
      <c r="A16" t="inlineStr">
        <is>
          <t>ADYA TATA MANDIRI ITNIC</t>
        </is>
      </c>
      <c r="B16" t="inlineStr">
        <is>
          <t>Kab. Sidoarjo</t>
        </is>
      </c>
      <c r="C16" t="inlineStr">
        <is>
          <t>03199031774</t>
        </is>
      </c>
      <c r="D16" t="inlineStr">
        <is>
          <t>marketing@adyatatamandiri.com</t>
        </is>
      </c>
      <c r="E16" t="inlineStr">
        <is>
          <t>https://lpjk.pu.go.id/search-badan-usaha-detail/S0ZHK0dhRmFDblBJUGt1cDA2cGhhUT09</t>
        </is>
      </c>
      <c r="F16" t="n">
        <v>1</v>
      </c>
      <c r="G16" t="inlineStr">
        <is>
          <t>BG002</t>
        </is>
      </c>
      <c r="H16" t="inlineStr">
        <is>
          <t>5 Agustus 2019</t>
        </is>
      </c>
      <c r="I16" s="2" t="n">
        <v>46284</v>
      </c>
      <c r="J16" t="inlineStr">
        <is>
          <t>Disetujui</t>
        </is>
      </c>
      <c r="K16" t="n">
        <v>60</v>
      </c>
      <c r="L16" t="inlineStr">
        <is>
          <t>19 September 2026</t>
        </is>
      </c>
      <c r="M16" t="inlineStr">
        <is>
          <t>Konstruksi Gedung Perkantoran</t>
        </is>
      </c>
      <c r="N16" t="inlineStr">
        <is>
          <t>K</t>
        </is>
      </c>
      <c r="O16" t="inlineStr">
        <is>
          <t>20230910</t>
        </is>
      </c>
      <c r="P16" t="inlineStr">
        <is>
          <t>Jawa Timur</t>
        </is>
      </c>
      <c r="Q16" t="inlineStr"/>
    </row>
    <row r="17">
      <c r="A17" t="inlineStr">
        <is>
          <t>AKHTAR KARYA UTAMA</t>
        </is>
      </c>
      <c r="B17" t="inlineStr">
        <is>
          <t>Kota Bandung</t>
        </is>
      </c>
      <c r="C17" t="inlineStr">
        <is>
          <t>085195902790</t>
        </is>
      </c>
      <c r="D17" t="inlineStr">
        <is>
          <t>akhtarkaryautama@gmail.com</t>
        </is>
      </c>
      <c r="E17" t="inlineStr">
        <is>
          <t>https://lpjk.pu.go.id/search-badan-usaha-detail/UW1jSDV2eFhkelJHVEhFTC9EcTdMQT09</t>
        </is>
      </c>
      <c r="F17" t="n">
        <v>6</v>
      </c>
      <c r="G17" t="inlineStr">
        <is>
          <t>BG001, BG003, BG007, BG008, BS001, BS004</t>
        </is>
      </c>
      <c r="H17" t="inlineStr">
        <is>
          <t>23 Agustus 2022</t>
        </is>
      </c>
      <c r="I17" s="2" t="n">
        <v>46284</v>
      </c>
      <c r="J17" t="inlineStr">
        <is>
          <t>Disetujui, Pencabutan</t>
        </is>
      </c>
      <c r="K17" t="n">
        <v>60</v>
      </c>
      <c r="L17" t="inlineStr">
        <is>
          <t>19 September 2026</t>
        </is>
      </c>
      <c r="M17" t="inlineStr">
        <is>
          <t>Konstruksi Bangunan Sipil Jalan, Konstruksi Gedung Hunian, Konstruksi Gedung Industri, Konstruksi Gedung Penginapan, Konstruksi Gedung Tempat Hiburan dan Olahraga, Konstruksi Jaringan Irigasi dan Drainase</t>
        </is>
      </c>
      <c r="N17" t="inlineStr">
        <is>
          <t>K</t>
        </is>
      </c>
      <c r="O17" t="inlineStr">
        <is>
          <t>20230913, 20230914, 20230920</t>
        </is>
      </c>
      <c r="P17" t="inlineStr">
        <is>
          <t>Jawa Barat</t>
        </is>
      </c>
      <c r="Q17" t="inlineStr"/>
    </row>
    <row r="18">
      <c r="A18" t="inlineStr">
        <is>
          <t>ALFIAN DINAMIKA ENGINEER</t>
        </is>
      </c>
      <c r="B18" t="inlineStr">
        <is>
          <t>Kota Pontianak</t>
        </is>
      </c>
      <c r="C18" t="inlineStr">
        <is>
          <t>085245010122</t>
        </is>
      </c>
      <c r="D18" t="inlineStr">
        <is>
          <t>alfian.dinamika@gmail.com</t>
        </is>
      </c>
      <c r="E18" t="inlineStr">
        <is>
          <t>https://lpjk.pu.go.id/search-badan-usaha-detail/aHR0Wm1td3NsNjBJN2pEQXNhS0JNdz09</t>
        </is>
      </c>
      <c r="F18" t="n">
        <v>1</v>
      </c>
      <c r="G18" t="inlineStr">
        <is>
          <t>BS001</t>
        </is>
      </c>
      <c r="H18" t="inlineStr">
        <is>
          <t>22 Juni 2012</t>
        </is>
      </c>
      <c r="I18" s="2" t="n">
        <v>46284</v>
      </c>
      <c r="J18" t="inlineStr">
        <is>
          <t>Disetujui</t>
        </is>
      </c>
      <c r="K18" t="n">
        <v>60</v>
      </c>
      <c r="L18" t="inlineStr">
        <is>
          <t>19 September 2026</t>
        </is>
      </c>
      <c r="M18" t="inlineStr">
        <is>
          <t>Konstruksi Bangunan Sipil Jalan</t>
        </is>
      </c>
      <c r="N18" t="inlineStr">
        <is>
          <t>K</t>
        </is>
      </c>
      <c r="O18" t="inlineStr">
        <is>
          <t>20230915</t>
        </is>
      </c>
      <c r="P18" t="inlineStr">
        <is>
          <t>Kalimantan Barat</t>
        </is>
      </c>
      <c r="Q18" t="inlineStr"/>
    </row>
    <row r="19">
      <c r="A19" t="inlineStr">
        <is>
          <t>AMANDA NUGRAHA AMALIA</t>
        </is>
      </c>
      <c r="B19" t="inlineStr">
        <is>
          <t>Kab. Muara Enim</t>
        </is>
      </c>
      <c r="C19" t="inlineStr">
        <is>
          <t>085292777701</t>
        </is>
      </c>
      <c r="D19" t="inlineStr">
        <is>
          <t>cvamandanugrahaamalia2022@gmail.com</t>
        </is>
      </c>
      <c r="E19" t="inlineStr">
        <is>
          <t>https://lpjk.pu.go.id/search-badan-usaha-detail/Sk03cUE3ZThTdHhzTFMySWo5NTM4QT09</t>
        </is>
      </c>
      <c r="F19" t="n">
        <v>4</v>
      </c>
      <c r="G19" t="inlineStr">
        <is>
          <t>BG006, BS001</t>
        </is>
      </c>
      <c r="H19" t="inlineStr">
        <is>
          <t>27 Juni 2022</t>
        </is>
      </c>
      <c r="I19" s="2" t="n">
        <v>46284</v>
      </c>
      <c r="J19" t="inlineStr">
        <is>
          <t>Disetujui</t>
        </is>
      </c>
      <c r="K19" t="n">
        <v>60</v>
      </c>
      <c r="L19" t="inlineStr">
        <is>
          <t>19 September 2026</t>
        </is>
      </c>
      <c r="M19" t="inlineStr">
        <is>
          <t>Konstruksi Bangunan Sipil Jalan, Konstruksi Gedung Pendidikan</t>
        </is>
      </c>
      <c r="N19" t="inlineStr">
        <is>
          <t>K</t>
        </is>
      </c>
      <c r="O19" t="inlineStr">
        <is>
          <t>20230919</t>
        </is>
      </c>
      <c r="P19" t="inlineStr">
        <is>
          <t>Sumatera Selatan</t>
        </is>
      </c>
      <c r="Q19" t="inlineStr"/>
    </row>
    <row r="20">
      <c r="A20" t="inlineStr">
        <is>
          <t>ANDARU PUTRA JAYA</t>
        </is>
      </c>
      <c r="B20" t="inlineStr">
        <is>
          <t>Kota Bandar Lampung</t>
        </is>
      </c>
      <c r="C20" t="inlineStr">
        <is>
          <t>081367533385</t>
        </is>
      </c>
      <c r="D20" t="inlineStr">
        <is>
          <t>ptandaruputrajaya@gmail.com</t>
        </is>
      </c>
      <c r="E20" t="inlineStr">
        <is>
          <t>https://lpjk.pu.go.id/search-badan-usaha-detail/VEhzTVV4NzNCNEdTcEhaMmFZazR2UT09</t>
        </is>
      </c>
      <c r="F20" t="n">
        <v>8</v>
      </c>
      <c r="G20" t="inlineStr">
        <is>
          <t>BG001, BG002, BG003, BG009</t>
        </is>
      </c>
      <c r="H20" t="inlineStr">
        <is>
          <t>5 Agustus 2023</t>
        </is>
      </c>
      <c r="I20" s="2" t="n">
        <v>46284</v>
      </c>
      <c r="J20" t="inlineStr">
        <is>
          <t>Disetujui</t>
        </is>
      </c>
      <c r="K20" t="n">
        <v>60</v>
      </c>
      <c r="L20" t="inlineStr">
        <is>
          <t>19 September 2026</t>
        </is>
      </c>
      <c r="M20" t="inlineStr">
        <is>
          <t>Konstruksi Gedung Hunian, Konstruksi Gedung Industri, Konstruksi Gedung Lainnya, Konstruksi Gedung Perkantoran</t>
        </is>
      </c>
      <c r="N20" t="inlineStr">
        <is>
          <t>K</t>
        </is>
      </c>
      <c r="O20" t="inlineStr">
        <is>
          <t>20230808, 20230919</t>
        </is>
      </c>
      <c r="P20" t="inlineStr">
        <is>
          <t>Lampung</t>
        </is>
      </c>
      <c r="Q20" t="inlineStr"/>
    </row>
    <row r="21">
      <c r="A21" t="inlineStr">
        <is>
          <t>ANTIKA PURNAMA JAYA</t>
        </is>
      </c>
      <c r="B21" t="inlineStr">
        <is>
          <t>Kab. Gresik</t>
        </is>
      </c>
      <c r="C21" t="inlineStr">
        <is>
          <t>081334714500</t>
        </is>
      </c>
      <c r="D21" t="inlineStr">
        <is>
          <t>cv.antikapurnamajaya@gmail.com</t>
        </is>
      </c>
      <c r="E21" t="inlineStr">
        <is>
          <t>https://lpjk.pu.go.id/search-badan-usaha-detail/UUM1T3ZQNXduaTJlMHVESkc0aXZMdz09</t>
        </is>
      </c>
      <c r="F21" t="n">
        <v>1</v>
      </c>
      <c r="G21" t="inlineStr">
        <is>
          <t>BG002</t>
        </is>
      </c>
      <c r="H21" t="inlineStr">
        <is>
          <t>21 Februari 2023</t>
        </is>
      </c>
      <c r="I21" s="2" t="n">
        <v>46284</v>
      </c>
      <c r="J21" t="inlineStr">
        <is>
          <t>Disetujui</t>
        </is>
      </c>
      <c r="K21" t="n">
        <v>60</v>
      </c>
      <c r="L21" t="inlineStr">
        <is>
          <t>19 September 2026</t>
        </is>
      </c>
      <c r="M21" t="inlineStr">
        <is>
          <t>Konstruksi Gedung Perkantoran</t>
        </is>
      </c>
      <c r="N21" t="inlineStr">
        <is>
          <t>K</t>
        </is>
      </c>
      <c r="O21" t="inlineStr">
        <is>
          <t>20230903</t>
        </is>
      </c>
      <c r="P21" t="inlineStr">
        <is>
          <t>Jawa Timur</t>
        </is>
      </c>
      <c r="Q21" t="inlineStr"/>
    </row>
    <row r="22">
      <c r="A22" t="inlineStr">
        <is>
          <t>ANUGERAH JAYA</t>
        </is>
      </c>
      <c r="B22" t="inlineStr">
        <is>
          <t>Kab. Bojonegoro</t>
        </is>
      </c>
      <c r="C22" t="inlineStr">
        <is>
          <t>085865361505</t>
        </is>
      </c>
      <c r="D22" t="inlineStr">
        <is>
          <t>cv.anugerahjayakatur@yahoo.com</t>
        </is>
      </c>
      <c r="E22" t="inlineStr">
        <is>
          <t>https://lpjk.pu.go.id/search-badan-usaha-detail/cU43dG4wTVNhTXV3VUZoOG84MU9WUT09</t>
        </is>
      </c>
      <c r="F22" t="n">
        <v>1</v>
      </c>
      <c r="G22" t="inlineStr">
        <is>
          <t>BS001</t>
        </is>
      </c>
      <c r="H22" t="inlineStr">
        <is>
          <t>24 November 2016</t>
        </is>
      </c>
      <c r="I22" s="2" t="n">
        <v>46284</v>
      </c>
      <c r="J22" t="inlineStr">
        <is>
          <t>Disetujui</t>
        </is>
      </c>
      <c r="K22" t="n">
        <v>60</v>
      </c>
      <c r="L22" t="inlineStr">
        <is>
          <t>19 September 2026</t>
        </is>
      </c>
      <c r="M22" t="inlineStr">
        <is>
          <t>Konstruksi Bangunan Sipil Jalan</t>
        </is>
      </c>
      <c r="N22" t="inlineStr">
        <is>
          <t>K</t>
        </is>
      </c>
      <c r="O22" t="inlineStr">
        <is>
          <t>20230919</t>
        </is>
      </c>
      <c r="P22" t="inlineStr">
        <is>
          <t>Jawa Timur</t>
        </is>
      </c>
      <c r="Q22" t="inlineStr"/>
    </row>
    <row r="23">
      <c r="A23" t="inlineStr">
        <is>
          <t>ANUGERAH KEMILAU ABADI</t>
        </is>
      </c>
      <c r="B23" t="inlineStr">
        <is>
          <t>Kota Tangerang</t>
        </is>
      </c>
      <c r="C23" t="inlineStr">
        <is>
          <t>02155722499</t>
        </is>
      </c>
      <c r="D23" t="inlineStr">
        <is>
          <t>info.anugerahkemilauabadi@gmail.com</t>
        </is>
      </c>
      <c r="E23" t="inlineStr">
        <is>
          <t>https://lpjk.pu.go.id/search-badan-usaha-detail/SGNkaTFZeS9uSUJzUkhHdGh2SmhEUT09</t>
        </is>
      </c>
      <c r="F23" t="n">
        <v>1</v>
      </c>
      <c r="G23" t="inlineStr">
        <is>
          <t>BG003</t>
        </is>
      </c>
      <c r="H23" t="inlineStr">
        <is>
          <t>19 September 2019</t>
        </is>
      </c>
      <c r="I23" s="2" t="n">
        <v>46284</v>
      </c>
      <c r="J23" t="inlineStr">
        <is>
          <t>Disetujui</t>
        </is>
      </c>
      <c r="K23" t="n">
        <v>60</v>
      </c>
      <c r="L23" t="inlineStr">
        <is>
          <t>19 September 2026</t>
        </is>
      </c>
      <c r="M23" t="inlineStr">
        <is>
          <t>Konstruksi Gedung Industri</t>
        </is>
      </c>
      <c r="N23" t="inlineStr">
        <is>
          <t>K</t>
        </is>
      </c>
      <c r="O23" t="inlineStr">
        <is>
          <t>20230919</t>
        </is>
      </c>
      <c r="P23" t="inlineStr">
        <is>
          <t>Banten</t>
        </is>
      </c>
      <c r="Q23" t="inlineStr"/>
    </row>
    <row r="24">
      <c r="A24" t="inlineStr">
        <is>
          <t>ARTHA SENTRA NUSANTARA</t>
        </is>
      </c>
      <c r="B24" t="inlineStr">
        <is>
          <t>Kota Surabaya</t>
        </is>
      </c>
      <c r="C24" t="inlineStr">
        <is>
          <t>03199753010</t>
        </is>
      </c>
      <c r="D24" t="inlineStr">
        <is>
          <t>arsent_interior@yahoo.com</t>
        </is>
      </c>
      <c r="E24" t="inlineStr">
        <is>
          <t>https://lpjk.pu.go.id/search-badan-usaha-detail/QnlITEVXM0xMR2hLUnVXVW1NalphZz09</t>
        </is>
      </c>
      <c r="F24" t="n">
        <v>1</v>
      </c>
      <c r="G24" t="inlineStr">
        <is>
          <t>BG003</t>
        </is>
      </c>
      <c r="H24" t="inlineStr">
        <is>
          <t>17 Mei 2017</t>
        </is>
      </c>
      <c r="I24" s="2" t="n">
        <v>46284</v>
      </c>
      <c r="J24" t="inlineStr">
        <is>
          <t>Disetujui</t>
        </is>
      </c>
      <c r="K24" t="n">
        <v>60</v>
      </c>
      <c r="L24" t="inlineStr">
        <is>
          <t>19 September 2026</t>
        </is>
      </c>
      <c r="M24" t="inlineStr">
        <is>
          <t>Konstruksi Gedung Industri</t>
        </is>
      </c>
      <c r="N24" t="inlineStr">
        <is>
          <t>K</t>
        </is>
      </c>
      <c r="O24" t="inlineStr">
        <is>
          <t>20230918</t>
        </is>
      </c>
      <c r="P24" t="inlineStr">
        <is>
          <t>Jawa Timur</t>
        </is>
      </c>
      <c r="Q24" t="inlineStr"/>
    </row>
    <row r="25">
      <c r="A25" t="inlineStr">
        <is>
          <t>ASRI KARYA</t>
        </is>
      </c>
      <c r="B25" t="inlineStr">
        <is>
          <t>Kab. Sumenep</t>
        </is>
      </c>
      <c r="C25" t="inlineStr">
        <is>
          <t>087730505060</t>
        </is>
      </c>
      <c r="D25" t="inlineStr">
        <is>
          <t>cvasrikarya67@gmail.com</t>
        </is>
      </c>
      <c r="E25" t="inlineStr">
        <is>
          <t>https://lpjk.pu.go.id/search-badan-usaha-detail/UnM2UTRRRWRkYU1pMC9Gb1IvanNVQT09</t>
        </is>
      </c>
      <c r="F25" t="n">
        <v>1</v>
      </c>
      <c r="G25" t="inlineStr">
        <is>
          <t>BG002</t>
        </is>
      </c>
      <c r="H25" t="inlineStr">
        <is>
          <t>26 Februari 1985</t>
        </is>
      </c>
      <c r="I25" s="2" t="n">
        <v>46284</v>
      </c>
      <c r="J25" t="inlineStr">
        <is>
          <t>Disetujui</t>
        </is>
      </c>
      <c r="K25" t="n">
        <v>60</v>
      </c>
      <c r="L25" t="inlineStr">
        <is>
          <t>19 September 2026</t>
        </is>
      </c>
      <c r="M25" t="inlineStr">
        <is>
          <t>Konstruksi Gedung Perkantoran</t>
        </is>
      </c>
      <c r="N25" t="inlineStr">
        <is>
          <t>K</t>
        </is>
      </c>
      <c r="O25" t="inlineStr">
        <is>
          <t>20230915</t>
        </is>
      </c>
      <c r="P25" t="inlineStr">
        <is>
          <t>Jawa Timur</t>
        </is>
      </c>
      <c r="Q25" t="inlineStr"/>
    </row>
    <row r="26">
      <c r="A26" t="inlineStr">
        <is>
          <t>AYZE YEZENIA VASHNIE</t>
        </is>
      </c>
      <c r="B26" t="inlineStr">
        <is>
          <t>Kota Tasikmalaya</t>
        </is>
      </c>
      <c r="C26" t="inlineStr">
        <is>
          <t>085295818818</t>
        </is>
      </c>
      <c r="D26" t="inlineStr">
        <is>
          <t>ayzeyezeniavashnie25@gmail.com</t>
        </is>
      </c>
      <c r="E26" t="inlineStr">
        <is>
          <t>https://lpjk.pu.go.id/search-badan-usaha-detail/VEJlS0o4RkpiRlVpVmxqa1drZ1JuZz09</t>
        </is>
      </c>
      <c r="F26" t="n">
        <v>1</v>
      </c>
      <c r="G26" t="inlineStr">
        <is>
          <t>BS001</t>
        </is>
      </c>
      <c r="H26" t="inlineStr">
        <is>
          <t>24 Agustus 2018</t>
        </is>
      </c>
      <c r="I26" s="2" t="n">
        <v>46284</v>
      </c>
      <c r="J26" t="inlineStr">
        <is>
          <t>Disetujui</t>
        </is>
      </c>
      <c r="K26" t="n">
        <v>60</v>
      </c>
      <c r="L26" t="inlineStr">
        <is>
          <t>19 September 2026</t>
        </is>
      </c>
      <c r="M26" t="inlineStr">
        <is>
          <t>Konstruksi Bangunan Sipil Jalan</t>
        </is>
      </c>
      <c r="N26" t="inlineStr">
        <is>
          <t>K</t>
        </is>
      </c>
      <c r="O26" t="inlineStr">
        <is>
          <t>20230919</t>
        </is>
      </c>
      <c r="P26" t="inlineStr">
        <is>
          <t>Jawa Barat</t>
        </is>
      </c>
      <c r="Q26" t="inlineStr"/>
    </row>
    <row r="27">
      <c r="A27" t="inlineStr">
        <is>
          <t>BANGUN BINTAN JAYA</t>
        </is>
      </c>
      <c r="B27" t="inlineStr">
        <is>
          <t>Kota Tanjung Pinang</t>
        </is>
      </c>
      <c r="C27" t="inlineStr">
        <is>
          <t>077128150</t>
        </is>
      </c>
      <c r="D27" t="inlineStr">
        <is>
          <t>bangunbintanjaya_cv@yahoo.co.id</t>
        </is>
      </c>
      <c r="E27" t="inlineStr">
        <is>
          <t>https://lpjk.pu.go.id/search-badan-usaha-detail/UXJOMW5VMzZ2WUI2TjJtYStWalFqQT09</t>
        </is>
      </c>
      <c r="F27" t="n">
        <v>3</v>
      </c>
      <c r="G27" t="inlineStr">
        <is>
          <t>BG002, BG004, BG009</t>
        </is>
      </c>
      <c r="H27" t="inlineStr">
        <is>
          <t>7 Juli 1999</t>
        </is>
      </c>
      <c r="I27" s="2" t="n">
        <v>46284</v>
      </c>
      <c r="J27" t="inlineStr">
        <is>
          <t>Pencabutan</t>
        </is>
      </c>
      <c r="K27" t="n">
        <v>60</v>
      </c>
      <c r="L27" t="inlineStr">
        <is>
          <t>19 September 2026</t>
        </is>
      </c>
      <c r="M27" t="inlineStr">
        <is>
          <t>Konstruksi Gedung Lainnya, Konstruksi Gedung Perbelanjaan, Konstruksi Gedung Perkantoran</t>
        </is>
      </c>
      <c r="N27" t="inlineStr">
        <is>
          <t>K</t>
        </is>
      </c>
      <c r="O27" t="inlineStr">
        <is>
          <t>20230911</t>
        </is>
      </c>
      <c r="P27" t="inlineStr">
        <is>
          <t>Kepulauan Riau</t>
        </is>
      </c>
      <c r="Q27" t="inlineStr"/>
    </row>
    <row r="28">
      <c r="A28" t="inlineStr">
        <is>
          <t>BANGUN RANCANG ENGINEERING</t>
        </is>
      </c>
      <c r="B28" t="inlineStr">
        <is>
          <t>Kota Adm. Jakarta Selatan</t>
        </is>
      </c>
      <c r="C28" t="inlineStr">
        <is>
          <t>02150812001</t>
        </is>
      </c>
      <c r="D28" t="inlineStr">
        <is>
          <t>bangun.rancang.engineering@gmail.com</t>
        </is>
      </c>
      <c r="E28" t="inlineStr">
        <is>
          <t>https://lpjk.pu.go.id/search-badan-usaha-detail/NkxKLzBzQzV4cEJDems3ZlhnblZvZz09</t>
        </is>
      </c>
      <c r="F28" t="n">
        <v>1</v>
      </c>
      <c r="G28" t="inlineStr">
        <is>
          <t>AR001</t>
        </is>
      </c>
      <c r="H28" t="inlineStr">
        <is>
          <t>7 Januari 2019</t>
        </is>
      </c>
      <c r="I28" s="2" t="n">
        <v>46284</v>
      </c>
      <c r="J28" t="inlineStr">
        <is>
          <t>Disetujui</t>
        </is>
      </c>
      <c r="K28" t="n">
        <v>60</v>
      </c>
      <c r="L28" t="inlineStr">
        <is>
          <t>19 September 2026</t>
        </is>
      </c>
      <c r="M28" t="inlineStr">
        <is>
          <t>Jasa Arsitektural Bangunan Gedung Hunian dan Non Hunian</t>
        </is>
      </c>
      <c r="N28" t="inlineStr">
        <is>
          <t>K</t>
        </is>
      </c>
      <c r="O28" t="inlineStr">
        <is>
          <t>20230905</t>
        </is>
      </c>
      <c r="P28" t="inlineStr">
        <is>
          <t>DKI Jakarta</t>
        </is>
      </c>
      <c r="Q28" t="inlineStr"/>
    </row>
    <row r="29">
      <c r="A29" t="inlineStr">
        <is>
          <t>BATIK MANGKULUHUR</t>
        </is>
      </c>
      <c r="B29" t="inlineStr">
        <is>
          <t>Kota Samarinda</t>
        </is>
      </c>
      <c r="C29" t="inlineStr">
        <is>
          <t>085155471499</t>
        </is>
      </c>
      <c r="D29" t="inlineStr">
        <is>
          <t>cvbatikmangkuluhur@gmail.com</t>
        </is>
      </c>
      <c r="E29" t="inlineStr">
        <is>
          <t>https://lpjk.pu.go.id/search-badan-usaha-detail/NWRoRUljVUNUODdTSkxzTUdhcjhZQT09</t>
        </is>
      </c>
      <c r="F29" t="n">
        <v>3</v>
      </c>
      <c r="G29" t="inlineStr">
        <is>
          <t>BG005, BG009, BS004</t>
        </is>
      </c>
      <c r="H29" t="inlineStr">
        <is>
          <t>7 Januari 2009</t>
        </is>
      </c>
      <c r="I29" s="2" t="n">
        <v>46284</v>
      </c>
      <c r="J29" t="inlineStr">
        <is>
          <t>Disetujui</t>
        </is>
      </c>
      <c r="K29" t="n">
        <v>60</v>
      </c>
      <c r="L29" t="inlineStr">
        <is>
          <t>19 September 2026</t>
        </is>
      </c>
      <c r="M29" t="inlineStr">
        <is>
          <t>Konstruksi Gedung Kesehatan, Konstruksi Gedung Lainnya, Konstruksi Jaringan Irigasi dan Drainase</t>
        </is>
      </c>
      <c r="N29" t="inlineStr">
        <is>
          <t>K</t>
        </is>
      </c>
      <c r="O29" t="inlineStr">
        <is>
          <t>20230911</t>
        </is>
      </c>
      <c r="P29" t="inlineStr">
        <is>
          <t>Kalimantan Timur</t>
        </is>
      </c>
      <c r="Q29" t="inlineStr"/>
    </row>
    <row r="30">
      <c r="A30" t="inlineStr">
        <is>
          <t>BATURAJA INDAH SARANA</t>
        </is>
      </c>
      <c r="B30" t="inlineStr">
        <is>
          <t>Kab. Ogan Komering Ulu</t>
        </is>
      </c>
      <c r="C30" t="inlineStr">
        <is>
          <t>0</t>
        </is>
      </c>
      <c r="D30" t="inlineStr">
        <is>
          <t>baturajasarana@gmail.com</t>
        </is>
      </c>
      <c r="E30" t="inlineStr">
        <is>
          <t>https://lpjk.pu.go.id/search-badan-usaha-detail/OWNCUzZlckFDUnNBbThpYnlaZjVuZz09</t>
        </is>
      </c>
      <c r="F30" t="n">
        <v>3</v>
      </c>
      <c r="G30" t="inlineStr">
        <is>
          <t>BS001</t>
        </is>
      </c>
      <c r="H30" t="inlineStr">
        <is>
          <t>15 Januari 2001</t>
        </is>
      </c>
      <c r="I30" s="2" t="n">
        <v>46284</v>
      </c>
      <c r="J30" t="inlineStr">
        <is>
          <t>Disetujui</t>
        </is>
      </c>
      <c r="K30" t="n">
        <v>60</v>
      </c>
      <c r="L30" t="inlineStr">
        <is>
          <t>19 September 2026</t>
        </is>
      </c>
      <c r="M30" t="inlineStr">
        <is>
          <t>Konstruksi Bangunan Sipil Jalan</t>
        </is>
      </c>
      <c r="N30" t="inlineStr">
        <is>
          <t>K</t>
        </is>
      </c>
      <c r="O30" t="inlineStr">
        <is>
          <t>20230918</t>
        </is>
      </c>
      <c r="P30" t="inlineStr">
        <is>
          <t>Sumatera Selatan</t>
        </is>
      </c>
      <c r="Q30" t="inlineStr"/>
    </row>
    <row r="31">
      <c r="A31" t="inlineStr">
        <is>
          <t>BENUA SUKSES PERKASA</t>
        </is>
      </c>
      <c r="B31" t="inlineStr">
        <is>
          <t>Kota Pontianak</t>
        </is>
      </c>
      <c r="C31" t="inlineStr">
        <is>
          <t>085651252528</t>
        </is>
      </c>
      <c r="D31" t="inlineStr">
        <is>
          <t>perkasaptbenuasukses@gmail.com</t>
        </is>
      </c>
      <c r="E31" t="inlineStr">
        <is>
          <t>https://lpjk.pu.go.id/search-badan-usaha-detail/S2IyVkFNMlFvQnQ3cmt3OHJRMFVvUT09</t>
        </is>
      </c>
      <c r="F31" t="n">
        <v>2</v>
      </c>
      <c r="G31" t="inlineStr">
        <is>
          <t>BS001, BS004</t>
        </is>
      </c>
      <c r="H31" t="inlineStr">
        <is>
          <t>16 Agustus 2023</t>
        </is>
      </c>
      <c r="I31" s="2" t="n">
        <v>46284</v>
      </c>
      <c r="J31" t="inlineStr">
        <is>
          <t>Disetujui</t>
        </is>
      </c>
      <c r="K31" t="n">
        <v>60</v>
      </c>
      <c r="L31" t="inlineStr">
        <is>
          <t>19 September 2026</t>
        </is>
      </c>
      <c r="M31" t="inlineStr">
        <is>
          <t>Konstruksi Bangunan Sipil Jalan, Konstruksi Jaringan Irigasi dan Drainase</t>
        </is>
      </c>
      <c r="N31" t="inlineStr">
        <is>
          <t>K</t>
        </is>
      </c>
      <c r="O31" t="inlineStr">
        <is>
          <t>20230920</t>
        </is>
      </c>
      <c r="P31" t="inlineStr">
        <is>
          <t>Kalimantan Barat</t>
        </is>
      </c>
      <c r="Q31" t="inlineStr"/>
    </row>
    <row r="32">
      <c r="A32" t="inlineStr">
        <is>
          <t>BERDAYA MEDIATAMA</t>
        </is>
      </c>
      <c r="B32" t="inlineStr">
        <is>
          <t>Kota Kendari</t>
        </is>
      </c>
      <c r="C32" t="inlineStr">
        <is>
          <t>085335531111</t>
        </is>
      </c>
      <c r="D32" t="inlineStr">
        <is>
          <t>berdayacv@gmail.com</t>
        </is>
      </c>
      <c r="E32" t="inlineStr">
        <is>
          <t>https://lpjk.pu.go.id/search-badan-usaha-detail/aFpKZVBZWElrdmR5czk0WUhmVDV0QT09</t>
        </is>
      </c>
      <c r="F32" t="n">
        <v>1</v>
      </c>
      <c r="G32" t="inlineStr">
        <is>
          <t>BG001</t>
        </is>
      </c>
      <c r="H32" t="inlineStr">
        <is>
          <t>13 November 2013</t>
        </is>
      </c>
      <c r="I32" s="2" t="n">
        <v>46284</v>
      </c>
      <c r="J32" t="inlineStr">
        <is>
          <t>Disetujui</t>
        </is>
      </c>
      <c r="K32" t="n">
        <v>60</v>
      </c>
      <c r="L32" t="inlineStr">
        <is>
          <t>19 September 2026</t>
        </is>
      </c>
      <c r="M32" t="inlineStr">
        <is>
          <t>Konstruksi Gedung Hunian</t>
        </is>
      </c>
      <c r="N32" t="inlineStr">
        <is>
          <t>K</t>
        </is>
      </c>
      <c r="O32" t="inlineStr">
        <is>
          <t>20230919</t>
        </is>
      </c>
      <c r="P32" t="inlineStr">
        <is>
          <t>Sulawesi Tenggara</t>
        </is>
      </c>
      <c r="Q32" t="inlineStr"/>
    </row>
    <row r="33">
      <c r="A33" t="inlineStr">
        <is>
          <t>BERKAH PUTERA BAHRAN</t>
        </is>
      </c>
      <c r="B33" t="inlineStr">
        <is>
          <t>Kota Balikpapan</t>
        </is>
      </c>
      <c r="C33" t="inlineStr">
        <is>
          <t>081256662388</t>
        </is>
      </c>
      <c r="D33" t="inlineStr">
        <is>
          <t>bpb_borneo@yahoo.com</t>
        </is>
      </c>
      <c r="E33" t="inlineStr">
        <is>
          <t>https://lpjk.pu.go.id/search-badan-usaha-detail/ZWpITGk0dTh4cFJrMUM5TXN5N1E3UT09</t>
        </is>
      </c>
      <c r="F33" t="n">
        <v>2</v>
      </c>
      <c r="G33" t="inlineStr">
        <is>
          <t>BS001</t>
        </is>
      </c>
      <c r="H33" t="inlineStr">
        <is>
          <t>12 Mei 2014</t>
        </is>
      </c>
      <c r="I33" s="2" t="n">
        <v>46284</v>
      </c>
      <c r="J33" t="inlineStr">
        <is>
          <t>Disetujui</t>
        </is>
      </c>
      <c r="K33" t="n">
        <v>60</v>
      </c>
      <c r="L33" t="inlineStr">
        <is>
          <t>19 September 2026</t>
        </is>
      </c>
      <c r="M33" t="inlineStr">
        <is>
          <t>Konstruksi Bangunan Sipil Jalan</t>
        </is>
      </c>
      <c r="N33" t="inlineStr">
        <is>
          <t>K</t>
        </is>
      </c>
      <c r="O33" t="inlineStr">
        <is>
          <t>20230811</t>
        </is>
      </c>
      <c r="P33" t="inlineStr">
        <is>
          <t>Kalimantan Timur</t>
        </is>
      </c>
      <c r="Q33" t="inlineStr"/>
    </row>
    <row r="34">
      <c r="A34" t="inlineStr">
        <is>
          <t>BERSAMA SEJAHTERA MANDIRI</t>
        </is>
      </c>
      <c r="B34" t="inlineStr">
        <is>
          <t>Kab. Jayawijaya</t>
        </is>
      </c>
      <c r="C34" t="inlineStr">
        <is>
          <t>082192800626</t>
        </is>
      </c>
      <c r="D34" t="inlineStr">
        <is>
          <t>benyaminlumbantoruan20@gmail.com</t>
        </is>
      </c>
      <c r="E34" t="inlineStr">
        <is>
          <t>https://lpjk.pu.go.id/search-badan-usaha-detail/d0x0SnlxcVN2eGUrTmV2V0tZd2V5dz09</t>
        </is>
      </c>
      <c r="F34" t="n">
        <v>1</v>
      </c>
      <c r="G34" t="inlineStr">
        <is>
          <t>BG001</t>
        </is>
      </c>
      <c r="H34" t="inlineStr">
        <is>
          <t>1 Maret 2019</t>
        </is>
      </c>
      <c r="I34" s="2" t="n">
        <v>46284</v>
      </c>
      <c r="J34" t="inlineStr">
        <is>
          <t>Pencabutan</t>
        </is>
      </c>
      <c r="K34" t="n">
        <v>60</v>
      </c>
      <c r="L34" t="inlineStr">
        <is>
          <t>19 September 2026</t>
        </is>
      </c>
      <c r="M34" t="inlineStr">
        <is>
          <t>Konstruksi Gedung Hunian</t>
        </is>
      </c>
      <c r="N34" t="inlineStr">
        <is>
          <t>K</t>
        </is>
      </c>
      <c r="O34" t="inlineStr">
        <is>
          <t>20230906</t>
        </is>
      </c>
      <c r="P34" t="inlineStr">
        <is>
          <t>Papua</t>
        </is>
      </c>
      <c r="Q34" t="inlineStr"/>
    </row>
    <row r="35">
      <c r="A35" t="inlineStr">
        <is>
          <t>BIMA SAKTI</t>
        </is>
      </c>
      <c r="B35" t="inlineStr">
        <is>
          <t>Kab. Bandung</t>
        </is>
      </c>
      <c r="C35" t="inlineStr">
        <is>
          <t>087822415390</t>
        </is>
      </c>
      <c r="D35" t="inlineStr">
        <is>
          <t>cvbimasakti@ymail.com</t>
        </is>
      </c>
      <c r="E35" t="inlineStr">
        <is>
          <t>https://lpjk.pu.go.id/search-badan-usaha-detail/d3EwQWxxQzJOMDlnQzBOcUM5VVNiZz09</t>
        </is>
      </c>
      <c r="F35" t="n">
        <v>1</v>
      </c>
      <c r="G35" t="inlineStr">
        <is>
          <t>BG008</t>
        </is>
      </c>
      <c r="H35" t="inlineStr">
        <is>
          <t>2 Oktober 1985</t>
        </is>
      </c>
      <c r="I35" s="2" t="n">
        <v>46284</v>
      </c>
      <c r="J35" t="inlineStr">
        <is>
          <t>Disetujui</t>
        </is>
      </c>
      <c r="K35" t="n">
        <v>60</v>
      </c>
      <c r="L35" t="inlineStr">
        <is>
          <t>19 September 2026</t>
        </is>
      </c>
      <c r="M35" t="inlineStr">
        <is>
          <t>Konstruksi Gedung Tempat Hiburan dan Olahraga</t>
        </is>
      </c>
      <c r="N35" t="inlineStr">
        <is>
          <t>K</t>
        </is>
      </c>
      <c r="O35" t="inlineStr">
        <is>
          <t>20230914</t>
        </is>
      </c>
      <c r="P35" t="inlineStr">
        <is>
          <t>Jawa Barat</t>
        </is>
      </c>
      <c r="Q35" t="inlineStr"/>
    </row>
    <row r="36">
      <c r="A36" t="inlineStr">
        <is>
          <t>BISMA INDO RAYA</t>
        </is>
      </c>
      <c r="B36" t="inlineStr">
        <is>
          <t>Kota Surabaya</t>
        </is>
      </c>
      <c r="C36" t="inlineStr">
        <is>
          <t>0317673713</t>
        </is>
      </c>
      <c r="D36" t="inlineStr">
        <is>
          <t>admbisma@gmail.com</t>
        </is>
      </c>
      <c r="E36" t="inlineStr">
        <is>
          <t>https://lpjk.pu.go.id/search-badan-usaha-detail/YWdFYlhmN1FaSTQ1WC9HSjVsSys5UT09</t>
        </is>
      </c>
      <c r="F36" t="n">
        <v>2</v>
      </c>
      <c r="G36" t="inlineStr">
        <is>
          <t>BS001, BS002</t>
        </is>
      </c>
      <c r="H36" t="inlineStr">
        <is>
          <t>10 September 2015</t>
        </is>
      </c>
      <c r="I36" s="2" t="n">
        <v>46284</v>
      </c>
      <c r="J36" t="inlineStr">
        <is>
          <t>Disetujui</t>
        </is>
      </c>
      <c r="K36" t="n">
        <v>60</v>
      </c>
      <c r="L36" t="inlineStr">
        <is>
          <t>19 September 2026</t>
        </is>
      </c>
      <c r="M36" t="inlineStr">
        <is>
          <t>Bangunan Sipil Jembatan, Jalan Layang, Fly Over, dan Underpass, Konstruksi Bangunan Sipil Jalan</t>
        </is>
      </c>
      <c r="N36" t="inlineStr">
        <is>
          <t>K</t>
        </is>
      </c>
      <c r="O36" t="inlineStr">
        <is>
          <t>20230918</t>
        </is>
      </c>
      <c r="P36" t="inlineStr">
        <is>
          <t>Jawa Timur</t>
        </is>
      </c>
      <c r="Q36" t="inlineStr"/>
    </row>
    <row r="37">
      <c r="A37" t="inlineStr">
        <is>
          <t>BONANZA</t>
        </is>
      </c>
      <c r="B37" t="inlineStr">
        <is>
          <t>Kab. Sumenep</t>
        </is>
      </c>
      <c r="C37" t="inlineStr">
        <is>
          <t>082324393030</t>
        </is>
      </c>
      <c r="D37" t="inlineStr">
        <is>
          <t>mohsyafii1207@gmail.com</t>
        </is>
      </c>
      <c r="E37" t="inlineStr">
        <is>
          <t>https://lpjk.pu.go.id/search-badan-usaha-detail/WC9Na0tzRXdqcVhBQWhUbk9SbWkvUT09</t>
        </is>
      </c>
      <c r="F37" t="n">
        <v>2</v>
      </c>
      <c r="G37" t="inlineStr">
        <is>
          <t>BG009</t>
        </is>
      </c>
      <c r="H37" t="inlineStr">
        <is>
          <t>23 Desember 2016</t>
        </is>
      </c>
      <c r="I37" s="2" t="n">
        <v>46284</v>
      </c>
      <c r="J37" t="inlineStr">
        <is>
          <t>Disetujui</t>
        </is>
      </c>
      <c r="K37" t="n">
        <v>60</v>
      </c>
      <c r="L37" t="inlineStr">
        <is>
          <t>19 September 2026</t>
        </is>
      </c>
      <c r="M37" t="inlineStr">
        <is>
          <t>Konstruksi Gedung Lainnya</t>
        </is>
      </c>
      <c r="N37" t="inlineStr">
        <is>
          <t>K</t>
        </is>
      </c>
      <c r="O37" t="inlineStr">
        <is>
          <t>20230911</t>
        </is>
      </c>
      <c r="P37" t="inlineStr">
        <is>
          <t>Jawa Timur</t>
        </is>
      </c>
      <c r="Q37" t="inlineStr"/>
    </row>
    <row r="38">
      <c r="A38" t="inlineStr">
        <is>
          <t>BOUGENVILLE CIPTA ABADI</t>
        </is>
      </c>
      <c r="B38" t="inlineStr">
        <is>
          <t>Kota Bandung</t>
        </is>
      </c>
      <c r="C38" t="inlineStr">
        <is>
          <t>0227205844</t>
        </is>
      </c>
      <c r="D38" t="inlineStr">
        <is>
          <t>bcabougenville@gmail.com</t>
        </is>
      </c>
      <c r="E38" t="inlineStr">
        <is>
          <t>https://lpjk.pu.go.id/search-badan-usaha-detail/ejR3WHBBeGZqOTNBaUxsT3g5OVRPZz09</t>
        </is>
      </c>
      <c r="F38" t="n">
        <v>1</v>
      </c>
      <c r="G38" t="inlineStr">
        <is>
          <t>BS001</t>
        </is>
      </c>
      <c r="H38" t="inlineStr">
        <is>
          <t>7 Juni 2012</t>
        </is>
      </c>
      <c r="I38" s="2" t="n">
        <v>46284</v>
      </c>
      <c r="J38" t="inlineStr">
        <is>
          <t>Disetujui</t>
        </is>
      </c>
      <c r="K38" t="n">
        <v>60</v>
      </c>
      <c r="L38" t="inlineStr">
        <is>
          <t>19 September 2026</t>
        </is>
      </c>
      <c r="M38" t="inlineStr">
        <is>
          <t>Konstruksi Bangunan Sipil Jalan</t>
        </is>
      </c>
      <c r="N38" t="inlineStr">
        <is>
          <t>K</t>
        </is>
      </c>
      <c r="O38" t="inlineStr">
        <is>
          <t>20230920</t>
        </is>
      </c>
      <c r="P38" t="inlineStr">
        <is>
          <t>Jawa Barat</t>
        </is>
      </c>
      <c r="Q38" t="inlineStr"/>
    </row>
    <row r="39">
      <c r="A39" t="inlineStr">
        <is>
          <t>BUDI AGUNG</t>
        </is>
      </c>
      <c r="B39" t="inlineStr">
        <is>
          <t>Kab. Blitar</t>
        </is>
      </c>
      <c r="C39" t="inlineStr">
        <is>
          <t>082211122132</t>
        </is>
      </c>
      <c r="D39" t="inlineStr">
        <is>
          <t>budisantoso.be14@yahoo.co.id</t>
        </is>
      </c>
      <c r="E39" t="inlineStr">
        <is>
          <t>https://lpjk.pu.go.id/search-badan-usaha-detail/Rm9HYVcwRlM3NmJaTm5Db2o2UER6UT09</t>
        </is>
      </c>
      <c r="F39" t="n">
        <v>1</v>
      </c>
      <c r="G39" t="inlineStr">
        <is>
          <t>BS004</t>
        </is>
      </c>
      <c r="H39" t="inlineStr">
        <is>
          <t>20 Desember 1985</t>
        </is>
      </c>
      <c r="I39" s="2" t="n">
        <v>46284</v>
      </c>
      <c r="J39" t="inlineStr">
        <is>
          <t>Disetujui</t>
        </is>
      </c>
      <c r="K39" t="n">
        <v>60</v>
      </c>
      <c r="L39" t="inlineStr">
        <is>
          <t>19 September 2026</t>
        </is>
      </c>
      <c r="M39" t="inlineStr">
        <is>
          <t>Konstruksi Jaringan Irigasi dan Drainase</t>
        </is>
      </c>
      <c r="N39" t="inlineStr">
        <is>
          <t>K</t>
        </is>
      </c>
      <c r="O39" t="inlineStr">
        <is>
          <t>20230831</t>
        </is>
      </c>
      <c r="P39" t="inlineStr">
        <is>
          <t>Jawa Timur</t>
        </is>
      </c>
      <c r="Q39" t="inlineStr"/>
    </row>
    <row r="40">
      <c r="A40" t="inlineStr">
        <is>
          <t>BUMI PUNDI KARSA</t>
        </is>
      </c>
      <c r="B40" t="inlineStr">
        <is>
          <t>Kab. Gowa</t>
        </is>
      </c>
      <c r="C40" t="inlineStr">
        <is>
          <t>081242215789</t>
        </is>
      </c>
      <c r="D40" t="inlineStr">
        <is>
          <t>bumipundikarsa1@gmail.com</t>
        </is>
      </c>
      <c r="E40" t="inlineStr">
        <is>
          <t>https://lpjk.pu.go.id/search-badan-usaha-detail/ekk1ZUNWNW1WMCt2M2p4NXQwTWV5Zz09</t>
        </is>
      </c>
      <c r="F40" t="n">
        <v>1</v>
      </c>
      <c r="G40" t="inlineStr">
        <is>
          <t>BG001</t>
        </is>
      </c>
      <c r="H40" t="inlineStr">
        <is>
          <t>28 Maret 2022</t>
        </is>
      </c>
      <c r="I40" s="2" t="n">
        <v>46284</v>
      </c>
      <c r="J40" t="inlineStr">
        <is>
          <t>Disetujui</t>
        </is>
      </c>
      <c r="K40" t="n">
        <v>60</v>
      </c>
      <c r="L40" t="inlineStr">
        <is>
          <t>19 September 2026</t>
        </is>
      </c>
      <c r="M40" t="inlineStr">
        <is>
          <t>Konstruksi Gedung Hunian</t>
        </is>
      </c>
      <c r="N40" t="inlineStr">
        <is>
          <t>K</t>
        </is>
      </c>
      <c r="O40" t="inlineStr">
        <is>
          <t>20230906</t>
        </is>
      </c>
      <c r="P40" t="inlineStr">
        <is>
          <t>Sulawesi Selatan</t>
        </is>
      </c>
      <c r="Q40" t="inlineStr"/>
    </row>
    <row r="41">
      <c r="A41" t="inlineStr">
        <is>
          <t>CAHAYA RANTE TONDON</t>
        </is>
      </c>
      <c r="B41" t="inlineStr">
        <is>
          <t>Kota Jayapura</t>
        </is>
      </c>
      <c r="C41" t="inlineStr">
        <is>
          <t>082197795159</t>
        </is>
      </c>
      <c r="D41" t="inlineStr">
        <is>
          <t>ptrantetondon@gmail.com</t>
        </is>
      </c>
      <c r="E41" t="inlineStr">
        <is>
          <t>https://lpjk.pu.go.id/search-badan-usaha-detail/OGh2aHhNcmh2cU1vZXVEZWljNXJqdz09</t>
        </is>
      </c>
      <c r="F41" t="n">
        <v>3</v>
      </c>
      <c r="G41" t="inlineStr">
        <is>
          <t>BG001, BG005, BG009</t>
        </is>
      </c>
      <c r="H41" t="inlineStr">
        <is>
          <t>13 Januari 2017</t>
        </is>
      </c>
      <c r="I41" s="2" t="n">
        <v>46284</v>
      </c>
      <c r="J41" t="inlineStr">
        <is>
          <t>Disetujui</t>
        </is>
      </c>
      <c r="K41" t="n">
        <v>60</v>
      </c>
      <c r="L41" t="inlineStr">
        <is>
          <t>19 September 2026</t>
        </is>
      </c>
      <c r="M41" t="inlineStr">
        <is>
          <t>Konstruksi Gedung Hunian, Konstruksi Gedung Kesehatan, Konstruksi Gedung Lainnya</t>
        </is>
      </c>
      <c r="N41" t="inlineStr">
        <is>
          <t>M</t>
        </is>
      </c>
      <c r="O41" t="inlineStr">
        <is>
          <t>20230919</t>
        </is>
      </c>
      <c r="P41" t="inlineStr">
        <is>
          <t>Papua</t>
        </is>
      </c>
      <c r="Q41" t="inlineStr"/>
    </row>
    <row r="42">
      <c r="A42" t="inlineStr">
        <is>
          <t>CAHAYA ROIHAN TAMICO</t>
        </is>
      </c>
      <c r="B42" t="inlineStr">
        <is>
          <t>Kota Dumai</t>
        </is>
      </c>
      <c r="C42" t="inlineStr">
        <is>
          <t>085264068339</t>
        </is>
      </c>
      <c r="D42" t="inlineStr">
        <is>
          <t>cv.cahayaroihantamico@gmail.com</t>
        </is>
      </c>
      <c r="E42" t="inlineStr">
        <is>
          <t>https://lpjk.pu.go.id/search-badan-usaha-detail/dmkvSktQcFhPUUxZMWZ6a2hlQzNwQT09</t>
        </is>
      </c>
      <c r="F42" t="n">
        <v>1</v>
      </c>
      <c r="G42" t="inlineStr">
        <is>
          <t>BS001</t>
        </is>
      </c>
      <c r="H42" t="inlineStr">
        <is>
          <t>22 Juni 2012</t>
        </is>
      </c>
      <c r="I42" s="2" t="n">
        <v>46284</v>
      </c>
      <c r="J42" t="inlineStr">
        <is>
          <t>Pencabutan</t>
        </is>
      </c>
      <c r="K42" t="n">
        <v>60</v>
      </c>
      <c r="L42" t="inlineStr">
        <is>
          <t>19 September 2026</t>
        </is>
      </c>
      <c r="M42" t="inlineStr">
        <is>
          <t>Konstruksi Bangunan Sipil Jalan</t>
        </is>
      </c>
      <c r="N42" t="inlineStr">
        <is>
          <t>K</t>
        </is>
      </c>
      <c r="O42" t="inlineStr">
        <is>
          <t>20230914</t>
        </is>
      </c>
      <c r="P42" t="inlineStr">
        <is>
          <t>Riau</t>
        </is>
      </c>
      <c r="Q42" t="inlineStr"/>
    </row>
    <row r="43">
      <c r="A43" t="inlineStr">
        <is>
          <t>CAHAYA SENGKANG</t>
        </is>
      </c>
      <c r="B43" t="inlineStr">
        <is>
          <t>Kota Samarinda</t>
        </is>
      </c>
      <c r="C43" t="inlineStr">
        <is>
          <t>081347630308</t>
        </is>
      </c>
      <c r="D43" t="inlineStr">
        <is>
          <t>gulmandm@gmail.com</t>
        </is>
      </c>
      <c r="E43" t="inlineStr">
        <is>
          <t>https://lpjk.pu.go.id/search-badan-usaha-detail/YUZTNWVucitRcm8vcmdOYTdpQWkyQT09</t>
        </is>
      </c>
      <c r="F43" t="n">
        <v>1</v>
      </c>
      <c r="G43" t="inlineStr">
        <is>
          <t>BG006</t>
        </is>
      </c>
      <c r="H43" t="inlineStr">
        <is>
          <t>13 Februari 2006</t>
        </is>
      </c>
      <c r="I43" s="2" t="n">
        <v>46284</v>
      </c>
      <c r="J43" t="inlineStr">
        <is>
          <t>Disetujui</t>
        </is>
      </c>
      <c r="K43" t="n">
        <v>60</v>
      </c>
      <c r="L43" t="inlineStr">
        <is>
          <t>19 September 2026</t>
        </is>
      </c>
      <c r="M43" t="inlineStr">
        <is>
          <t>Konstruksi Gedung Pendidikan</t>
        </is>
      </c>
      <c r="N43" t="inlineStr">
        <is>
          <t>K</t>
        </is>
      </c>
      <c r="O43" t="inlineStr">
        <is>
          <t>20230903</t>
        </is>
      </c>
      <c r="P43" t="inlineStr">
        <is>
          <t>Kalimantan Timur</t>
        </is>
      </c>
      <c r="Q43" t="inlineStr"/>
    </row>
    <row r="44">
      <c r="A44" t="inlineStr">
        <is>
          <t>CAKRAWALA KHATULISTIWA</t>
        </is>
      </c>
      <c r="B44" t="inlineStr">
        <is>
          <t>Kab. Sanggau</t>
        </is>
      </c>
      <c r="C44" t="inlineStr">
        <is>
          <t>081258097777</t>
        </is>
      </c>
      <c r="D44" t="inlineStr">
        <is>
          <t>Cakrawala_sgu@yahoo.com</t>
        </is>
      </c>
      <c r="E44" t="inlineStr">
        <is>
          <t>https://lpjk.pu.go.id/search-badan-usaha-detail/TmZyeEtmcTROTUxVS3NiQmJjUGpPZz09</t>
        </is>
      </c>
      <c r="F44" t="n">
        <v>2</v>
      </c>
      <c r="G44" t="inlineStr">
        <is>
          <t>BG006, BG009</t>
        </is>
      </c>
      <c r="H44" t="inlineStr">
        <is>
          <t>2 Juli 2020</t>
        </is>
      </c>
      <c r="I44" s="2" t="n">
        <v>46284</v>
      </c>
      <c r="J44" t="inlineStr">
        <is>
          <t>Disetujui</t>
        </is>
      </c>
      <c r="K44" t="n">
        <v>60</v>
      </c>
      <c r="L44" t="inlineStr">
        <is>
          <t>19 September 2026</t>
        </is>
      </c>
      <c r="M44" t="inlineStr">
        <is>
          <t>Konstruksi Gedung Lainnya, Konstruksi Gedung Pendidikan</t>
        </is>
      </c>
      <c r="N44" t="inlineStr">
        <is>
          <t>K</t>
        </is>
      </c>
      <c r="O44" t="inlineStr">
        <is>
          <t>20230919</t>
        </is>
      </c>
      <c r="P44" t="inlineStr">
        <is>
          <t>Kalimantan Barat</t>
        </is>
      </c>
      <c r="Q44" t="inlineStr"/>
    </row>
    <row r="45">
      <c r="A45" t="inlineStr">
        <is>
          <t>CATUR MEGATAMA</t>
        </is>
      </c>
      <c r="B45" t="inlineStr">
        <is>
          <t>Kab. Jember</t>
        </is>
      </c>
      <c r="C45" t="inlineStr">
        <is>
          <t>085101769329</t>
        </is>
      </c>
      <c r="D45" t="inlineStr">
        <is>
          <t>caturmegatamacv@gmail.com</t>
        </is>
      </c>
      <c r="E45" t="inlineStr">
        <is>
          <t>https://lpjk.pu.go.id/search-badan-usaha-detail/c09EdUFET3VQR2krWXFRMmpvS2tNUT09</t>
        </is>
      </c>
      <c r="F45" t="n">
        <v>1</v>
      </c>
      <c r="G45" t="inlineStr">
        <is>
          <t>BG009</t>
        </is>
      </c>
      <c r="H45" t="inlineStr">
        <is>
          <t>26 Agustus 2005</t>
        </is>
      </c>
      <c r="I45" s="2" t="n">
        <v>46284</v>
      </c>
      <c r="J45" t="inlineStr">
        <is>
          <t>Disetujui</t>
        </is>
      </c>
      <c r="K45" t="n">
        <v>60</v>
      </c>
      <c r="L45" t="inlineStr">
        <is>
          <t>19 September 2026</t>
        </is>
      </c>
      <c r="M45" t="inlineStr">
        <is>
          <t>Konstruksi Gedung Lainnya</t>
        </is>
      </c>
      <c r="N45" t="inlineStr">
        <is>
          <t>K</t>
        </is>
      </c>
      <c r="O45" t="inlineStr">
        <is>
          <t>20230920</t>
        </is>
      </c>
      <c r="P45" t="inlineStr">
        <is>
          <t>Jawa Timur</t>
        </is>
      </c>
      <c r="Q45" t="inlineStr"/>
    </row>
    <row r="46">
      <c r="A46" t="inlineStr">
        <is>
          <t>CATUR MITRA TEKNOLOGI</t>
        </is>
      </c>
      <c r="B46" t="inlineStr">
        <is>
          <t>Kota Adm. Jakarta Selatan</t>
        </is>
      </c>
      <c r="C46" t="inlineStr">
        <is>
          <t>0218298939</t>
        </is>
      </c>
      <c r="D46" t="inlineStr">
        <is>
          <t>sales@caturmt.com</t>
        </is>
      </c>
      <c r="E46" t="inlineStr">
        <is>
          <t>https://lpjk.pu.go.id/search-badan-usaha-detail/VkdFT1l3Ukd3d2ZrWXdheTViRDRMUT09</t>
        </is>
      </c>
      <c r="F46" t="n">
        <v>1</v>
      </c>
      <c r="G46" t="inlineStr">
        <is>
          <t>IN008</t>
        </is>
      </c>
      <c r="H46" t="inlineStr">
        <is>
          <t>8 Agustus 2014</t>
        </is>
      </c>
      <c r="I46" s="2" t="n">
        <v>46284</v>
      </c>
      <c r="J46" t="inlineStr">
        <is>
          <t>Pembekuan</t>
        </is>
      </c>
      <c r="K46" t="n">
        <v>60</v>
      </c>
      <c r="L46" t="inlineStr">
        <is>
          <t>19 September 2026</t>
        </is>
      </c>
      <c r="M46" t="inlineStr">
        <is>
          <t>Instalasi Pendingin Dan Ventilasi Udara</t>
        </is>
      </c>
      <c r="N46" t="inlineStr">
        <is>
          <t>Spesialis</t>
        </is>
      </c>
      <c r="O46" t="inlineStr">
        <is>
          <t>20230918</t>
        </is>
      </c>
      <c r="P46" t="inlineStr">
        <is>
          <t>DKI Jakarta</t>
        </is>
      </c>
      <c r="Q46" t="inlineStr"/>
    </row>
    <row r="47">
      <c r="A47" t="inlineStr">
        <is>
          <t>CATURDASA KARYA ENGINEERING</t>
        </is>
      </c>
      <c r="B47" t="inlineStr">
        <is>
          <t>Kota Banjarmasin</t>
        </is>
      </c>
      <c r="C47" t="inlineStr">
        <is>
          <t>087840667741</t>
        </is>
      </c>
      <c r="D47" t="inlineStr">
        <is>
          <t>caturdasa.karya14@gmail.com</t>
        </is>
      </c>
      <c r="E47" t="inlineStr">
        <is>
          <t>https://lpjk.pu.go.id/search-badan-usaha-detail/MEwxZ25nQkUyY2c3VEtDYnJtQlo3dz09</t>
        </is>
      </c>
      <c r="F47" t="n">
        <v>1</v>
      </c>
      <c r="G47" t="inlineStr">
        <is>
          <t>RK003</t>
        </is>
      </c>
      <c r="H47" t="inlineStr">
        <is>
          <t>18 Juli 2023</t>
        </is>
      </c>
      <c r="I47" s="2" t="n">
        <v>46284</v>
      </c>
      <c r="J47" t="inlineStr">
        <is>
          <t>Disetujui</t>
        </is>
      </c>
      <c r="K47" t="n">
        <v>60</v>
      </c>
      <c r="L47" t="inlineStr">
        <is>
          <t>19 September 2026</t>
        </is>
      </c>
      <c r="M47" t="inlineStr">
        <is>
          <t>Jasa Rekayasa Pekerjaan Teknik Sipil Transportasi</t>
        </is>
      </c>
      <c r="N47" t="inlineStr">
        <is>
          <t>K</t>
        </is>
      </c>
      <c r="O47" t="inlineStr">
        <is>
          <t>20230912</t>
        </is>
      </c>
      <c r="P47" t="inlineStr">
        <is>
          <t>Kalimantan Selatan</t>
        </is>
      </c>
      <c r="Q47" t="inlineStr"/>
    </row>
    <row r="48">
      <c r="A48" t="inlineStr">
        <is>
          <t>CEMARA INDAH</t>
        </is>
      </c>
      <c r="B48" t="inlineStr">
        <is>
          <t>Kab. Manokwari</t>
        </is>
      </c>
      <c r="C48" t="inlineStr">
        <is>
          <t>081248258388</t>
        </is>
      </c>
      <c r="D48" t="inlineStr">
        <is>
          <t>cvcemaraindah16@gmail.com</t>
        </is>
      </c>
      <c r="E48" t="inlineStr">
        <is>
          <t>https://lpjk.pu.go.id/search-badan-usaha-detail/UlllVHdralVNRHNVaGkzRFpFUDF5UT09</t>
        </is>
      </c>
      <c r="F48" t="n">
        <v>1</v>
      </c>
      <c r="G48" t="inlineStr">
        <is>
          <t>BG005</t>
        </is>
      </c>
      <c r="H48" t="inlineStr">
        <is>
          <t>3 Februari 2016</t>
        </is>
      </c>
      <c r="I48" s="2" t="n">
        <v>46284</v>
      </c>
      <c r="J48" t="inlineStr">
        <is>
          <t>Disetujui</t>
        </is>
      </c>
      <c r="K48" t="n">
        <v>60</v>
      </c>
      <c r="L48" t="inlineStr">
        <is>
          <t>19 September 2026</t>
        </is>
      </c>
      <c r="M48" t="inlineStr">
        <is>
          <t>Konstruksi Gedung Kesehatan</t>
        </is>
      </c>
      <c r="N48" t="inlineStr">
        <is>
          <t>K</t>
        </is>
      </c>
      <c r="O48" t="inlineStr">
        <is>
          <t>20230914</t>
        </is>
      </c>
      <c r="P48" t="inlineStr">
        <is>
          <t>Papua Barat</t>
        </is>
      </c>
      <c r="Q48" t="inlineStr"/>
    </row>
    <row r="49">
      <c r="A49" t="inlineStr">
        <is>
          <t>CILIWUNG JAYA</t>
        </is>
      </c>
      <c r="B49" t="inlineStr">
        <is>
          <t>Kab. Tangerang</t>
        </is>
      </c>
      <c r="C49" t="inlineStr">
        <is>
          <t>087762452954</t>
        </is>
      </c>
      <c r="D49" t="inlineStr">
        <is>
          <t>Cvciliwungjaya1@gmail.com</t>
        </is>
      </c>
      <c r="E49" t="inlineStr">
        <is>
          <t>https://lpjk.pu.go.id/search-badan-usaha-detail/d0VtTzRua21xbzNvbnltcTZydjFYQT09</t>
        </is>
      </c>
      <c r="F49" t="n">
        <v>3</v>
      </c>
      <c r="G49" t="inlineStr">
        <is>
          <t>BG006, BS004, BS010</t>
        </is>
      </c>
      <c r="H49" t="inlineStr">
        <is>
          <t>6 Februari 2009</t>
        </is>
      </c>
      <c r="I49" s="2" t="n">
        <v>46284</v>
      </c>
      <c r="J49" t="inlineStr">
        <is>
          <t>Disetujui</t>
        </is>
      </c>
      <c r="K49" t="n">
        <v>60</v>
      </c>
      <c r="L49" t="inlineStr">
        <is>
          <t>19 September 2026</t>
        </is>
      </c>
      <c r="M49" t="inlineStr">
        <is>
          <t>Konstruksi Bangunan Prasarana Sumber Daya Air, Konstruksi Gedung Pendidikan, Konstruksi Jaringan Irigasi dan Drainase</t>
        </is>
      </c>
      <c r="N49" t="inlineStr">
        <is>
          <t>K</t>
        </is>
      </c>
      <c r="O49" t="inlineStr">
        <is>
          <t>20230916</t>
        </is>
      </c>
      <c r="P49" t="inlineStr">
        <is>
          <t>Banten</t>
        </is>
      </c>
      <c r="Q49" t="inlineStr"/>
    </row>
    <row r="50">
      <c r="A50" t="inlineStr">
        <is>
          <t>CITRA MANDIRI CIPTAKARYA</t>
        </is>
      </c>
      <c r="B50" t="inlineStr">
        <is>
          <t>Kota Adm. Jakarta Pusat</t>
        </is>
      </c>
      <c r="C50" t="inlineStr">
        <is>
          <t>0</t>
        </is>
      </c>
      <c r="D50" t="inlineStr">
        <is>
          <t>citramandiriciptakarya@gmail.com</t>
        </is>
      </c>
      <c r="E50" t="inlineStr">
        <is>
          <t>https://lpjk.pu.go.id/search-badan-usaha-detail/bE9LZVMrZnJNTmIybTJVci9BalBidz09</t>
        </is>
      </c>
      <c r="F50" t="n">
        <v>1</v>
      </c>
      <c r="G50" t="inlineStr">
        <is>
          <t>BG009</t>
        </is>
      </c>
      <c r="H50" t="inlineStr">
        <is>
          <t>15 Mei 2018</t>
        </is>
      </c>
      <c r="I50" s="2" t="n">
        <v>46284</v>
      </c>
      <c r="J50" t="inlineStr">
        <is>
          <t>Disetujui</t>
        </is>
      </c>
      <c r="K50" t="n">
        <v>60</v>
      </c>
      <c r="L50" t="inlineStr">
        <is>
          <t>19 September 2026</t>
        </is>
      </c>
      <c r="M50" t="inlineStr">
        <is>
          <t>Konstruksi Gedung Lainnya</t>
        </is>
      </c>
      <c r="N50" t="inlineStr">
        <is>
          <t>K</t>
        </is>
      </c>
      <c r="O50" t="inlineStr">
        <is>
          <t>20230515</t>
        </is>
      </c>
      <c r="P50" t="inlineStr">
        <is>
          <t>DKI Jakarta</t>
        </is>
      </c>
      <c r="Q50" t="inlineStr"/>
    </row>
    <row r="51">
      <c r="A51" t="inlineStr">
        <is>
          <t>DAFFA ALVARO</t>
        </is>
      </c>
      <c r="B51" t="inlineStr">
        <is>
          <t>Kota Singkawang</t>
        </is>
      </c>
      <c r="C51" t="inlineStr">
        <is>
          <t>-</t>
        </is>
      </c>
      <c r="D51" t="inlineStr">
        <is>
          <t>asuhamdi69@gmail.com</t>
        </is>
      </c>
      <c r="E51" t="inlineStr">
        <is>
          <t>https://lpjk.pu.go.id/search-badan-usaha-detail/K094SGhjbDdjd2t4ekRxMVY0RDVyZz09</t>
        </is>
      </c>
      <c r="F51" t="n">
        <v>2</v>
      </c>
      <c r="G51" t="inlineStr">
        <is>
          <t>BG001</t>
        </is>
      </c>
      <c r="H51" t="inlineStr">
        <is>
          <t>10 Januari 2014</t>
        </is>
      </c>
      <c r="I51" s="2" t="n">
        <v>46284</v>
      </c>
      <c r="J51" t="inlineStr">
        <is>
          <t>Disetujui</t>
        </is>
      </c>
      <c r="K51" t="n">
        <v>60</v>
      </c>
      <c r="L51" t="inlineStr">
        <is>
          <t>19 September 2026</t>
        </is>
      </c>
      <c r="M51" t="inlineStr">
        <is>
          <t>Konstruksi Gedung Hunian</t>
        </is>
      </c>
      <c r="N51" t="inlineStr">
        <is>
          <t>K</t>
        </is>
      </c>
      <c r="O51" t="inlineStr">
        <is>
          <t>20230920</t>
        </is>
      </c>
      <c r="P51" t="inlineStr">
        <is>
          <t>Kalimantan Barat</t>
        </is>
      </c>
      <c r="Q51" t="inlineStr"/>
    </row>
    <row r="52">
      <c r="A52" t="inlineStr">
        <is>
          <t>DIAN GEMILANG KONSULINDO</t>
        </is>
      </c>
      <c r="B52" t="inlineStr">
        <is>
          <t>Kota Banjarmasin</t>
        </is>
      </c>
      <c r="C52" t="inlineStr">
        <is>
          <t>082255560606</t>
        </is>
      </c>
      <c r="D52" t="inlineStr">
        <is>
          <t>cv.diangemilangkonsulindo@gmail.com</t>
        </is>
      </c>
      <c r="E52" t="inlineStr">
        <is>
          <t>https://lpjk.pu.go.id/search-badan-usaha-detail/dXVoMWFnMGtlcGMwZDl6ZWJCbUZ2dz09</t>
        </is>
      </c>
      <c r="F52" t="n">
        <v>3</v>
      </c>
      <c r="G52" t="inlineStr">
        <is>
          <t>RK001, RK002, RK003</t>
        </is>
      </c>
      <c r="H52" t="inlineStr">
        <is>
          <t>17 Januari 2020</t>
        </is>
      </c>
      <c r="I52" s="2" t="n">
        <v>46284</v>
      </c>
      <c r="J52" t="inlineStr">
        <is>
          <t>Disetujui</t>
        </is>
      </c>
      <c r="K52" t="n">
        <v>60</v>
      </c>
      <c r="L52" t="inlineStr">
        <is>
          <t>19 September 2026</t>
        </is>
      </c>
      <c r="M52" t="inlineStr">
        <is>
          <t>Jasa Rekayasa Konstruksi Bangunan Gedung Hunian dan Non Hunian, Jasa Rekayasa Pekerjaan Teknik Sipil Sumber Daya Air, Jasa Rekayasa Pekerjaan Teknik Sipil Transportasi</t>
        </is>
      </c>
      <c r="N52" t="inlineStr">
        <is>
          <t>K</t>
        </is>
      </c>
      <c r="O52" t="inlineStr">
        <is>
          <t>20230907</t>
        </is>
      </c>
      <c r="P52" t="inlineStr">
        <is>
          <t>Kalimantan Selatan</t>
        </is>
      </c>
      <c r="Q52" t="inlineStr"/>
    </row>
    <row r="53">
      <c r="A53" t="inlineStr">
        <is>
          <t>DINA UTAMA ABADI</t>
        </is>
      </c>
      <c r="B53" t="inlineStr">
        <is>
          <t>Kab. Tabalong</t>
        </is>
      </c>
      <c r="C53" t="inlineStr">
        <is>
          <t>08115133397</t>
        </is>
      </c>
      <c r="D53" t="inlineStr">
        <is>
          <t>cv.dinautamaabadi@gmail.com</t>
        </is>
      </c>
      <c r="E53" t="inlineStr">
        <is>
          <t>https://lpjk.pu.go.id/search-badan-usaha-detail/OGNKN1BJaEJyOU9mdlpCNVA4WEJ5UT09</t>
        </is>
      </c>
      <c r="F53" t="n">
        <v>4</v>
      </c>
      <c r="G53" t="inlineStr">
        <is>
          <t>BG003, BG006</t>
        </is>
      </c>
      <c r="H53" t="inlineStr">
        <is>
          <t>11 Agustus 2017</t>
        </is>
      </c>
      <c r="I53" s="2" t="n">
        <v>46284</v>
      </c>
      <c r="J53" t="inlineStr">
        <is>
          <t>Disetujui</t>
        </is>
      </c>
      <c r="K53" t="n">
        <v>60</v>
      </c>
      <c r="L53" t="inlineStr">
        <is>
          <t>19 September 2026</t>
        </is>
      </c>
      <c r="M53" t="inlineStr">
        <is>
          <t>Konstruksi Gedung Industri, Konstruksi Gedung Pendidikan</t>
        </is>
      </c>
      <c r="N53" t="inlineStr">
        <is>
          <t>K</t>
        </is>
      </c>
      <c r="O53" t="inlineStr">
        <is>
          <t>20230616, 20230919</t>
        </is>
      </c>
      <c r="P53" t="inlineStr">
        <is>
          <t>Kalimantan Selatan</t>
        </is>
      </c>
      <c r="Q53" t="inlineStr"/>
    </row>
    <row r="54">
      <c r="A54" t="inlineStr">
        <is>
          <t>DUTA WAKATE</t>
        </is>
      </c>
      <c r="B54" t="inlineStr">
        <is>
          <t>Kab. Seram Bagian Timur</t>
        </is>
      </c>
      <c r="C54" t="inlineStr">
        <is>
          <t>082199603656</t>
        </is>
      </c>
      <c r="D54" t="inlineStr">
        <is>
          <t>dutawakatecv@yahoo.com</t>
        </is>
      </c>
      <c r="E54" t="inlineStr">
        <is>
          <t>https://lpjk.pu.go.id/search-badan-usaha-detail/S2xRL2dCUlFVRHZtNDJoM2lDZXM0Zz09</t>
        </is>
      </c>
      <c r="F54" t="n">
        <v>2</v>
      </c>
      <c r="G54" t="inlineStr">
        <is>
          <t>BS002, BS010</t>
        </is>
      </c>
      <c r="H54" t="inlineStr">
        <is>
          <t>2 Maret 2006</t>
        </is>
      </c>
      <c r="I54" s="2" t="n">
        <v>46284</v>
      </c>
      <c r="J54" t="inlineStr">
        <is>
          <t>Disetujui</t>
        </is>
      </c>
      <c r="K54" t="n">
        <v>60</v>
      </c>
      <c r="L54" t="inlineStr">
        <is>
          <t>19 September 2026</t>
        </is>
      </c>
      <c r="M54" t="inlineStr">
        <is>
          <t>Bangunan Sipil Jembatan, Jalan Layang, Fly Over, dan Underpass, Konstruksi Bangunan Prasarana Sumber Daya Air</t>
        </is>
      </c>
      <c r="N54" t="inlineStr">
        <is>
          <t>K</t>
        </is>
      </c>
      <c r="O54" t="inlineStr">
        <is>
          <t>20230918, 20230920</t>
        </is>
      </c>
      <c r="P54" t="inlineStr">
        <is>
          <t>Maluku</t>
        </is>
      </c>
      <c r="Q54" t="inlineStr"/>
    </row>
    <row r="55">
      <c r="A55" t="inlineStr">
        <is>
          <t>EGI SENTOSA ABADI</t>
        </is>
      </c>
      <c r="B55" t="inlineStr">
        <is>
          <t>Kota Bandung</t>
        </is>
      </c>
      <c r="C55" t="inlineStr">
        <is>
          <t>081223828250</t>
        </is>
      </c>
      <c r="D55" t="inlineStr">
        <is>
          <t>cvesa99@gmail.com</t>
        </is>
      </c>
      <c r="E55" t="inlineStr">
        <is>
          <t>https://lpjk.pu.go.id/search-badan-usaha-detail/d3ZnT2V1ODVkT2pERVZTdi9uUDhmZz09</t>
        </is>
      </c>
      <c r="F55" t="n">
        <v>5</v>
      </c>
      <c r="G55" t="inlineStr">
        <is>
          <t>BG005, BG006, BS001, BS004</t>
        </is>
      </c>
      <c r="H55" t="inlineStr">
        <is>
          <t>24 Februari 2017</t>
        </is>
      </c>
      <c r="I55" s="2" t="n">
        <v>46284</v>
      </c>
      <c r="J55" t="inlineStr">
        <is>
          <t>Disetujui</t>
        </is>
      </c>
      <c r="K55" t="n">
        <v>60</v>
      </c>
      <c r="L55" t="inlineStr">
        <is>
          <t>19 September 2026</t>
        </is>
      </c>
      <c r="M55" t="inlineStr">
        <is>
          <t>Konstruksi Bangunan Sipil Jalan, Konstruksi Gedung Kesehatan, Konstruksi Gedung Pendidikan, Konstruksi Jaringan Irigasi dan Drainase</t>
        </is>
      </c>
      <c r="N55" t="inlineStr">
        <is>
          <t>K</t>
        </is>
      </c>
      <c r="O55" t="inlineStr">
        <is>
          <t>20230918, 20230919</t>
        </is>
      </c>
      <c r="P55" t="inlineStr">
        <is>
          <t>Jawa Barat</t>
        </is>
      </c>
      <c r="Q55" t="inlineStr"/>
    </row>
    <row r="56">
      <c r="A56" t="inlineStr">
        <is>
          <t>ERGATES CITRA MANDIRI</t>
        </is>
      </c>
      <c r="B56" t="inlineStr">
        <is>
          <t>Kab. Sidoarjo</t>
        </is>
      </c>
      <c r="C56" t="inlineStr">
        <is>
          <t>081230126611</t>
        </is>
      </c>
      <c r="D56" t="inlineStr">
        <is>
          <t>pt.ergatescitramandiri2009@gmail.com</t>
        </is>
      </c>
      <c r="E56" t="inlineStr">
        <is>
          <t>https://lpjk.pu.go.id/search-badan-usaha-detail/cW1HSEIrS1pLQk5SQUJDTHVNeENkUT09</t>
        </is>
      </c>
      <c r="F56" t="n">
        <v>1</v>
      </c>
      <c r="G56" t="inlineStr">
        <is>
          <t>BS003</t>
        </is>
      </c>
      <c r="H56" t="inlineStr">
        <is>
          <t>28 April 2009</t>
        </is>
      </c>
      <c r="I56" s="2" t="n">
        <v>46284</v>
      </c>
      <c r="J56" t="inlineStr">
        <is>
          <t>Pencabutan</t>
        </is>
      </c>
      <c r="K56" t="n">
        <v>60</v>
      </c>
      <c r="L56" t="inlineStr">
        <is>
          <t>19 September 2026</t>
        </is>
      </c>
      <c r="M56" t="inlineStr">
        <is>
          <t>Konstruksi Jalan Rel</t>
        </is>
      </c>
      <c r="N56" t="inlineStr">
        <is>
          <t>B</t>
        </is>
      </c>
      <c r="O56" t="inlineStr">
        <is>
          <t>20230810</t>
        </is>
      </c>
      <c r="P56" t="inlineStr">
        <is>
          <t>Jawa Timur</t>
        </is>
      </c>
      <c r="Q56" t="inlineStr"/>
    </row>
    <row r="57">
      <c r="A57" t="inlineStr">
        <is>
          <t>ESTU ABHINAYA</t>
        </is>
      </c>
      <c r="B57" t="inlineStr">
        <is>
          <t>Kab. Boyolali</t>
        </is>
      </c>
      <c r="C57" t="inlineStr">
        <is>
          <t>08562514000</t>
        </is>
      </c>
      <c r="D57" t="inlineStr">
        <is>
          <t>cv.estuabhinaya@gmail.com</t>
        </is>
      </c>
      <c r="E57" t="inlineStr">
        <is>
          <t>https://lpjk.pu.go.id/search-badan-usaha-detail/RERMUXdsTUxuNjBCTWdBUkhVZ0IyUT09</t>
        </is>
      </c>
      <c r="F57" t="n">
        <v>1</v>
      </c>
      <c r="G57" t="inlineStr">
        <is>
          <t>BG009</t>
        </is>
      </c>
      <c r="H57" t="inlineStr">
        <is>
          <t>9 September 2022</t>
        </is>
      </c>
      <c r="I57" s="2" t="n">
        <v>46284</v>
      </c>
      <c r="J57" t="inlineStr">
        <is>
          <t>Disetujui</t>
        </is>
      </c>
      <c r="K57" t="n">
        <v>60</v>
      </c>
      <c r="L57" t="inlineStr">
        <is>
          <t>19 September 2026</t>
        </is>
      </c>
      <c r="M57" t="inlineStr">
        <is>
          <t>Konstruksi Gedung Lainnya</t>
        </is>
      </c>
      <c r="N57" t="inlineStr">
        <is>
          <t>K</t>
        </is>
      </c>
      <c r="O57" t="inlineStr">
        <is>
          <t>20230918</t>
        </is>
      </c>
      <c r="P57" t="inlineStr">
        <is>
          <t>Jawa Tengah</t>
        </is>
      </c>
      <c r="Q57" t="inlineStr"/>
    </row>
    <row r="58">
      <c r="A58" t="inlineStr">
        <is>
          <t>GARUDA MAJU SEJAHTERA</t>
        </is>
      </c>
      <c r="B58" t="inlineStr">
        <is>
          <t>Kab. Sidoarjo</t>
        </is>
      </c>
      <c r="C58" t="inlineStr">
        <is>
          <t>081256171699</t>
        </is>
      </c>
      <c r="D58" t="inlineStr">
        <is>
          <t>garudamajusejahtera@yahoo.com</t>
        </is>
      </c>
      <c r="E58" t="inlineStr">
        <is>
          <t>https://lpjk.pu.go.id/search-badan-usaha-detail/MGF0eFpVei8zMk5OKzVXOVlBcUhsQT09</t>
        </is>
      </c>
      <c r="F58" t="n">
        <v>1</v>
      </c>
      <c r="G58" t="inlineStr">
        <is>
          <t>BG005</t>
        </is>
      </c>
      <c r="H58" t="inlineStr">
        <is>
          <t>24 Desember 2014</t>
        </is>
      </c>
      <c r="I58" s="2" t="n">
        <v>46284</v>
      </c>
      <c r="J58" t="inlineStr">
        <is>
          <t>Disetujui</t>
        </is>
      </c>
      <c r="K58" t="n">
        <v>60</v>
      </c>
      <c r="L58" t="inlineStr">
        <is>
          <t>19 September 2026</t>
        </is>
      </c>
      <c r="M58" t="inlineStr">
        <is>
          <t>Konstruksi Gedung Kesehatan</t>
        </is>
      </c>
      <c r="N58" t="inlineStr">
        <is>
          <t>K</t>
        </is>
      </c>
      <c r="O58" t="inlineStr">
        <is>
          <t>20230811</t>
        </is>
      </c>
      <c r="P58" t="inlineStr">
        <is>
          <t>Jawa Timur</t>
        </is>
      </c>
      <c r="Q58" t="inlineStr"/>
    </row>
    <row r="59">
      <c r="A59" t="inlineStr">
        <is>
          <t>GIRI KENCANA</t>
        </is>
      </c>
      <c r="B59" t="inlineStr">
        <is>
          <t>Kab. Gunungkidul</t>
        </is>
      </c>
      <c r="C59" t="inlineStr">
        <is>
          <t>085290509231</t>
        </is>
      </c>
      <c r="D59" t="inlineStr">
        <is>
          <t>girikencanacv29@gmail.com</t>
        </is>
      </c>
      <c r="E59" t="inlineStr">
        <is>
          <t>https://lpjk.pu.go.id/search-badan-usaha-detail/UUFFRUpBMXMxMWdHQkdkeTdvdDVPQT09</t>
        </is>
      </c>
      <c r="F59" t="n">
        <v>5</v>
      </c>
      <c r="G59" t="inlineStr">
        <is>
          <t>BG005, BG006, BG008, BS004, BS005</t>
        </is>
      </c>
      <c r="H59" t="inlineStr">
        <is>
          <t>19 Maret 1984</t>
        </is>
      </c>
      <c r="I59" s="2" t="n">
        <v>46284</v>
      </c>
      <c r="J59" t="inlineStr">
        <is>
          <t>Disetujui</t>
        </is>
      </c>
      <c r="K59" t="n">
        <v>60</v>
      </c>
      <c r="L59" t="inlineStr">
        <is>
          <t>19 September 2026</t>
        </is>
      </c>
      <c r="M59" t="inlineStr">
        <is>
          <t>Konstruksi Bangunan Sipil Pengolahan Air Bersih, Konstruksi Gedung Kesehatan, Konstruksi Gedung Pendidikan, Konstruksi Gedung Tempat Hiburan dan Olahraga, Konstruksi Jaringan Irigasi dan Drainase</t>
        </is>
      </c>
      <c r="N59" t="inlineStr">
        <is>
          <t>K</t>
        </is>
      </c>
      <c r="O59" t="inlineStr">
        <is>
          <t>20230918, 20230919</t>
        </is>
      </c>
      <c r="P59" t="inlineStr">
        <is>
          <t>DI Yogyakarta</t>
        </is>
      </c>
      <c r="Q59" t="inlineStr"/>
    </row>
    <row r="60">
      <c r="A60" t="inlineStr">
        <is>
          <t>GLOBAL MULTI DESAIN CONSULTANT</t>
        </is>
      </c>
      <c r="B60" t="inlineStr">
        <is>
          <t>Kab. Lombok Timur</t>
        </is>
      </c>
      <c r="C60" t="inlineStr">
        <is>
          <t>081918375888</t>
        </is>
      </c>
      <c r="D60" t="inlineStr">
        <is>
          <t>globalmultidesain@gmail.com</t>
        </is>
      </c>
      <c r="E60" t="inlineStr">
        <is>
          <t>https://lpjk.pu.go.id/search-badan-usaha-detail/ZVdNU3lFeGNraE9oNWNDWTBzYmtZQT09</t>
        </is>
      </c>
      <c r="F60" t="n">
        <v>2</v>
      </c>
      <c r="G60" t="inlineStr">
        <is>
          <t>RK001, RK002</t>
        </is>
      </c>
      <c r="H60" t="inlineStr">
        <is>
          <t>14 Desember 2016</t>
        </is>
      </c>
      <c r="I60" s="2" t="n">
        <v>46284</v>
      </c>
      <c r="J60" t="inlineStr">
        <is>
          <t>Disetujui</t>
        </is>
      </c>
      <c r="K60" t="n">
        <v>60</v>
      </c>
      <c r="L60" t="inlineStr">
        <is>
          <t>19 September 2026</t>
        </is>
      </c>
      <c r="M60" t="inlineStr">
        <is>
          <t>Jasa Rekayasa Konstruksi Bangunan Gedung Hunian dan Non Hunian, Jasa Rekayasa Pekerjaan Teknik Sipil Sumber Daya Air</t>
        </is>
      </c>
      <c r="N60" t="inlineStr">
        <is>
          <t>K</t>
        </is>
      </c>
      <c r="O60" t="inlineStr">
        <is>
          <t>20230825</t>
        </is>
      </c>
      <c r="P60" t="inlineStr">
        <is>
          <t>Nusa Tenggara Barat</t>
        </is>
      </c>
      <c r="Q60" t="inlineStr"/>
    </row>
    <row r="61">
      <c r="A61" t="inlineStr">
        <is>
          <t>GLOBAL NUSANTARA</t>
        </is>
      </c>
      <c r="B61" t="inlineStr">
        <is>
          <t>Kota Medan</t>
        </is>
      </c>
      <c r="C61" t="inlineStr">
        <is>
          <t>085319099610</t>
        </is>
      </c>
      <c r="D61" t="inlineStr">
        <is>
          <t>cvglobaln@yahoo.com</t>
        </is>
      </c>
      <c r="E61" t="inlineStr">
        <is>
          <t>https://lpjk.pu.go.id/search-badan-usaha-detail/cU5mQk5KcHVYWU9uVXFXZGtkSGdXZz09</t>
        </is>
      </c>
      <c r="F61" t="n">
        <v>3</v>
      </c>
      <c r="G61" t="inlineStr">
        <is>
          <t>BG004, BG009, BS010</t>
        </is>
      </c>
      <c r="H61" t="inlineStr">
        <is>
          <t>28 Maret 2009</t>
        </is>
      </c>
      <c r="I61" s="2" t="n">
        <v>46284</v>
      </c>
      <c r="J61" t="inlineStr">
        <is>
          <t>Disetujui</t>
        </is>
      </c>
      <c r="K61" t="n">
        <v>60</v>
      </c>
      <c r="L61" t="inlineStr">
        <is>
          <t>19 September 2026</t>
        </is>
      </c>
      <c r="M61" t="inlineStr">
        <is>
          <t>Konstruksi Bangunan Prasarana Sumber Daya Air, Konstruksi Gedung Lainnya, Konstruksi Gedung Perbelanjaan</t>
        </is>
      </c>
      <c r="N61" t="inlineStr">
        <is>
          <t>K</t>
        </is>
      </c>
      <c r="O61" t="inlineStr">
        <is>
          <t>20230911, 20230918</t>
        </is>
      </c>
      <c r="P61" t="inlineStr">
        <is>
          <t>Sumatera Utara</t>
        </is>
      </c>
      <c r="Q61" t="inlineStr"/>
    </row>
    <row r="62">
      <c r="A62" t="inlineStr">
        <is>
          <t>GREEN KONSTRUKSI</t>
        </is>
      </c>
      <c r="B62" t="inlineStr">
        <is>
          <t>Kota Langsa</t>
        </is>
      </c>
      <c r="C62" t="inlineStr">
        <is>
          <t>085261629642</t>
        </is>
      </c>
      <c r="D62" t="inlineStr">
        <is>
          <t>greenkonstruksi@gmail.com</t>
        </is>
      </c>
      <c r="E62" t="inlineStr">
        <is>
          <t>https://lpjk.pu.go.id/search-badan-usaha-detail/LzhJZDdlNHVCQ2ZVbGlkOWVmQjBIdz09</t>
        </is>
      </c>
      <c r="F62" t="n">
        <v>4</v>
      </c>
      <c r="G62" t="inlineStr">
        <is>
          <t>BG001, BG009</t>
        </is>
      </c>
      <c r="H62" t="inlineStr">
        <is>
          <t>22 Juni 2012</t>
        </is>
      </c>
      <c r="I62" s="2" t="n">
        <v>46284</v>
      </c>
      <c r="J62" t="inlineStr">
        <is>
          <t>Disetujui</t>
        </is>
      </c>
      <c r="K62" t="n">
        <v>60</v>
      </c>
      <c r="L62" t="inlineStr">
        <is>
          <t>19 September 2026</t>
        </is>
      </c>
      <c r="M62" t="inlineStr">
        <is>
          <t>Konstruksi Gedung Hunian, Konstruksi Gedung Lainnya</t>
        </is>
      </c>
      <c r="N62" t="inlineStr">
        <is>
          <t>K</t>
        </is>
      </c>
      <c r="O62" t="inlineStr">
        <is>
          <t>20230919, 20230920</t>
        </is>
      </c>
      <c r="P62" t="inlineStr">
        <is>
          <t>Aceh</t>
        </is>
      </c>
      <c r="Q62" t="inlineStr"/>
    </row>
    <row r="63">
      <c r="A63" t="inlineStr">
        <is>
          <t>GUNA KARYA</t>
        </is>
      </c>
      <c r="B63" t="inlineStr">
        <is>
          <t>Kab. Ciamis</t>
        </is>
      </c>
      <c r="C63" t="inlineStr">
        <is>
          <t>085224219881</t>
        </is>
      </c>
      <c r="D63" t="inlineStr">
        <is>
          <t>gunakarya06@yahoo.co.id</t>
        </is>
      </c>
      <c r="E63" t="inlineStr">
        <is>
          <t>https://lpjk.pu.go.id/search-badan-usaha-detail/VEhGSlVKdVhTWC9wZGVZYW1tdExoQT09</t>
        </is>
      </c>
      <c r="F63" t="n">
        <v>1</v>
      </c>
      <c r="G63" t="inlineStr">
        <is>
          <t>BG006</t>
        </is>
      </c>
      <c r="H63" t="inlineStr">
        <is>
          <t>28 September 2006</t>
        </is>
      </c>
      <c r="I63" s="2" t="n">
        <v>46284</v>
      </c>
      <c r="J63" t="inlineStr">
        <is>
          <t>Disetujui</t>
        </is>
      </c>
      <c r="K63" t="n">
        <v>60</v>
      </c>
      <c r="L63" t="inlineStr">
        <is>
          <t>19 September 2026</t>
        </is>
      </c>
      <c r="M63" t="inlineStr">
        <is>
          <t>Konstruksi Gedung Pendidikan</t>
        </is>
      </c>
      <c r="N63" t="inlineStr">
        <is>
          <t>K</t>
        </is>
      </c>
      <c r="O63" t="inlineStr">
        <is>
          <t>20230914</t>
        </is>
      </c>
      <c r="P63" t="inlineStr">
        <is>
          <t>Jawa Barat</t>
        </is>
      </c>
      <c r="Q63" t="inlineStr"/>
    </row>
    <row r="64">
      <c r="A64" t="inlineStr">
        <is>
          <t>HARJAGAT SYNERGY SOLUTION</t>
        </is>
      </c>
      <c r="B64" t="inlineStr">
        <is>
          <t>Kota Bandung</t>
        </is>
      </c>
      <c r="C64" t="inlineStr">
        <is>
          <t>08122001440</t>
        </is>
      </c>
      <c r="D64" t="inlineStr">
        <is>
          <t>harjagat@yahoo.com</t>
        </is>
      </c>
      <c r="E64" t="inlineStr">
        <is>
          <t>https://lpjk.pu.go.id/search-badan-usaha-detail/b3hKcW9JOHhyMHFIMi94aUtObEQwQT09</t>
        </is>
      </c>
      <c r="F64" t="n">
        <v>2</v>
      </c>
      <c r="G64" t="inlineStr">
        <is>
          <t>BG009</t>
        </is>
      </c>
      <c r="H64" t="inlineStr">
        <is>
          <t>20 Maret 2023</t>
        </is>
      </c>
      <c r="I64" s="2" t="n">
        <v>46284</v>
      </c>
      <c r="J64" t="inlineStr">
        <is>
          <t>Disetujui</t>
        </is>
      </c>
      <c r="K64" t="n">
        <v>60</v>
      </c>
      <c r="L64" t="inlineStr">
        <is>
          <t>19 September 2026</t>
        </is>
      </c>
      <c r="M64" t="inlineStr">
        <is>
          <t>Konstruksi Gedung Lainnya</t>
        </is>
      </c>
      <c r="N64" t="inlineStr">
        <is>
          <t>K</t>
        </is>
      </c>
      <c r="O64" t="inlineStr">
        <is>
          <t>20230914</t>
        </is>
      </c>
      <c r="P64" t="inlineStr">
        <is>
          <t>Jawa Barat</t>
        </is>
      </c>
      <c r="Q64" t="inlineStr"/>
    </row>
    <row r="65">
      <c r="A65" t="inlineStr">
        <is>
          <t>IDEALL MULTI DESIGN</t>
        </is>
      </c>
      <c r="B65" t="inlineStr">
        <is>
          <t>Kota Kendari</t>
        </is>
      </c>
      <c r="C65" t="inlineStr">
        <is>
          <t>085341082963</t>
        </is>
      </c>
      <c r="D65" t="inlineStr">
        <is>
          <t>ideall.multidesign.pt@gmail.com</t>
        </is>
      </c>
      <c r="E65" t="inlineStr">
        <is>
          <t>https://lpjk.pu.go.id/search-badan-usaha-detail/TUxBYkVsWGkwS0RGeVBxZU1vTkhoZz09</t>
        </is>
      </c>
      <c r="F65" t="n">
        <v>2</v>
      </c>
      <c r="G65" t="inlineStr">
        <is>
          <t>RK001</t>
        </is>
      </c>
      <c r="H65" t="inlineStr">
        <is>
          <t>2 Februari 2006</t>
        </is>
      </c>
      <c r="I65" s="2" t="n">
        <v>46284</v>
      </c>
      <c r="J65" t="inlineStr">
        <is>
          <t>Disetujui</t>
        </is>
      </c>
      <c r="K65" t="n">
        <v>60</v>
      </c>
      <c r="L65" t="inlineStr">
        <is>
          <t>19 September 2026</t>
        </is>
      </c>
      <c r="M65" t="inlineStr">
        <is>
          <t>Jasa Rekayasa Konstruksi Bangunan Gedung Hunian dan Non Hunian</t>
        </is>
      </c>
      <c r="N65" t="inlineStr">
        <is>
          <t>K</t>
        </is>
      </c>
      <c r="O65" t="inlineStr">
        <is>
          <t>20230906</t>
        </is>
      </c>
      <c r="P65" t="inlineStr">
        <is>
          <t>Sulawesi Tenggara</t>
        </is>
      </c>
      <c r="Q65" t="inlineStr"/>
    </row>
    <row r="66">
      <c r="A66" t="inlineStr">
        <is>
          <t>INDO JAMBE INDONESIA</t>
        </is>
      </c>
      <c r="B66" t="inlineStr">
        <is>
          <t>Kota Salatiga</t>
        </is>
      </c>
      <c r="C66" t="inlineStr">
        <is>
          <t>081390209231</t>
        </is>
      </c>
      <c r="D66" t="inlineStr">
        <is>
          <t>indojambeindonesia@gmail.com</t>
        </is>
      </c>
      <c r="E66" t="inlineStr">
        <is>
          <t>https://lpjk.pu.go.id/search-badan-usaha-detail/d3RpQUtPUFgyTmJsczhiZDFndHlQdz09</t>
        </is>
      </c>
      <c r="F66" t="n">
        <v>1</v>
      </c>
      <c r="G66" t="inlineStr">
        <is>
          <t>PB004</t>
        </is>
      </c>
      <c r="H66" t="inlineStr">
        <is>
          <t>19 Maret 2020</t>
        </is>
      </c>
      <c r="I66" s="2" t="n">
        <v>46284</v>
      </c>
      <c r="J66" t="inlineStr">
        <is>
          <t>Pembekuan</t>
        </is>
      </c>
      <c r="K66" t="n">
        <v>60</v>
      </c>
      <c r="L66" t="inlineStr">
        <is>
          <t>19 September 2026</t>
        </is>
      </c>
      <c r="M66" t="inlineStr">
        <is>
          <t>Dekorasi Interior</t>
        </is>
      </c>
      <c r="N66" t="inlineStr">
        <is>
          <t>Spesialis</t>
        </is>
      </c>
      <c r="O66" t="inlineStr">
        <is>
          <t>20230919</t>
        </is>
      </c>
      <c r="P66" t="inlineStr">
        <is>
          <t>Jawa Tengah</t>
        </is>
      </c>
      <c r="Q66" t="inlineStr"/>
    </row>
    <row r="67">
      <c r="A67" t="inlineStr">
        <is>
          <t>INOVASI TANGGUH PERKASA</t>
        </is>
      </c>
      <c r="B67" t="inlineStr">
        <is>
          <t>Kota Adm. Jakarta Selatan</t>
        </is>
      </c>
      <c r="C67" t="inlineStr">
        <is>
          <t>02180477502</t>
        </is>
      </c>
      <c r="D67" t="inlineStr">
        <is>
          <t>sales@inovasi-tp.com</t>
        </is>
      </c>
      <c r="E67" t="inlineStr">
        <is>
          <t>https://lpjk.pu.go.id/search-badan-usaha-detail/TXpnbXdWeW9HaGNPRENCREludHJzdz09</t>
        </is>
      </c>
      <c r="F67" t="n">
        <v>1</v>
      </c>
      <c r="G67" t="inlineStr">
        <is>
          <t>BS005</t>
        </is>
      </c>
      <c r="H67" t="inlineStr">
        <is>
          <t>18 Februari 2016</t>
        </is>
      </c>
      <c r="I67" s="2" t="n">
        <v>46284</v>
      </c>
      <c r="J67" t="inlineStr">
        <is>
          <t>Disetujui</t>
        </is>
      </c>
      <c r="K67" t="n">
        <v>60</v>
      </c>
      <c r="L67" t="inlineStr">
        <is>
          <t>19 September 2026</t>
        </is>
      </c>
      <c r="M67" t="inlineStr">
        <is>
          <t>Konstruksi Bangunan Sipil Pengolahan Air Bersih</t>
        </is>
      </c>
      <c r="N67" t="inlineStr">
        <is>
          <t>K</t>
        </is>
      </c>
      <c r="O67" t="inlineStr">
        <is>
          <t>20230816</t>
        </is>
      </c>
      <c r="P67" t="inlineStr">
        <is>
          <t>DKI Jakarta</t>
        </is>
      </c>
      <c r="Q67" t="inlineStr"/>
    </row>
    <row r="68">
      <c r="A68" t="inlineStr">
        <is>
          <t>INTI PERKASA BORNEO</t>
        </is>
      </c>
      <c r="B68" t="inlineStr">
        <is>
          <t>Kab. Kutai Kartanegara</t>
        </is>
      </c>
      <c r="C68" t="inlineStr">
        <is>
          <t>085222288882</t>
        </is>
      </c>
      <c r="D68" t="inlineStr">
        <is>
          <t>intiperkasaborneo2023@gmail.com</t>
        </is>
      </c>
      <c r="E68" t="inlineStr">
        <is>
          <t>https://lpjk.pu.go.id/search-badan-usaha-detail/VUpNZGY5cm9qN3pSRWhyOVN5YWU5QT09</t>
        </is>
      </c>
      <c r="F68" t="n">
        <v>1</v>
      </c>
      <c r="G68" t="inlineStr">
        <is>
          <t>BG006</t>
        </is>
      </c>
      <c r="H68" t="inlineStr">
        <is>
          <t>13 Februari 2023</t>
        </is>
      </c>
      <c r="I68" s="2" t="n">
        <v>46284</v>
      </c>
      <c r="J68" t="inlineStr">
        <is>
          <t>Disetujui</t>
        </is>
      </c>
      <c r="K68" t="n">
        <v>60</v>
      </c>
      <c r="L68" t="inlineStr">
        <is>
          <t>19 September 2026</t>
        </is>
      </c>
      <c r="M68" t="inlineStr">
        <is>
          <t>Konstruksi Gedung Pendidikan</t>
        </is>
      </c>
      <c r="N68" t="inlineStr">
        <is>
          <t>K</t>
        </is>
      </c>
      <c r="O68" t="inlineStr">
        <is>
          <t>20230321</t>
        </is>
      </c>
      <c r="P68" t="inlineStr">
        <is>
          <t>Kalimantan Timur</t>
        </is>
      </c>
      <c r="Q68" t="inlineStr"/>
    </row>
    <row r="69">
      <c r="A69" t="inlineStr">
        <is>
          <t>JUANG MUDA NUSANTARA</t>
        </is>
      </c>
      <c r="B69" t="inlineStr">
        <is>
          <t>Kota Padang</t>
        </is>
      </c>
      <c r="C69" t="inlineStr">
        <is>
          <t>08116603456</t>
        </is>
      </c>
      <c r="D69" t="inlineStr">
        <is>
          <t>juangmudanusantara@gmail.com</t>
        </is>
      </c>
      <c r="E69" t="inlineStr">
        <is>
          <t>https://lpjk.pu.go.id/search-badan-usaha-detail/Zm5BdlpuWEQrMXVRTUVpVkdoYlBvUT09</t>
        </is>
      </c>
      <c r="F69" t="n">
        <v>2</v>
      </c>
      <c r="G69" t="inlineStr">
        <is>
          <t>AR001, RK001</t>
        </is>
      </c>
      <c r="H69" t="inlineStr">
        <is>
          <t>19 Mei 2017</t>
        </is>
      </c>
      <c r="I69" s="2" t="n">
        <v>46284</v>
      </c>
      <c r="J69" t="inlineStr">
        <is>
          <t>Pencabutan</t>
        </is>
      </c>
      <c r="K69" t="n">
        <v>60</v>
      </c>
      <c r="L69" t="inlineStr">
        <is>
          <t>19 September 2026</t>
        </is>
      </c>
      <c r="M69" t="inlineStr">
        <is>
          <t>Jasa Arsitektural Bangunan Gedung Hunian dan Non Hunian, Jasa Rekayasa Konstruksi Bangunan Gedung Hunian dan Non Hunian</t>
        </is>
      </c>
      <c r="N69" t="inlineStr">
        <is>
          <t>K</t>
        </is>
      </c>
      <c r="O69" t="inlineStr">
        <is>
          <t>20230912</t>
        </is>
      </c>
      <c r="P69" t="inlineStr">
        <is>
          <t>Sumatera Barat</t>
        </is>
      </c>
      <c r="Q69" t="inlineStr"/>
    </row>
    <row r="70">
      <c r="A70" t="inlineStr">
        <is>
          <t>KARYA INDAH INDONESIA</t>
        </is>
      </c>
      <c r="B70" t="inlineStr">
        <is>
          <t>Kota Palembang</t>
        </is>
      </c>
      <c r="C70" t="inlineStr">
        <is>
          <t>081367683002</t>
        </is>
      </c>
      <c r="D70" t="inlineStr">
        <is>
          <t>cv.karyaindah.ind@gmail.com</t>
        </is>
      </c>
      <c r="E70" t="inlineStr">
        <is>
          <t>https://lpjk.pu.go.id/search-badan-usaha-detail/OEt3ck9uWk5sTEZkcVlsMm5ORHZFQT09</t>
        </is>
      </c>
      <c r="F70" t="n">
        <v>3</v>
      </c>
      <c r="G70" t="inlineStr">
        <is>
          <t>BS001, BS002, BS004</t>
        </is>
      </c>
      <c r="H70" t="inlineStr">
        <is>
          <t>4 November 1981</t>
        </is>
      </c>
      <c r="I70" s="2" t="n">
        <v>46284</v>
      </c>
      <c r="J70" t="inlineStr">
        <is>
          <t>Disetujui</t>
        </is>
      </c>
      <c r="K70" t="n">
        <v>60</v>
      </c>
      <c r="L70" t="inlineStr">
        <is>
          <t>19 September 2026</t>
        </is>
      </c>
      <c r="M70" t="inlineStr">
        <is>
          <t>Bangunan Sipil Jembatan, Jalan Layang, Fly Over, dan Underpass, Konstruksi Bangunan Sipil Jalan, Konstruksi Jaringan Irigasi dan Drainase</t>
        </is>
      </c>
      <c r="N70" t="inlineStr">
        <is>
          <t>K</t>
        </is>
      </c>
      <c r="O70" t="inlineStr">
        <is>
          <t>20230914</t>
        </is>
      </c>
      <c r="P70" t="inlineStr">
        <is>
          <t>Sumatera Selatan</t>
        </is>
      </c>
      <c r="Q70" t="inlineStr"/>
    </row>
    <row r="71">
      <c r="A71" t="inlineStr">
        <is>
          <t>KARYA PUTRA ALRAFFI</t>
        </is>
      </c>
      <c r="B71" t="inlineStr">
        <is>
          <t>Kab. Banyuasin</t>
        </is>
      </c>
      <c r="C71" t="inlineStr">
        <is>
          <t>081373456914</t>
        </is>
      </c>
      <c r="D71" t="inlineStr">
        <is>
          <t>cvkaryaputraalraffi@gmail.com</t>
        </is>
      </c>
      <c r="E71" t="inlineStr">
        <is>
          <t>https://lpjk.pu.go.id/search-badan-usaha-detail/ZkltelE3b3RLcTZKT1hYU2s2YmlDZz09</t>
        </is>
      </c>
      <c r="F71" t="n">
        <v>1</v>
      </c>
      <c r="G71" t="inlineStr">
        <is>
          <t>BG009</t>
        </is>
      </c>
      <c r="H71" t="inlineStr">
        <is>
          <t>13 Oktober 2022</t>
        </is>
      </c>
      <c r="I71" s="2" t="n">
        <v>46284</v>
      </c>
      <c r="J71" t="inlineStr">
        <is>
          <t>Disetujui</t>
        </is>
      </c>
      <c r="K71" t="n">
        <v>60</v>
      </c>
      <c r="L71" t="inlineStr">
        <is>
          <t>19 September 2026</t>
        </is>
      </c>
      <c r="M71" t="inlineStr">
        <is>
          <t>Konstruksi Gedung Lainnya</t>
        </is>
      </c>
      <c r="N71" t="inlineStr">
        <is>
          <t>K</t>
        </is>
      </c>
      <c r="O71" t="inlineStr">
        <is>
          <t>20230920</t>
        </is>
      </c>
      <c r="P71" t="inlineStr">
        <is>
          <t>Sumatera Selatan</t>
        </is>
      </c>
      <c r="Q71" t="inlineStr"/>
    </row>
    <row r="72">
      <c r="A72" t="inlineStr">
        <is>
          <t>KHALISA LANGKAT</t>
        </is>
      </c>
      <c r="B72" t="inlineStr">
        <is>
          <t>Kab. Langkat</t>
        </is>
      </c>
      <c r="C72" t="inlineStr">
        <is>
          <t>081350182891</t>
        </is>
      </c>
      <c r="D72" t="inlineStr">
        <is>
          <t>cv.khalisalangkat@datangyuk.site</t>
        </is>
      </c>
      <c r="E72" t="inlineStr">
        <is>
          <t>https://lpjk.pu.go.id/search-badan-usaha-detail/OVpXZklnaVRlWlYyYTZTQi9rSjRvUT09</t>
        </is>
      </c>
      <c r="F72" t="n">
        <v>2</v>
      </c>
      <c r="G72" t="inlineStr">
        <is>
          <t>BS004</t>
        </is>
      </c>
      <c r="H72" t="inlineStr">
        <is>
          <t>9 Januari 2023</t>
        </is>
      </c>
      <c r="I72" s="2" t="n">
        <v>46284</v>
      </c>
      <c r="J72" t="inlineStr">
        <is>
          <t>Disetujui</t>
        </is>
      </c>
      <c r="K72" t="n">
        <v>60</v>
      </c>
      <c r="L72" t="inlineStr">
        <is>
          <t>19 September 2026</t>
        </is>
      </c>
      <c r="M72" t="inlineStr">
        <is>
          <t>Konstruksi Jaringan Irigasi dan Drainase</t>
        </is>
      </c>
      <c r="N72" t="inlineStr">
        <is>
          <t>K</t>
        </is>
      </c>
      <c r="O72" t="inlineStr">
        <is>
          <t>20230919</t>
        </is>
      </c>
      <c r="P72" t="inlineStr">
        <is>
          <t>Sumatera Utara</t>
        </is>
      </c>
      <c r="Q72" t="inlineStr"/>
    </row>
    <row r="73">
      <c r="A73" t="inlineStr">
        <is>
          <t>KREASI BERKAT MAJU</t>
        </is>
      </c>
      <c r="B73" t="inlineStr">
        <is>
          <t>Kota Tangerang</t>
        </is>
      </c>
      <c r="C73" t="inlineStr">
        <is>
          <t>085100436133</t>
        </is>
      </c>
      <c r="D73" t="inlineStr">
        <is>
          <t>kreasiberkatmaju@gmail.com</t>
        </is>
      </c>
      <c r="E73" t="inlineStr">
        <is>
          <t>https://lpjk.pu.go.id/search-badan-usaha-detail/VTB5Szg4bzh0Vm5IVUdWQ1VtMGcvdz09</t>
        </is>
      </c>
      <c r="F73" t="n">
        <v>1</v>
      </c>
      <c r="G73" t="inlineStr">
        <is>
          <t>BS004</t>
        </is>
      </c>
      <c r="H73" t="inlineStr">
        <is>
          <t>30 Juni 2020</t>
        </is>
      </c>
      <c r="I73" s="2" t="n">
        <v>46284</v>
      </c>
      <c r="J73" t="inlineStr">
        <is>
          <t>Disetujui</t>
        </is>
      </c>
      <c r="K73" t="n">
        <v>60</v>
      </c>
      <c r="L73" t="inlineStr">
        <is>
          <t>19 September 2026</t>
        </is>
      </c>
      <c r="M73" t="inlineStr">
        <is>
          <t>Konstruksi Jaringan Irigasi dan Drainase</t>
        </is>
      </c>
      <c r="N73" t="inlineStr">
        <is>
          <t>K</t>
        </is>
      </c>
      <c r="O73" t="inlineStr">
        <is>
          <t>20230915</t>
        </is>
      </c>
      <c r="P73" t="inlineStr">
        <is>
          <t>Banten</t>
        </is>
      </c>
      <c r="Q73" t="inlineStr"/>
    </row>
    <row r="74">
      <c r="A74" t="inlineStr">
        <is>
          <t>KURNIA UTAMA JAYA</t>
        </is>
      </c>
      <c r="B74" t="inlineStr">
        <is>
          <t>Kab. Sidoarjo</t>
        </is>
      </c>
      <c r="C74" t="inlineStr">
        <is>
          <t>0318533342</t>
        </is>
      </c>
      <c r="D74" t="inlineStr">
        <is>
          <t>pt.kurnia_utama_Jaya@yahoo.co.id</t>
        </is>
      </c>
      <c r="E74" t="inlineStr">
        <is>
          <t>https://lpjk.pu.go.id/search-badan-usaha-detail/djczdGVGRnJoMU9MWTZDbXhpRXJpdz09</t>
        </is>
      </c>
      <c r="F74" t="n">
        <v>1</v>
      </c>
      <c r="G74" t="inlineStr">
        <is>
          <t>BG009</t>
        </is>
      </c>
      <c r="H74" t="inlineStr">
        <is>
          <t>24 April 2006</t>
        </is>
      </c>
      <c r="I74" s="2" t="n">
        <v>46284</v>
      </c>
      <c r="J74" t="inlineStr">
        <is>
          <t>Disetujui</t>
        </is>
      </c>
      <c r="K74" t="n">
        <v>60</v>
      </c>
      <c r="L74" t="inlineStr">
        <is>
          <t>19 September 2026</t>
        </is>
      </c>
      <c r="M74" t="inlineStr">
        <is>
          <t>Konstruksi Gedung Lainnya</t>
        </is>
      </c>
      <c r="N74" t="inlineStr">
        <is>
          <t>K</t>
        </is>
      </c>
      <c r="O74" t="inlineStr">
        <is>
          <t>20230920</t>
        </is>
      </c>
      <c r="P74" t="inlineStr">
        <is>
          <t>Jawa Timur</t>
        </is>
      </c>
      <c r="Q74" t="inlineStr"/>
    </row>
    <row r="75">
      <c r="A75" t="inlineStr">
        <is>
          <t>LESTARI</t>
        </is>
      </c>
      <c r="B75" t="inlineStr">
        <is>
          <t>Kab. Tapanuli Selatan</t>
        </is>
      </c>
      <c r="C75" t="inlineStr">
        <is>
          <t>081377377492</t>
        </is>
      </c>
      <c r="D75" t="inlineStr">
        <is>
          <t>cvlestari8@gmail.com</t>
        </is>
      </c>
      <c r="E75" t="inlineStr">
        <is>
          <t>https://lpjk.pu.go.id/search-badan-usaha-detail/ZytTY1Vwa1ZSeTRIblpqY2VidFFJQT09</t>
        </is>
      </c>
      <c r="F75" t="n">
        <v>1</v>
      </c>
      <c r="G75" t="inlineStr">
        <is>
          <t>BS010</t>
        </is>
      </c>
      <c r="H75" t="inlineStr">
        <is>
          <t>13 Desember 1994</t>
        </is>
      </c>
      <c r="I75" s="2" t="n">
        <v>46284</v>
      </c>
      <c r="J75" t="inlineStr">
        <is>
          <t>Disetujui</t>
        </is>
      </c>
      <c r="K75" t="n">
        <v>60</v>
      </c>
      <c r="L75" t="inlineStr">
        <is>
          <t>19 September 2026</t>
        </is>
      </c>
      <c r="M75" t="inlineStr">
        <is>
          <t>Konstruksi Bangunan Prasarana Sumber Daya Air</t>
        </is>
      </c>
      <c r="N75" t="inlineStr">
        <is>
          <t>K</t>
        </is>
      </c>
      <c r="O75" t="inlineStr">
        <is>
          <t>20230919</t>
        </is>
      </c>
      <c r="P75" t="inlineStr">
        <is>
          <t>Sumatera Utara</t>
        </is>
      </c>
      <c r="Q75" t="inlineStr"/>
    </row>
    <row r="76">
      <c r="A76" t="inlineStr">
        <is>
          <t>MAHA KARYA</t>
        </is>
      </c>
      <c r="B76" t="inlineStr">
        <is>
          <t>Kab. Pamekasan</t>
        </is>
      </c>
      <c r="C76" t="inlineStr">
        <is>
          <t>0817310823</t>
        </is>
      </c>
      <c r="D76" t="inlineStr">
        <is>
          <t>cv.mahakaryapamekasan@gmail.com</t>
        </is>
      </c>
      <c r="E76" t="inlineStr">
        <is>
          <t>https://lpjk.pu.go.id/search-badan-usaha-detail/bWc4My85ekgzZkoxL2hSM09wRDJ2Zz09</t>
        </is>
      </c>
      <c r="F76" t="n">
        <v>3</v>
      </c>
      <c r="G76" t="inlineStr">
        <is>
          <t>BG005, BS001, BS004</t>
        </is>
      </c>
      <c r="H76" t="inlineStr">
        <is>
          <t>16 April 2016</t>
        </is>
      </c>
      <c r="I76" s="2" t="n">
        <v>46284</v>
      </c>
      <c r="J76" t="inlineStr">
        <is>
          <t>Pencabutan</t>
        </is>
      </c>
      <c r="K76" t="n">
        <v>60</v>
      </c>
      <c r="L76" t="inlineStr">
        <is>
          <t>19 September 2026</t>
        </is>
      </c>
      <c r="M76" t="inlineStr">
        <is>
          <t>Konstruksi Bangunan Sipil Jalan, Konstruksi Gedung Kesehatan, Konstruksi Jaringan Irigasi dan Drainase</t>
        </is>
      </c>
      <c r="N76" t="inlineStr">
        <is>
          <t>K</t>
        </is>
      </c>
      <c r="O76" t="inlineStr">
        <is>
          <t>20230219, 20230919</t>
        </is>
      </c>
      <c r="P76" t="inlineStr">
        <is>
          <t>Jawa Timur</t>
        </is>
      </c>
      <c r="Q76" t="inlineStr"/>
    </row>
    <row r="77">
      <c r="A77" t="inlineStr">
        <is>
          <t>MAHAKARYA KONSTRUKSI</t>
        </is>
      </c>
      <c r="B77" t="inlineStr">
        <is>
          <t>Kab. Tuban</t>
        </is>
      </c>
      <c r="C77" t="inlineStr">
        <is>
          <t>085204568174</t>
        </is>
      </c>
      <c r="D77" t="inlineStr">
        <is>
          <t>mahakaryakonstruksi1985@gmail.com</t>
        </is>
      </c>
      <c r="E77" t="inlineStr">
        <is>
          <t>https://lpjk.pu.go.id/search-badan-usaha-detail/SWw2L0g5N1dQS0JoelYyOEo2U1p3dz09</t>
        </is>
      </c>
      <c r="F77" t="n">
        <v>3</v>
      </c>
      <c r="G77" t="inlineStr">
        <is>
          <t>BS004</t>
        </is>
      </c>
      <c r="H77" t="inlineStr">
        <is>
          <t>10 Agustus 2016</t>
        </is>
      </c>
      <c r="I77" s="2" t="n">
        <v>46284</v>
      </c>
      <c r="J77" t="inlineStr">
        <is>
          <t>Disetujui</t>
        </is>
      </c>
      <c r="K77" t="n">
        <v>60</v>
      </c>
      <c r="L77" t="inlineStr">
        <is>
          <t>19 September 2026</t>
        </is>
      </c>
      <c r="M77" t="inlineStr">
        <is>
          <t>Konstruksi Jaringan Irigasi dan Drainase</t>
        </is>
      </c>
      <c r="N77" t="inlineStr">
        <is>
          <t>K</t>
        </is>
      </c>
      <c r="O77" t="inlineStr">
        <is>
          <t>20230919</t>
        </is>
      </c>
      <c r="P77" t="inlineStr">
        <is>
          <t>Jawa Timur</t>
        </is>
      </c>
      <c r="Q77" t="inlineStr"/>
    </row>
    <row r="78">
      <c r="A78" t="inlineStr">
        <is>
          <t>MAJU</t>
        </is>
      </c>
      <c r="B78" t="inlineStr">
        <is>
          <t>Kab. Bondowoso</t>
        </is>
      </c>
      <c r="C78" t="inlineStr">
        <is>
          <t>081358943477</t>
        </is>
      </c>
      <c r="D78" t="inlineStr">
        <is>
          <t>audition_yoss23@yahoo.com</t>
        </is>
      </c>
      <c r="E78" t="inlineStr">
        <is>
          <t>https://lpjk.pu.go.id/search-badan-usaha-detail/V1lNVTdBeTVZSUVCQ25NVDkzYyt3eExvWHhNK3dPRGtEOWtBRVBqOFpzdz0</t>
        </is>
      </c>
      <c r="F78" t="n">
        <v>1</v>
      </c>
      <c r="G78" t="inlineStr">
        <is>
          <t>BS001</t>
        </is>
      </c>
      <c r="H78" t="inlineStr">
        <is>
          <t>25 September 2024</t>
        </is>
      </c>
      <c r="I78" s="2" t="n">
        <v>46284</v>
      </c>
      <c r="J78" t="inlineStr">
        <is>
          <t>Disetujui</t>
        </is>
      </c>
      <c r="K78" t="n">
        <v>60</v>
      </c>
      <c r="L78" t="inlineStr">
        <is>
          <t>19 September 2026</t>
        </is>
      </c>
      <c r="M78" t="inlineStr">
        <is>
          <t>Konstruksi Bangunan Sipil Jalan</t>
        </is>
      </c>
      <c r="N78" t="inlineStr">
        <is>
          <t>K</t>
        </is>
      </c>
      <c r="O78" t="inlineStr">
        <is>
          <t>20230914</t>
        </is>
      </c>
      <c r="P78" t="inlineStr">
        <is>
          <t>Jawa Timur</t>
        </is>
      </c>
      <c r="Q78" t="inlineStr"/>
    </row>
    <row r="79">
      <c r="A79" t="inlineStr">
        <is>
          <t>MEGA PILAR UTAMA</t>
        </is>
      </c>
      <c r="B79" t="inlineStr">
        <is>
          <t>Kota Jambi</t>
        </is>
      </c>
      <c r="C79" t="inlineStr">
        <is>
          <t>081367773428</t>
        </is>
      </c>
      <c r="D79" t="inlineStr">
        <is>
          <t>cv.megapilarutama@gmail.com</t>
        </is>
      </c>
      <c r="E79" t="inlineStr">
        <is>
          <t>https://lpjk.pu.go.id/search-badan-usaha-detail/QjlDemQwRU1OSUszUzNOZStXbmk2UT09</t>
        </is>
      </c>
      <c r="F79" t="n">
        <v>4</v>
      </c>
      <c r="G79" t="inlineStr">
        <is>
          <t>BG001, BG002, BG008, BS001</t>
        </is>
      </c>
      <c r="H79" t="inlineStr">
        <is>
          <t>25 Februari 2020</t>
        </is>
      </c>
      <c r="I79" s="2" t="n">
        <v>46284</v>
      </c>
      <c r="J79" t="inlineStr">
        <is>
          <t>Disetujui</t>
        </is>
      </c>
      <c r="K79" t="n">
        <v>60</v>
      </c>
      <c r="L79" t="inlineStr">
        <is>
          <t>19 September 2026</t>
        </is>
      </c>
      <c r="M79" t="inlineStr">
        <is>
          <t>Konstruksi Bangunan Sipil Jalan, Konstruksi Gedung Hunian, Konstruksi Gedung Perkantoran, Konstruksi Gedung Tempat Hiburan dan Olahraga</t>
        </is>
      </c>
      <c r="N79" t="inlineStr">
        <is>
          <t>K</t>
        </is>
      </c>
      <c r="O79" t="inlineStr">
        <is>
          <t>20230208, 20230914, 20230918</t>
        </is>
      </c>
      <c r="P79" t="inlineStr">
        <is>
          <t>Jambi</t>
        </is>
      </c>
      <c r="Q79" t="inlineStr"/>
    </row>
    <row r="80">
      <c r="A80" t="inlineStr">
        <is>
          <t>MEGA PUTRA ENGINEERING</t>
        </is>
      </c>
      <c r="B80" t="inlineStr">
        <is>
          <t>Kab. Gowa</t>
        </is>
      </c>
      <c r="C80" t="inlineStr">
        <is>
          <t>082346664005</t>
        </is>
      </c>
      <c r="D80" t="inlineStr">
        <is>
          <t>megaputraengineering58@gmail.com</t>
        </is>
      </c>
      <c r="E80" t="inlineStr">
        <is>
          <t>https://lpjk.pu.go.id/search-badan-usaha-detail/OWxJTzZ6dXNzc1M4RGRrQVJXejZ6UT09</t>
        </is>
      </c>
      <c r="F80" t="n">
        <v>2</v>
      </c>
      <c r="G80" t="inlineStr">
        <is>
          <t>AR002, RK003</t>
        </is>
      </c>
      <c r="H80" t="inlineStr">
        <is>
          <t>19 Januari 2022</t>
        </is>
      </c>
      <c r="I80" s="2" t="n">
        <v>46284</v>
      </c>
      <c r="J80" t="inlineStr">
        <is>
          <t>Disetujui</t>
        </is>
      </c>
      <c r="K80" t="n">
        <v>60</v>
      </c>
      <c r="L80" t="inlineStr">
        <is>
          <t>19 September 2026</t>
        </is>
      </c>
      <c r="M80" t="inlineStr">
        <is>
          <t>Jasa Arsitektural Lainnya, Jasa Rekayasa Pekerjaan Teknik Sipil Transportasi</t>
        </is>
      </c>
      <c r="N80" t="inlineStr">
        <is>
          <t>K</t>
        </is>
      </c>
      <c r="O80" t="inlineStr">
        <is>
          <t>20220126, 20220420</t>
        </is>
      </c>
      <c r="P80" t="inlineStr">
        <is>
          <t>Sulawesi Selatan</t>
        </is>
      </c>
      <c r="Q80" t="inlineStr"/>
    </row>
    <row r="81">
      <c r="A81" t="inlineStr">
        <is>
          <t>MEKAR SEJAHTERA</t>
        </is>
      </c>
      <c r="B81" t="inlineStr">
        <is>
          <t>Kab. Bantul</t>
        </is>
      </c>
      <c r="C81" t="inlineStr">
        <is>
          <t>087738392620</t>
        </is>
      </c>
      <c r="D81" t="inlineStr">
        <is>
          <t>NURIKHSANHIDAYAT33@gmail.com</t>
        </is>
      </c>
      <c r="E81" t="inlineStr">
        <is>
          <t>https://lpjk.pu.go.id/search-badan-usaha-detail/MHRQWk1aTW1MbS8ySWEwNmpBRGszdz09</t>
        </is>
      </c>
      <c r="F81" t="n">
        <v>4</v>
      </c>
      <c r="G81" t="inlineStr">
        <is>
          <t>BG009, BS004</t>
        </is>
      </c>
      <c r="H81" t="inlineStr">
        <is>
          <t>16 Januari 2006</t>
        </is>
      </c>
      <c r="I81" s="2" t="n">
        <v>46284</v>
      </c>
      <c r="J81" t="inlineStr">
        <is>
          <t>Disetujui</t>
        </is>
      </c>
      <c r="K81" t="n">
        <v>60</v>
      </c>
      <c r="L81" t="inlineStr">
        <is>
          <t>19 September 2026</t>
        </is>
      </c>
      <c r="M81" t="inlineStr">
        <is>
          <t>Konstruksi Gedung Lainnya, Konstruksi Jaringan Irigasi dan Drainase</t>
        </is>
      </c>
      <c r="N81" t="inlineStr">
        <is>
          <t>K</t>
        </is>
      </c>
      <c r="O81" t="inlineStr">
        <is>
          <t>20230904, 20230915</t>
        </is>
      </c>
      <c r="P81" t="inlineStr">
        <is>
          <t>DI Yogyakarta</t>
        </is>
      </c>
      <c r="Q81" t="inlineStr"/>
    </row>
    <row r="82">
      <c r="A82" t="inlineStr">
        <is>
          <t>MENTARI TEKNIK</t>
        </is>
      </c>
      <c r="B82" t="inlineStr">
        <is>
          <t>Kota Kupang</t>
        </is>
      </c>
      <c r="C82" t="inlineStr">
        <is>
          <t>081237779850</t>
        </is>
      </c>
      <c r="D82" t="inlineStr">
        <is>
          <t>mentariteknikcv@gmail.com</t>
        </is>
      </c>
      <c r="E82" t="inlineStr">
        <is>
          <t>https://lpjk.pu.go.id/search-badan-usaha-detail/MGxHVkhnSUlMSHdsUzVKaTJ5OFp4QT09</t>
        </is>
      </c>
      <c r="F82" t="n">
        <v>1</v>
      </c>
      <c r="G82" t="inlineStr">
        <is>
          <t>RK001</t>
        </is>
      </c>
      <c r="H82" t="inlineStr">
        <is>
          <t>31 Agustus 2019</t>
        </is>
      </c>
      <c r="I82" s="2" t="n">
        <v>46284</v>
      </c>
      <c r="J82" t="inlineStr">
        <is>
          <t>Disetujui</t>
        </is>
      </c>
      <c r="K82" t="n">
        <v>60</v>
      </c>
      <c r="L82" t="inlineStr">
        <is>
          <t>19 September 2026</t>
        </is>
      </c>
      <c r="M82" t="inlineStr">
        <is>
          <t>Jasa Rekayasa Konstruksi Bangunan Gedung Hunian dan Non Hunian</t>
        </is>
      </c>
      <c r="N82" t="inlineStr">
        <is>
          <t>K</t>
        </is>
      </c>
      <c r="O82" t="inlineStr">
        <is>
          <t>20230525</t>
        </is>
      </c>
      <c r="P82" t="inlineStr">
        <is>
          <t>Nusa Tenggara Timur</t>
        </is>
      </c>
      <c r="Q82" t="inlineStr"/>
    </row>
    <row r="83">
      <c r="A83" t="inlineStr">
        <is>
          <t>MENTENG BATARUNG KONSULTINDO</t>
        </is>
      </c>
      <c r="B83" t="inlineStr">
        <is>
          <t>Kota Palangkaraya</t>
        </is>
      </c>
      <c r="C83" t="inlineStr">
        <is>
          <t>085249090948</t>
        </is>
      </c>
      <c r="D83" t="inlineStr">
        <is>
          <t>konsultindomentengbatarung@gmail.com</t>
        </is>
      </c>
      <c r="E83" t="inlineStr">
        <is>
          <t>https://lpjk.pu.go.id/search-badan-usaha-detail/MmIzei93bGN2dkJlZzBPaythRzQyUT09</t>
        </is>
      </c>
      <c r="F83" t="n">
        <v>5</v>
      </c>
      <c r="G83" t="inlineStr">
        <is>
          <t>AR001, RK001, RK002, RK003, RK004</t>
        </is>
      </c>
      <c r="H83" t="inlineStr">
        <is>
          <t>7 September 2023</t>
        </is>
      </c>
      <c r="I83" s="2" t="n">
        <v>46284</v>
      </c>
      <c r="J83" t="inlineStr">
        <is>
          <t>Disetujui</t>
        </is>
      </c>
      <c r="K83" t="n">
        <v>60</v>
      </c>
      <c r="L83" t="inlineStr">
        <is>
          <t>19 September 2026</t>
        </is>
      </c>
      <c r="M83" t="inlineStr">
        <is>
          <t>Jasa Arsitektural Bangunan Gedung Hunian dan Non Hunian, Jasa Rekayasa Konstruksi Bangunan Gedung Hunian dan Non Hunian, Jasa Rekayasa Pekerjaan Mekanikal Dalam Bangunan, Jasa Rekayasa Pekerjaan Teknik Sipil Sumber Daya Air, Jasa Rekayasa Pekerjaan Teknik Sipil Transportasi</t>
        </is>
      </c>
      <c r="N83" t="inlineStr">
        <is>
          <t>K</t>
        </is>
      </c>
      <c r="O83" t="inlineStr">
        <is>
          <t>20230909, 20230916</t>
        </is>
      </c>
      <c r="P83" t="inlineStr">
        <is>
          <t>Kalimantan Tengah</t>
        </is>
      </c>
      <c r="Q83" t="inlineStr"/>
    </row>
    <row r="84">
      <c r="A84" t="inlineStr">
        <is>
          <t>MITRA JAYA KREATINDO</t>
        </is>
      </c>
      <c r="B84" t="inlineStr">
        <is>
          <t>Kota Surabaya</t>
        </is>
      </c>
      <c r="C84" t="inlineStr">
        <is>
          <t>081231966966</t>
        </is>
      </c>
      <c r="D84" t="inlineStr">
        <is>
          <t>mj.kreatindo@gmail.com</t>
        </is>
      </c>
      <c r="E84" t="inlineStr">
        <is>
          <t>https://lpjk.pu.go.id/search-badan-usaha-detail/cmUxUWpacU1FVUJkTk1yaHUzR0JsQT09</t>
        </is>
      </c>
      <c r="F84" t="n">
        <v>1</v>
      </c>
      <c r="G84" t="inlineStr">
        <is>
          <t>BS001</t>
        </is>
      </c>
      <c r="H84" t="inlineStr">
        <is>
          <t>30 Januari 2018</t>
        </is>
      </c>
      <c r="I84" s="2" t="n">
        <v>46284</v>
      </c>
      <c r="J84" t="inlineStr">
        <is>
          <t>Disetujui</t>
        </is>
      </c>
      <c r="K84" t="n">
        <v>60</v>
      </c>
      <c r="L84" t="inlineStr">
        <is>
          <t>19 September 2026</t>
        </is>
      </c>
      <c r="M84" t="inlineStr">
        <is>
          <t>Konstruksi Bangunan Sipil Jalan</t>
        </is>
      </c>
      <c r="N84" t="inlineStr">
        <is>
          <t>K</t>
        </is>
      </c>
      <c r="O84" t="inlineStr">
        <is>
          <t>20230918</t>
        </is>
      </c>
      <c r="P84" t="inlineStr">
        <is>
          <t>Jawa Timur</t>
        </is>
      </c>
      <c r="Q84" t="inlineStr"/>
    </row>
    <row r="85">
      <c r="A85" t="inlineStr">
        <is>
          <t>MITRA MANDALA JAYA</t>
        </is>
      </c>
      <c r="B85" t="inlineStr">
        <is>
          <t>Kab. Sidoarjo</t>
        </is>
      </c>
      <c r="C85" t="inlineStr">
        <is>
          <t>03158209465</t>
        </is>
      </c>
      <c r="D85" t="inlineStr">
        <is>
          <t>mitramandalajaya@gmail.com</t>
        </is>
      </c>
      <c r="E85" t="inlineStr">
        <is>
          <t>https://lpjk.pu.go.id/search-badan-usaha-detail/L3RQVzZBZjRGREdjL3doZDdtUE5uUT09</t>
        </is>
      </c>
      <c r="F85" t="n">
        <v>1</v>
      </c>
      <c r="G85" t="inlineStr">
        <is>
          <t>BS001</t>
        </is>
      </c>
      <c r="H85" t="inlineStr">
        <is>
          <t>19 November 2009</t>
        </is>
      </c>
      <c r="I85" s="2" t="n">
        <v>46284</v>
      </c>
      <c r="J85" t="inlineStr">
        <is>
          <t>Pencabutan</t>
        </is>
      </c>
      <c r="K85" t="n">
        <v>60</v>
      </c>
      <c r="L85" t="inlineStr">
        <is>
          <t>19 September 2026</t>
        </is>
      </c>
      <c r="M85" t="inlineStr">
        <is>
          <t>Konstruksi Bangunan Sipil Jalan</t>
        </is>
      </c>
      <c r="N85" t="inlineStr">
        <is>
          <t>M</t>
        </is>
      </c>
      <c r="O85" t="inlineStr">
        <is>
          <t>20230915</t>
        </is>
      </c>
      <c r="P85" t="inlineStr">
        <is>
          <t>Jawa Timur</t>
        </is>
      </c>
      <c r="Q85" t="inlineStr"/>
    </row>
    <row r="86">
      <c r="A86" t="inlineStr">
        <is>
          <t>MITRA UNGGUL SUKSES ABADI</t>
        </is>
      </c>
      <c r="B86" t="inlineStr">
        <is>
          <t>Kota Jambi</t>
        </is>
      </c>
      <c r="C86" t="inlineStr">
        <is>
          <t>081366501022</t>
        </is>
      </c>
      <c r="D86" t="inlineStr">
        <is>
          <t>ptmusa.jbi@yahoo.com</t>
        </is>
      </c>
      <c r="E86" t="inlineStr">
        <is>
          <t>https://lpjk.pu.go.id/search-badan-usaha-detail/WENtL2lCNDVJS256YThhcit2bktlZz09</t>
        </is>
      </c>
      <c r="F86" t="n">
        <v>2</v>
      </c>
      <c r="G86" t="inlineStr">
        <is>
          <t>BG001, BG002</t>
        </is>
      </c>
      <c r="H86" t="inlineStr">
        <is>
          <t>23 September 2015</t>
        </is>
      </c>
      <c r="I86" s="2" t="n">
        <v>46284</v>
      </c>
      <c r="J86" t="inlineStr">
        <is>
          <t>Disetujui</t>
        </is>
      </c>
      <c r="K86" t="n">
        <v>60</v>
      </c>
      <c r="L86" t="inlineStr">
        <is>
          <t>19 September 2026</t>
        </is>
      </c>
      <c r="M86" t="inlineStr">
        <is>
          <t>Konstruksi Gedung Hunian, Konstruksi Gedung Perkantoran</t>
        </is>
      </c>
      <c r="N86" t="inlineStr">
        <is>
          <t>K</t>
        </is>
      </c>
      <c r="O86" t="inlineStr">
        <is>
          <t>20230914, 20230919</t>
        </is>
      </c>
      <c r="P86" t="inlineStr">
        <is>
          <t>Jambi</t>
        </is>
      </c>
      <c r="Q86" t="inlineStr"/>
    </row>
    <row r="87">
      <c r="A87" t="inlineStr">
        <is>
          <t>MITRA UTAMA SOLUTION</t>
        </is>
      </c>
      <c r="B87" t="inlineStr">
        <is>
          <t>Kota Banjarbaru</t>
        </is>
      </c>
      <c r="C87" t="inlineStr">
        <is>
          <t>081348025039</t>
        </is>
      </c>
      <c r="D87" t="inlineStr">
        <is>
          <t>nhr.oulin140@gmail.com</t>
        </is>
      </c>
      <c r="E87" t="inlineStr">
        <is>
          <t>https://lpjk.pu.go.id/search-badan-usaha-detail/L0k2TFUvUWpvZjhSYkYxSTJXWHM0UT09</t>
        </is>
      </c>
      <c r="F87" t="n">
        <v>1</v>
      </c>
      <c r="G87" t="inlineStr">
        <is>
          <t>BS010</t>
        </is>
      </c>
      <c r="H87" t="inlineStr">
        <is>
          <t>12 Juli 2023</t>
        </is>
      </c>
      <c r="I87" s="2" t="n">
        <v>46284</v>
      </c>
      <c r="J87" t="inlineStr">
        <is>
          <t>Disetujui</t>
        </is>
      </c>
      <c r="K87" t="n">
        <v>60</v>
      </c>
      <c r="L87" t="inlineStr">
        <is>
          <t>19 September 2026</t>
        </is>
      </c>
      <c r="M87" t="inlineStr">
        <is>
          <t>Konstruksi Bangunan Prasarana Sumber Daya Air</t>
        </is>
      </c>
      <c r="N87" t="inlineStr">
        <is>
          <t>K</t>
        </is>
      </c>
      <c r="O87" t="inlineStr">
        <is>
          <t>20230920</t>
        </is>
      </c>
      <c r="P87" t="inlineStr">
        <is>
          <t>Kalimantan Selatan</t>
        </is>
      </c>
      <c r="Q87" t="inlineStr"/>
    </row>
    <row r="88">
      <c r="A88" t="inlineStr">
        <is>
          <t>MUGI RAHAYU</t>
        </is>
      </c>
      <c r="B88" t="inlineStr">
        <is>
          <t>Kab. Cilacap</t>
        </is>
      </c>
      <c r="C88" t="inlineStr">
        <is>
          <t>0282534284</t>
        </is>
      </c>
      <c r="D88" t="inlineStr">
        <is>
          <t>mugirahayu_cv@yahoo.co.id</t>
        </is>
      </c>
      <c r="E88" t="inlineStr">
        <is>
          <t>https://lpjk.pu.go.id/search-badan-usaha-detail/dzBLc0lzVUxxbW9UNGR6blpOS3VSUT09</t>
        </is>
      </c>
      <c r="F88" t="n">
        <v>1</v>
      </c>
      <c r="G88" t="inlineStr">
        <is>
          <t>IN004</t>
        </is>
      </c>
      <c r="H88" t="inlineStr">
        <is>
          <t>22 Juni 2012</t>
        </is>
      </c>
      <c r="I88" s="2" t="n">
        <v>46284</v>
      </c>
      <c r="J88" t="inlineStr">
        <is>
          <t>Disetujui</t>
        </is>
      </c>
      <c r="K88" t="n">
        <v>60</v>
      </c>
      <c r="L88" t="inlineStr">
        <is>
          <t>19 September 2026</t>
        </is>
      </c>
      <c r="M88" t="inlineStr">
        <is>
          <t>Instalasi Minyak dan Gas</t>
        </is>
      </c>
      <c r="N88" t="inlineStr">
        <is>
          <t>Spesialis</t>
        </is>
      </c>
      <c r="O88" t="inlineStr">
        <is>
          <t>20230801</t>
        </is>
      </c>
      <c r="P88" t="inlineStr">
        <is>
          <t>Jawa Tengah</t>
        </is>
      </c>
      <c r="Q88" t="inlineStr"/>
    </row>
    <row r="89">
      <c r="A89" t="inlineStr">
        <is>
          <t>MULTI GRAHA PUTRA</t>
        </is>
      </c>
      <c r="B89" t="inlineStr">
        <is>
          <t>Kota Samarinda</t>
        </is>
      </c>
      <c r="C89" t="inlineStr">
        <is>
          <t>081347977373</t>
        </is>
      </c>
      <c r="D89" t="inlineStr">
        <is>
          <t>cv.multigrahaputra@gmail.com</t>
        </is>
      </c>
      <c r="E89" t="inlineStr">
        <is>
          <t>https://lpjk.pu.go.id/search-badan-usaha-detail/azJ4RDZSd0tVNkMwbmxQSUhEakp4UT09</t>
        </is>
      </c>
      <c r="F89" t="n">
        <v>3</v>
      </c>
      <c r="G89" t="inlineStr">
        <is>
          <t>BG002, BG005, BG009</t>
        </is>
      </c>
      <c r="H89" t="inlineStr">
        <is>
          <t>22 Februari 2022</t>
        </is>
      </c>
      <c r="I89" s="2" t="n">
        <v>46284</v>
      </c>
      <c r="J89" t="inlineStr">
        <is>
          <t>Pencabutan</t>
        </is>
      </c>
      <c r="K89" t="n">
        <v>60</v>
      </c>
      <c r="L89" t="inlineStr">
        <is>
          <t>19 September 2026</t>
        </is>
      </c>
      <c r="M89" t="inlineStr">
        <is>
          <t>Konstruksi Gedung Kesehatan, Konstruksi Gedung Lainnya, Konstruksi Gedung Perkantoran</t>
        </is>
      </c>
      <c r="N89" t="inlineStr">
        <is>
          <t>K</t>
        </is>
      </c>
      <c r="O89" t="inlineStr">
        <is>
          <t>20230920</t>
        </is>
      </c>
      <c r="P89" t="inlineStr">
        <is>
          <t>Kalimantan Timur</t>
        </is>
      </c>
      <c r="Q89" t="inlineStr"/>
    </row>
    <row r="90">
      <c r="A90" t="inlineStr">
        <is>
          <t>MULTI KARYA TECHNIC</t>
        </is>
      </c>
      <c r="B90" t="inlineStr">
        <is>
          <t>Kab. Sidoarjo</t>
        </is>
      </c>
      <c r="C90" t="inlineStr">
        <is>
          <t>0318986459</t>
        </is>
      </c>
      <c r="D90" t="inlineStr">
        <is>
          <t>info@multikaryatechnic.co.id</t>
        </is>
      </c>
      <c r="E90" t="inlineStr">
        <is>
          <t>https://lpjk.pu.go.id/search-badan-usaha-detail/NEdHWHZ0M3lYaTIrOXZXNmo0aGFQZz09</t>
        </is>
      </c>
      <c r="F90" t="n">
        <v>2</v>
      </c>
      <c r="G90" t="inlineStr">
        <is>
          <t>BG003, BG009</t>
        </is>
      </c>
      <c r="H90" t="inlineStr">
        <is>
          <t>6 Juni 2023</t>
        </is>
      </c>
      <c r="I90" s="2" t="n">
        <v>46284</v>
      </c>
      <c r="J90" t="inlineStr">
        <is>
          <t>Pencabutan</t>
        </is>
      </c>
      <c r="K90" t="n">
        <v>60</v>
      </c>
      <c r="L90" t="inlineStr">
        <is>
          <t>19 September 2026</t>
        </is>
      </c>
      <c r="M90" t="inlineStr">
        <is>
          <t>Konstruksi Gedung Industri, Konstruksi Gedung Lainnya</t>
        </is>
      </c>
      <c r="N90" t="inlineStr">
        <is>
          <t>K</t>
        </is>
      </c>
      <c r="O90" t="inlineStr">
        <is>
          <t>20230919</t>
        </is>
      </c>
      <c r="P90" t="inlineStr">
        <is>
          <t>Jawa Timur</t>
        </is>
      </c>
      <c r="Q90" t="inlineStr"/>
    </row>
    <row r="91">
      <c r="A91" t="inlineStr">
        <is>
          <t>NABILA JAYA ABADI</t>
        </is>
      </c>
      <c r="B91" t="inlineStr">
        <is>
          <t>Kab. Tanah Bumbu</t>
        </is>
      </c>
      <c r="C91" t="inlineStr">
        <is>
          <t>081253807387</t>
        </is>
      </c>
      <c r="D91" t="inlineStr">
        <is>
          <t>nabilajayaabadi123@gmail.com</t>
        </is>
      </c>
      <c r="E91" t="inlineStr">
        <is>
          <t>https://lpjk.pu.go.id/search-badan-usaha-detail/ZUU4OUlybVBQdmI2SExuMWE5b0hXdz09</t>
        </is>
      </c>
      <c r="F91" t="n">
        <v>4</v>
      </c>
      <c r="G91" t="inlineStr">
        <is>
          <t>BG002, BG006</t>
        </is>
      </c>
      <c r="H91" t="inlineStr">
        <is>
          <t>28 Juni 2014</t>
        </is>
      </c>
      <c r="I91" s="2" t="n">
        <v>46284</v>
      </c>
      <c r="J91" t="inlineStr">
        <is>
          <t>Disetujui</t>
        </is>
      </c>
      <c r="K91" t="n">
        <v>60</v>
      </c>
      <c r="L91" t="inlineStr">
        <is>
          <t>19 September 2026</t>
        </is>
      </c>
      <c r="M91" t="inlineStr">
        <is>
          <t>Konstruksi Gedung Pendidikan, Konstruksi Gedung Perkantoran</t>
        </is>
      </c>
      <c r="N91" t="inlineStr">
        <is>
          <t>K</t>
        </is>
      </c>
      <c r="O91" t="inlineStr">
        <is>
          <t>20230919</t>
        </is>
      </c>
      <c r="P91" t="inlineStr">
        <is>
          <t>Kalimantan Selatan</t>
        </is>
      </c>
      <c r="Q91" t="inlineStr"/>
    </row>
    <row r="92">
      <c r="A92" t="inlineStr">
        <is>
          <t>NATAMI</t>
        </is>
      </c>
      <c r="B92" t="inlineStr">
        <is>
          <t>Kota Medan</t>
        </is>
      </c>
      <c r="C92" t="inlineStr">
        <is>
          <t>082164609464</t>
        </is>
      </c>
      <c r="D92" t="inlineStr">
        <is>
          <t>natami_cv@ymail.com</t>
        </is>
      </c>
      <c r="E92" t="inlineStr">
        <is>
          <t>https://lpjk.pu.go.id/search-badan-usaha-detail/M3RwTFIyUDFTUmJQWnJLVnRWZWE1Zz09</t>
        </is>
      </c>
      <c r="F92" t="n">
        <v>5</v>
      </c>
      <c r="G92" t="inlineStr">
        <is>
          <t>BG001, BG003, BG005, BG006, BG009</t>
        </is>
      </c>
      <c r="H92" t="inlineStr">
        <is>
          <t>29 Desember 2005</t>
        </is>
      </c>
      <c r="I92" s="2" t="n">
        <v>46284</v>
      </c>
      <c r="J92" t="inlineStr">
        <is>
          <t>Disetujui</t>
        </is>
      </c>
      <c r="K92" t="n">
        <v>60</v>
      </c>
      <c r="L92" t="inlineStr">
        <is>
          <t>19 September 2026</t>
        </is>
      </c>
      <c r="M92" t="inlineStr">
        <is>
          <t>Konstruksi Gedung Hunian, Konstruksi Gedung Industri, Konstruksi Gedung Kesehatan, Konstruksi Gedung Lainnya, Konstruksi Gedung Pendidikan</t>
        </is>
      </c>
      <c r="N92" t="inlineStr">
        <is>
          <t>K</t>
        </is>
      </c>
      <c r="O92" t="inlineStr">
        <is>
          <t>20230919</t>
        </is>
      </c>
      <c r="P92" t="inlineStr">
        <is>
          <t>Sumatera Utara</t>
        </is>
      </c>
      <c r="Q92" t="inlineStr"/>
    </row>
    <row r="93">
      <c r="A93" t="inlineStr">
        <is>
          <t>NAURAH DINAMIKA NUSANTARA</t>
        </is>
      </c>
      <c r="B93" t="inlineStr">
        <is>
          <t>Kota Adm. Jakarta Barat</t>
        </is>
      </c>
      <c r="C93" t="inlineStr">
        <is>
          <t>02129725736</t>
        </is>
      </c>
      <c r="D93" t="inlineStr">
        <is>
          <t>nusantaranaurahdinamika@gmail.com</t>
        </is>
      </c>
      <c r="E93" t="inlineStr">
        <is>
          <t>https://lpjk.pu.go.id/search-badan-usaha-detail/OUtka3BxZW1JVTEwMzBiYmV5TTcrQT09</t>
        </is>
      </c>
      <c r="F93" t="n">
        <v>1</v>
      </c>
      <c r="G93" t="inlineStr">
        <is>
          <t>BG009</t>
        </is>
      </c>
      <c r="H93" t="inlineStr">
        <is>
          <t>11 November 2011</t>
        </is>
      </c>
      <c r="I93" s="2" t="n">
        <v>46284</v>
      </c>
      <c r="J93" t="inlineStr">
        <is>
          <t>Pencabutan</t>
        </is>
      </c>
      <c r="K93" t="n">
        <v>60</v>
      </c>
      <c r="L93" t="inlineStr">
        <is>
          <t>19 September 2026</t>
        </is>
      </c>
      <c r="M93" t="inlineStr">
        <is>
          <t>Konstruksi Gedung Lainnya</t>
        </is>
      </c>
      <c r="N93" t="inlineStr">
        <is>
          <t>B</t>
        </is>
      </c>
      <c r="O93" t="inlineStr">
        <is>
          <t>20230908</t>
        </is>
      </c>
      <c r="P93" t="inlineStr">
        <is>
          <t>DKI Jakarta</t>
        </is>
      </c>
      <c r="Q93" t="inlineStr"/>
    </row>
    <row r="94">
      <c r="A94" t="inlineStr">
        <is>
          <t>NICO BERKAH ABADI</t>
        </is>
      </c>
      <c r="B94" t="inlineStr">
        <is>
          <t>Kota Surabaya</t>
        </is>
      </c>
      <c r="C94" t="inlineStr">
        <is>
          <t>082132731959</t>
        </is>
      </c>
      <c r="D94" t="inlineStr">
        <is>
          <t>nico_berkahabadi@yahoo.com</t>
        </is>
      </c>
      <c r="E94" t="inlineStr">
        <is>
          <t>https://lpjk.pu.go.id/search-badan-usaha-detail/RlYveC9XZGkxWTk1YXdZNVAwdzl5QT09</t>
        </is>
      </c>
      <c r="F94" t="n">
        <v>1</v>
      </c>
      <c r="G94" t="inlineStr">
        <is>
          <t>BS004</t>
        </is>
      </c>
      <c r="H94" t="inlineStr">
        <is>
          <t>12 September 2023</t>
        </is>
      </c>
      <c r="I94" s="2" t="n">
        <v>46284</v>
      </c>
      <c r="J94" t="inlineStr">
        <is>
          <t>Disetujui</t>
        </is>
      </c>
      <c r="K94" t="n">
        <v>60</v>
      </c>
      <c r="L94" t="inlineStr">
        <is>
          <t>19 September 2026</t>
        </is>
      </c>
      <c r="M94" t="inlineStr">
        <is>
          <t>Konstruksi Jaringan Irigasi dan Drainase</t>
        </is>
      </c>
      <c r="N94" t="inlineStr">
        <is>
          <t>K</t>
        </is>
      </c>
      <c r="O94" t="inlineStr">
        <is>
          <t>20230918</t>
        </is>
      </c>
      <c r="P94" t="inlineStr">
        <is>
          <t>Jawa Timur</t>
        </is>
      </c>
      <c r="Q94" t="inlineStr"/>
    </row>
    <row r="95">
      <c r="A95" t="inlineStr">
        <is>
          <t>NOVAL PRATAMA</t>
        </is>
      </c>
      <c r="B95" t="inlineStr">
        <is>
          <t>Kab. Buton Selatan</t>
        </is>
      </c>
      <c r="C95" t="inlineStr">
        <is>
          <t>085299518353</t>
        </is>
      </c>
      <c r="D95" t="inlineStr">
        <is>
          <t>cv.novalprata@gmail.com</t>
        </is>
      </c>
      <c r="E95" t="inlineStr">
        <is>
          <t>https://lpjk.pu.go.id/search-badan-usaha-detail/QmFMeUJ6L3pWWlJQdGt5eHZZY08xZz09</t>
        </is>
      </c>
      <c r="F95" t="n">
        <v>4</v>
      </c>
      <c r="G95" t="inlineStr">
        <is>
          <t>BG006, BG009</t>
        </is>
      </c>
      <c r="H95" t="inlineStr">
        <is>
          <t>1 Desember 2015</t>
        </is>
      </c>
      <c r="I95" s="2" t="n">
        <v>46284</v>
      </c>
      <c r="J95" t="inlineStr">
        <is>
          <t>Disetujui</t>
        </is>
      </c>
      <c r="K95" t="n">
        <v>60</v>
      </c>
      <c r="L95" t="inlineStr">
        <is>
          <t>19 September 2026</t>
        </is>
      </c>
      <c r="M95" t="inlineStr">
        <is>
          <t>Konstruksi Gedung Lainnya, Konstruksi Gedung Pendidikan</t>
        </is>
      </c>
      <c r="N95" t="inlineStr">
        <is>
          <t>K</t>
        </is>
      </c>
      <c r="O95" t="inlineStr">
        <is>
          <t>20230913</t>
        </is>
      </c>
      <c r="P95" t="inlineStr">
        <is>
          <t>Sulawesi Tenggara</t>
        </is>
      </c>
      <c r="Q95" t="inlineStr"/>
    </row>
    <row r="96">
      <c r="A96" t="inlineStr">
        <is>
          <t>NUANSA TEKNIK KONSTRUKSI</t>
        </is>
      </c>
      <c r="B96" t="inlineStr">
        <is>
          <t>Kota Palangkaraya</t>
        </is>
      </c>
      <c r="C96" t="inlineStr">
        <is>
          <t>082250761486</t>
        </is>
      </c>
      <c r="D96" t="inlineStr">
        <is>
          <t>nuansa.tekkon@gmail.com</t>
        </is>
      </c>
      <c r="E96" t="inlineStr">
        <is>
          <t>https://lpjk.pu.go.id/search-badan-usaha-detail/QzludXIvVG9xYmRoOGw3K2o3bWppUT09</t>
        </is>
      </c>
      <c r="F96" t="n">
        <v>4</v>
      </c>
      <c r="G96" t="inlineStr">
        <is>
          <t>BG002, BG005, BG006, BG009</t>
        </is>
      </c>
      <c r="H96" t="inlineStr">
        <is>
          <t>1 Agustus 2023</t>
        </is>
      </c>
      <c r="I96" s="2" t="n">
        <v>46284</v>
      </c>
      <c r="J96" t="inlineStr">
        <is>
          <t>Pencabutan</t>
        </is>
      </c>
      <c r="K96" t="n">
        <v>60</v>
      </c>
      <c r="L96" t="inlineStr">
        <is>
          <t>19 September 2026</t>
        </is>
      </c>
      <c r="M96" t="inlineStr">
        <is>
          <t>Konstruksi Gedung Kesehatan, Konstruksi Gedung Lainnya, Konstruksi Gedung Pendidikan, Konstruksi Gedung Perkantoran</t>
        </is>
      </c>
      <c r="N96" t="inlineStr">
        <is>
          <t>K</t>
        </is>
      </c>
      <c r="O96" t="inlineStr">
        <is>
          <t>20230821</t>
        </is>
      </c>
      <c r="P96" t="inlineStr">
        <is>
          <t>Kalimantan Tengah</t>
        </is>
      </c>
      <c r="Q96" t="inlineStr"/>
    </row>
    <row r="97">
      <c r="A97" t="inlineStr">
        <is>
          <t>NUR MAYA</t>
        </is>
      </c>
      <c r="B97" t="inlineStr">
        <is>
          <t>Kab. Mamuju</t>
        </is>
      </c>
      <c r="C97" t="inlineStr">
        <is>
          <t>082194677261</t>
        </is>
      </c>
      <c r="D97" t="inlineStr">
        <is>
          <t>muhzaitun123@gmail.com</t>
        </is>
      </c>
      <c r="E97" t="inlineStr">
        <is>
          <t>https://lpjk.pu.go.id/search-badan-usaha-detail/a1F2VWw3aUo1ZUNFNVh5U3FaVE54QT09</t>
        </is>
      </c>
      <c r="F97" t="n">
        <v>2</v>
      </c>
      <c r="G97" t="inlineStr">
        <is>
          <t>BS001, BS004</t>
        </is>
      </c>
      <c r="H97" t="inlineStr">
        <is>
          <t>24 Oktober 2012</t>
        </is>
      </c>
      <c r="I97" s="2" t="n">
        <v>46284</v>
      </c>
      <c r="J97" t="inlineStr">
        <is>
          <t>Disetujui</t>
        </is>
      </c>
      <c r="K97" t="n">
        <v>60</v>
      </c>
      <c r="L97" t="inlineStr">
        <is>
          <t>19 September 2026</t>
        </is>
      </c>
      <c r="M97" t="inlineStr">
        <is>
          <t>Konstruksi Bangunan Sipil Jalan, Konstruksi Jaringan Irigasi dan Drainase</t>
        </is>
      </c>
      <c r="N97" t="inlineStr">
        <is>
          <t>K</t>
        </is>
      </c>
      <c r="O97" t="inlineStr">
        <is>
          <t>20230911</t>
        </is>
      </c>
      <c r="P97" t="inlineStr">
        <is>
          <t>Sulawesi Barat</t>
        </is>
      </c>
      <c r="Q97" t="inlineStr"/>
    </row>
    <row r="98">
      <c r="A98" t="inlineStr">
        <is>
          <t>NUSANTARA ALAM</t>
        </is>
      </c>
      <c r="B98" t="inlineStr">
        <is>
          <t>Kota Serang</t>
        </is>
      </c>
      <c r="C98" t="inlineStr">
        <is>
          <t>08128805353</t>
        </is>
      </c>
      <c r="D98" t="inlineStr">
        <is>
          <t>nusantaraalam77@yahoo.com</t>
        </is>
      </c>
      <c r="E98" t="inlineStr">
        <is>
          <t>https://lpjk.pu.go.id/search-badan-usaha-detail/Qy9NaFZGcXcwMGI3TEJORnYrTDRHZz09</t>
        </is>
      </c>
      <c r="F98" t="n">
        <v>1</v>
      </c>
      <c r="G98" t="inlineStr">
        <is>
          <t>BG004</t>
        </is>
      </c>
      <c r="H98" t="inlineStr">
        <is>
          <t>24 Maret 2008</t>
        </is>
      </c>
      <c r="I98" s="2" t="n">
        <v>46284</v>
      </c>
      <c r="J98" t="inlineStr">
        <is>
          <t>Pencabutan</t>
        </is>
      </c>
      <c r="K98" t="n">
        <v>60</v>
      </c>
      <c r="L98" t="inlineStr">
        <is>
          <t>19 September 2026</t>
        </is>
      </c>
      <c r="M98" t="inlineStr">
        <is>
          <t>Konstruksi Gedung Perbelanjaan</t>
        </is>
      </c>
      <c r="N98" t="inlineStr">
        <is>
          <t>K</t>
        </is>
      </c>
      <c r="O98" t="inlineStr">
        <is>
          <t>20230918</t>
        </is>
      </c>
      <c r="P98" t="inlineStr">
        <is>
          <t>Banten</t>
        </is>
      </c>
      <c r="Q98" t="inlineStr"/>
    </row>
    <row r="99">
      <c r="A99" t="inlineStr">
        <is>
          <t>NUSANTARA MEMBANGUN</t>
        </is>
      </c>
      <c r="B99" t="inlineStr">
        <is>
          <t>Kota Palu</t>
        </is>
      </c>
      <c r="C99" t="inlineStr">
        <is>
          <t>-</t>
        </is>
      </c>
      <c r="D99" t="inlineStr">
        <is>
          <t>umareljufrie45@gmail.com</t>
        </is>
      </c>
      <c r="E99" t="inlineStr">
        <is>
          <t>https://lpjk.pu.go.id/search-badan-usaha-detail/eFcvTjY4SXJRc3lHRFlzeUtDSWFmZz09</t>
        </is>
      </c>
      <c r="F99" t="n">
        <v>1</v>
      </c>
      <c r="G99" t="inlineStr">
        <is>
          <t>BG003</t>
        </is>
      </c>
      <c r="H99" t="inlineStr">
        <is>
          <t>7 Desember 2017</t>
        </is>
      </c>
      <c r="I99" s="2" t="n">
        <v>46284</v>
      </c>
      <c r="J99" t="inlineStr">
        <is>
          <t>Disetujui</t>
        </is>
      </c>
      <c r="K99" t="n">
        <v>60</v>
      </c>
      <c r="L99" t="inlineStr">
        <is>
          <t>19 September 2026</t>
        </is>
      </c>
      <c r="M99" t="inlineStr">
        <is>
          <t>Konstruksi Gedung Industri</t>
        </is>
      </c>
      <c r="N99" t="inlineStr">
        <is>
          <t>K</t>
        </is>
      </c>
      <c r="O99" t="inlineStr">
        <is>
          <t>20230920</t>
        </is>
      </c>
      <c r="P99" t="inlineStr">
        <is>
          <t>Sulawesi Tengah</t>
        </is>
      </c>
      <c r="Q99" t="inlineStr"/>
    </row>
    <row r="100">
      <c r="A100" t="inlineStr">
        <is>
          <t>PAGOGO PAPUA</t>
        </is>
      </c>
      <c r="B100" t="inlineStr">
        <is>
          <t>Kota Jayapura</t>
        </is>
      </c>
      <c r="C100" t="inlineStr">
        <is>
          <t>0811482556</t>
        </is>
      </c>
      <c r="D100" t="inlineStr">
        <is>
          <t>cvpagogopapua@gmail.com</t>
        </is>
      </c>
      <c r="E100" t="inlineStr">
        <is>
          <t>https://lpjk.pu.go.id/search-badan-usaha-detail/dUZRZGhwdGoxKzhJZ1o5UG5xU3Y4dz09</t>
        </is>
      </c>
      <c r="F100" t="n">
        <v>2</v>
      </c>
      <c r="G100" t="inlineStr">
        <is>
          <t>BG009</t>
        </is>
      </c>
      <c r="H100" t="inlineStr">
        <is>
          <t>25 April 2019</t>
        </is>
      </c>
      <c r="I100" s="2" t="n">
        <v>46284</v>
      </c>
      <c r="J100" t="inlineStr">
        <is>
          <t>Pencabutan</t>
        </is>
      </c>
      <c r="K100" t="n">
        <v>60</v>
      </c>
      <c r="L100" t="inlineStr">
        <is>
          <t>19 September 2026</t>
        </is>
      </c>
      <c r="M100" t="inlineStr">
        <is>
          <t>Konstruksi Gedung Lainnya</t>
        </is>
      </c>
      <c r="N100" t="inlineStr">
        <is>
          <t>K</t>
        </is>
      </c>
      <c r="O100" t="inlineStr">
        <is>
          <t>20230920</t>
        </is>
      </c>
      <c r="P100" t="inlineStr">
        <is>
          <t>Papua</t>
        </is>
      </c>
      <c r="Q100" t="inlineStr"/>
    </row>
    <row r="101">
      <c r="A101" t="inlineStr">
        <is>
          <t>PALAPA</t>
        </is>
      </c>
      <c r="B101" t="inlineStr">
        <is>
          <t>Kab. Barito Selatan</t>
        </is>
      </c>
      <c r="C101" t="inlineStr">
        <is>
          <t>085222957390</t>
        </is>
      </c>
      <c r="D101" t="inlineStr">
        <is>
          <t>palapapstbtk@gmail.com</t>
        </is>
      </c>
      <c r="E101" t="inlineStr">
        <is>
          <t>https://lpjk.pu.go.id/search-badan-usaha-detail/ZFNyeTN3cjZITGdla0tENVpLaTF5UT09</t>
        </is>
      </c>
      <c r="F101" t="n">
        <v>1</v>
      </c>
      <c r="G101" t="inlineStr">
        <is>
          <t>BS004</t>
        </is>
      </c>
      <c r="H101" t="inlineStr">
        <is>
          <t>21 Oktober 1991</t>
        </is>
      </c>
      <c r="I101" s="2" t="n">
        <v>46284</v>
      </c>
      <c r="J101" t="inlineStr">
        <is>
          <t>Disetujui</t>
        </is>
      </c>
      <c r="K101" t="n">
        <v>60</v>
      </c>
      <c r="L101" t="inlineStr">
        <is>
          <t>19 September 2026</t>
        </is>
      </c>
      <c r="M101" t="inlineStr">
        <is>
          <t>Konstruksi Jaringan Irigasi dan Drainase</t>
        </is>
      </c>
      <c r="N101" t="inlineStr">
        <is>
          <t>K</t>
        </is>
      </c>
      <c r="O101" t="inlineStr">
        <is>
          <t>20230915</t>
        </is>
      </c>
      <c r="P101" t="inlineStr">
        <is>
          <t>Kalimantan Tengah</t>
        </is>
      </c>
      <c r="Q101" t="inlineStr"/>
    </row>
    <row r="102">
      <c r="A102" t="inlineStr">
        <is>
          <t>PANCA MANDIRI ENGINEERING</t>
        </is>
      </c>
      <c r="B102" t="inlineStr">
        <is>
          <t>Kota Pekanbaru</t>
        </is>
      </c>
      <c r="C102" t="inlineStr">
        <is>
          <t>085363830003</t>
        </is>
      </c>
      <c r="D102" t="inlineStr">
        <is>
          <t>mandiriptpanca@gmail.com</t>
        </is>
      </c>
      <c r="E102" t="inlineStr">
        <is>
          <t>https://lpjk.pu.go.id/search-badan-usaha-detail/aDYrVDhZNFcyU2NSMzVDMjJ0eGlrZz09</t>
        </is>
      </c>
      <c r="F102" t="n">
        <v>3</v>
      </c>
      <c r="G102" t="inlineStr">
        <is>
          <t>RK001, RK002, RK003</t>
        </is>
      </c>
      <c r="H102" t="inlineStr">
        <is>
          <t>14 Agustus 2001</t>
        </is>
      </c>
      <c r="I102" s="2" t="n">
        <v>46284</v>
      </c>
      <c r="J102" t="inlineStr">
        <is>
          <t>Disetujui, Pencabutan</t>
        </is>
      </c>
      <c r="K102" t="n">
        <v>60</v>
      </c>
      <c r="L102" t="inlineStr">
        <is>
          <t>19 September 2026</t>
        </is>
      </c>
      <c r="M102" t="inlineStr">
        <is>
          <t>Jasa Rekayasa Konstruksi Bangunan Gedung Hunian dan Non Hunian, Jasa Rekayasa Pekerjaan Teknik Sipil Sumber Daya Air, Jasa Rekayasa Pekerjaan Teknik Sipil Transportasi</t>
        </is>
      </c>
      <c r="N102" t="inlineStr">
        <is>
          <t>K</t>
        </is>
      </c>
      <c r="O102" t="inlineStr">
        <is>
          <t>20230912</t>
        </is>
      </c>
      <c r="P102" t="inlineStr">
        <is>
          <t>Riau</t>
        </is>
      </c>
      <c r="Q102" t="inlineStr"/>
    </row>
    <row r="103">
      <c r="A103" t="inlineStr">
        <is>
          <t>PANCANG</t>
        </is>
      </c>
      <c r="B103" t="inlineStr">
        <is>
          <t>Kota Bandung</t>
        </is>
      </c>
      <c r="C103" t="inlineStr">
        <is>
          <t>0227536952</t>
        </is>
      </c>
      <c r="D103" t="inlineStr">
        <is>
          <t>pancang.pt@yahoo.com</t>
        </is>
      </c>
      <c r="E103" t="inlineStr">
        <is>
          <t>https://lpjk.pu.go.id/search-badan-usaha-detail/cFpFY1MwbFA4dERuYWZ1VHJJNXJBUT09</t>
        </is>
      </c>
      <c r="F103" t="n">
        <v>6</v>
      </c>
      <c r="G103" t="inlineStr">
        <is>
          <t>BG002, BG003, BG005</t>
        </is>
      </c>
      <c r="H103" t="inlineStr">
        <is>
          <t>10 April 2004</t>
        </is>
      </c>
      <c r="I103" s="2" t="n">
        <v>46284</v>
      </c>
      <c r="J103" t="inlineStr">
        <is>
          <t>Disetujui</t>
        </is>
      </c>
      <c r="K103" t="n">
        <v>60</v>
      </c>
      <c r="L103" t="inlineStr">
        <is>
          <t>19 September 2026</t>
        </is>
      </c>
      <c r="M103" t="inlineStr">
        <is>
          <t>Konstruksi Gedung Industri, Konstruksi Gedung Kesehatan, Konstruksi Gedung Perkantoran</t>
        </is>
      </c>
      <c r="N103" t="inlineStr">
        <is>
          <t>K</t>
        </is>
      </c>
      <c r="O103" t="inlineStr">
        <is>
          <t>20230917, 20230918</t>
        </is>
      </c>
      <c r="P103" t="inlineStr">
        <is>
          <t>Jawa Barat</t>
        </is>
      </c>
      <c r="Q103" t="inlineStr"/>
    </row>
    <row r="104">
      <c r="A104" t="inlineStr">
        <is>
          <t>PARIPURNA MULTIDAYA INDONESIA</t>
        </is>
      </c>
      <c r="B104" t="inlineStr">
        <is>
          <t>Kota Bandung</t>
        </is>
      </c>
      <c r="C104" t="inlineStr">
        <is>
          <t>0224205606</t>
        </is>
      </c>
      <c r="D104" t="inlineStr">
        <is>
          <t>ptparipurnamultidayaindonesia@gmail.com</t>
        </is>
      </c>
      <c r="E104" t="inlineStr">
        <is>
          <t>https://lpjk.pu.go.id/search-badan-usaha-detail/dHh2NG9zRXVuUG9jQVNpZS9ONHQ4QT09</t>
        </is>
      </c>
      <c r="F104" t="n">
        <v>3</v>
      </c>
      <c r="G104" t="inlineStr">
        <is>
          <t>BG001, BG002, BG009</t>
        </is>
      </c>
      <c r="H104" t="inlineStr">
        <is>
          <t>19 Juni 2023</t>
        </is>
      </c>
      <c r="I104" s="2" t="n">
        <v>46284</v>
      </c>
      <c r="J104" t="inlineStr">
        <is>
          <t>Pencabutan</t>
        </is>
      </c>
      <c r="K104" t="n">
        <v>60</v>
      </c>
      <c r="L104" t="inlineStr">
        <is>
          <t>19 September 2026</t>
        </is>
      </c>
      <c r="M104" t="inlineStr">
        <is>
          <t>Konstruksi Gedung Hunian, Konstruksi Gedung Lainnya, Konstruksi Gedung Perkantoran</t>
        </is>
      </c>
      <c r="N104" t="inlineStr">
        <is>
          <t>K</t>
        </is>
      </c>
      <c r="O104" t="inlineStr">
        <is>
          <t>20230919</t>
        </is>
      </c>
      <c r="P104" t="inlineStr">
        <is>
          <t>Jawa Barat</t>
        </is>
      </c>
      <c r="Q104" t="inlineStr"/>
    </row>
    <row r="105">
      <c r="A105" t="inlineStr">
        <is>
          <t>PARSAMEAN UTAMA</t>
        </is>
      </c>
      <c r="B105" t="inlineStr">
        <is>
          <t>Kota Medan</t>
        </is>
      </c>
      <c r="C105" t="inlineStr">
        <is>
          <t>082276421290</t>
        </is>
      </c>
      <c r="D105" t="inlineStr">
        <is>
          <t>parsameanutamaeducation@gmail.com</t>
        </is>
      </c>
      <c r="E105" t="inlineStr">
        <is>
          <t>https://lpjk.pu.go.id/search-badan-usaha-detail/cFRrZVlGS2lzQVViUnErNnFsOFRyZz09</t>
        </is>
      </c>
      <c r="F105" t="n">
        <v>1</v>
      </c>
      <c r="G105" t="inlineStr">
        <is>
          <t>BG003</t>
        </is>
      </c>
      <c r="H105" t="inlineStr">
        <is>
          <t>28 Januari 2010</t>
        </is>
      </c>
      <c r="I105" s="2" t="n">
        <v>46284</v>
      </c>
      <c r="J105" t="inlineStr">
        <is>
          <t>Disetujui</t>
        </is>
      </c>
      <c r="K105" t="n">
        <v>60</v>
      </c>
      <c r="L105" t="inlineStr">
        <is>
          <t>19 September 2026</t>
        </is>
      </c>
      <c r="M105" t="inlineStr">
        <is>
          <t>Konstruksi Gedung Industri</t>
        </is>
      </c>
      <c r="N105" t="inlineStr">
        <is>
          <t>K</t>
        </is>
      </c>
      <c r="O105" t="inlineStr">
        <is>
          <t>20230919</t>
        </is>
      </c>
      <c r="P105" t="inlineStr">
        <is>
          <t>Sumatera Utara</t>
        </is>
      </c>
      <c r="Q105" t="inlineStr"/>
    </row>
    <row r="106">
      <c r="A106" t="inlineStr">
        <is>
          <t>PRADIPTA KARYA</t>
        </is>
      </c>
      <c r="B106" t="inlineStr">
        <is>
          <t>Kota Kediri</t>
        </is>
      </c>
      <c r="C106" t="inlineStr">
        <is>
          <t>081335466650</t>
        </is>
      </c>
      <c r="D106" t="inlineStr">
        <is>
          <t>pradiptakarya24@gmail.com</t>
        </is>
      </c>
      <c r="E106" t="inlineStr">
        <is>
          <t>https://lpjk.pu.go.id/search-badan-usaha-detail/K0lyRmVxQ2pqYU5UNlp5WG1jaDFHdz09</t>
        </is>
      </c>
      <c r="F106" t="n">
        <v>1</v>
      </c>
      <c r="G106" t="inlineStr">
        <is>
          <t>BG003</t>
        </is>
      </c>
      <c r="H106" t="inlineStr">
        <is>
          <t>10 Agustus 2023</t>
        </is>
      </c>
      <c r="I106" s="2" t="n">
        <v>46284</v>
      </c>
      <c r="J106" t="inlineStr">
        <is>
          <t>Disetujui</t>
        </is>
      </c>
      <c r="K106" t="n">
        <v>60</v>
      </c>
      <c r="L106" t="inlineStr">
        <is>
          <t>19 September 2026</t>
        </is>
      </c>
      <c r="M106" t="inlineStr">
        <is>
          <t>Konstruksi Gedung Industri</t>
        </is>
      </c>
      <c r="N106" t="inlineStr">
        <is>
          <t>K</t>
        </is>
      </c>
      <c r="O106" t="inlineStr">
        <is>
          <t>20230902</t>
        </is>
      </c>
      <c r="P106" t="inlineStr">
        <is>
          <t>Jawa Timur</t>
        </is>
      </c>
      <c r="Q106" t="inlineStr"/>
    </row>
    <row r="107">
      <c r="A107" t="inlineStr">
        <is>
          <t>PUSAKA TEKNIK UTAMA</t>
        </is>
      </c>
      <c r="B107" t="inlineStr">
        <is>
          <t>Kota Surabaya</t>
        </is>
      </c>
      <c r="C107" t="inlineStr">
        <is>
          <t>08113050844</t>
        </is>
      </c>
      <c r="D107" t="inlineStr">
        <is>
          <t>ptpusakateknikutama@gmail.com</t>
        </is>
      </c>
      <c r="E107" t="inlineStr">
        <is>
          <t>https://lpjk.pu.go.id/search-badan-usaha-detail/cDdqUWZIL3c5ajZmL0JOQXV0RFBEQT09</t>
        </is>
      </c>
      <c r="F107" t="n">
        <v>1</v>
      </c>
      <c r="G107" t="inlineStr">
        <is>
          <t>IN001</t>
        </is>
      </c>
      <c r="H107" t="inlineStr">
        <is>
          <t>12 Mei 2022</t>
        </is>
      </c>
      <c r="I107" s="2" t="n">
        <v>46284</v>
      </c>
      <c r="J107" t="inlineStr">
        <is>
          <t>Pembekuan</t>
        </is>
      </c>
      <c r="K107" t="n">
        <v>60</v>
      </c>
      <c r="L107" t="inlineStr">
        <is>
          <t>19 September 2026</t>
        </is>
      </c>
      <c r="M107" t="inlineStr">
        <is>
          <t>Instalasi Mekanikal</t>
        </is>
      </c>
      <c r="N107" t="inlineStr">
        <is>
          <t>Spesialis</t>
        </is>
      </c>
      <c r="O107" t="inlineStr">
        <is>
          <t>20230920</t>
        </is>
      </c>
      <c r="P107" t="inlineStr">
        <is>
          <t>Jawa Timur</t>
        </is>
      </c>
      <c r="Q107" t="inlineStr"/>
    </row>
    <row r="108">
      <c r="A108" t="inlineStr">
        <is>
          <t>PUTRA BINTANG SEMESTA</t>
        </is>
      </c>
      <c r="B108" t="inlineStr">
        <is>
          <t>Kota Pangkal Pinang</t>
        </is>
      </c>
      <c r="C108" t="inlineStr">
        <is>
          <t>082278615975</t>
        </is>
      </c>
      <c r="D108" t="inlineStr">
        <is>
          <t>putrabintangsemesta2021@gmail.com</t>
        </is>
      </c>
      <c r="E108" t="inlineStr">
        <is>
          <t>https://lpjk.pu.go.id/search-badan-usaha-detail/VjdvNy9nNUd3TGg0Y0ozK2hlQVMzdz09</t>
        </is>
      </c>
      <c r="F108" t="n">
        <v>2</v>
      </c>
      <c r="G108" t="inlineStr">
        <is>
          <t>BG006, BG009</t>
        </is>
      </c>
      <c r="H108" t="inlineStr">
        <is>
          <t>21 Februari 2023</t>
        </is>
      </c>
      <c r="I108" s="2" t="n">
        <v>46284</v>
      </c>
      <c r="J108" t="inlineStr">
        <is>
          <t>Disetujui</t>
        </is>
      </c>
      <c r="K108" t="n">
        <v>60</v>
      </c>
      <c r="L108" t="inlineStr">
        <is>
          <t>19 September 2026</t>
        </is>
      </c>
      <c r="M108" t="inlineStr">
        <is>
          <t>Konstruksi Gedung Lainnya, Konstruksi Gedung Pendidikan</t>
        </is>
      </c>
      <c r="N108" t="inlineStr">
        <is>
          <t>K</t>
        </is>
      </c>
      <c r="O108" t="inlineStr">
        <is>
          <t>20230911</t>
        </is>
      </c>
      <c r="P108" t="inlineStr">
        <is>
          <t>Kepulauan Bangka Belitung</t>
        </is>
      </c>
      <c r="Q108" t="inlineStr"/>
    </row>
    <row r="109">
      <c r="A109" t="inlineStr">
        <is>
          <t>PUTRA DAERAH JAYA</t>
        </is>
      </c>
      <c r="B109" t="inlineStr">
        <is>
          <t>Kab. Kudus</t>
        </is>
      </c>
      <c r="C109" t="inlineStr">
        <is>
          <t>088989816100</t>
        </is>
      </c>
      <c r="D109" t="inlineStr">
        <is>
          <t>puteradaerahjaya@gmail.com</t>
        </is>
      </c>
      <c r="E109" t="inlineStr">
        <is>
          <t>https://lpjk.pu.go.id/search-badan-usaha-detail/ODZtOEVqRnFEVEtScXNvN3dwVUxoUT09</t>
        </is>
      </c>
      <c r="F109" t="n">
        <v>1</v>
      </c>
      <c r="G109" t="inlineStr">
        <is>
          <t>BS001</t>
        </is>
      </c>
      <c r="H109" t="inlineStr">
        <is>
          <t>7 November 2003</t>
        </is>
      </c>
      <c r="I109" s="2" t="n">
        <v>46284</v>
      </c>
      <c r="J109" t="inlineStr">
        <is>
          <t>Disetujui</t>
        </is>
      </c>
      <c r="K109" t="n">
        <v>60</v>
      </c>
      <c r="L109" t="inlineStr">
        <is>
          <t>19 September 2026</t>
        </is>
      </c>
      <c r="M109" t="inlineStr">
        <is>
          <t>Konstruksi Bangunan Sipil Jalan</t>
        </is>
      </c>
      <c r="N109" t="inlineStr">
        <is>
          <t>K</t>
        </is>
      </c>
      <c r="O109" t="inlineStr">
        <is>
          <t>20230920</t>
        </is>
      </c>
      <c r="P109" t="inlineStr">
        <is>
          <t>Jawa Tengah</t>
        </is>
      </c>
      <c r="Q109" t="inlineStr"/>
    </row>
    <row r="110">
      <c r="A110" t="inlineStr">
        <is>
          <t>PUTRA ILYAS</t>
        </is>
      </c>
      <c r="B110" t="inlineStr">
        <is>
          <t>Kab. Luwu</t>
        </is>
      </c>
      <c r="C110" t="inlineStr">
        <is>
          <t>082225439117</t>
        </is>
      </c>
      <c r="D110" t="inlineStr">
        <is>
          <t>basoilyas11@gmail.com</t>
        </is>
      </c>
      <c r="E110" t="inlineStr">
        <is>
          <t>https://lpjk.pu.go.id/search-badan-usaha-detail/TWhpNjVCQVE4Y0FST1pvMDVQblFrQT09</t>
        </is>
      </c>
      <c r="F110" t="n">
        <v>1</v>
      </c>
      <c r="G110" t="inlineStr">
        <is>
          <t>BG005</t>
        </is>
      </c>
      <c r="H110" t="inlineStr">
        <is>
          <t>7 April 2022</t>
        </is>
      </c>
      <c r="I110" s="2" t="n">
        <v>46284</v>
      </c>
      <c r="J110" t="inlineStr">
        <is>
          <t>Disetujui</t>
        </is>
      </c>
      <c r="K110" t="n">
        <v>60</v>
      </c>
      <c r="L110" t="inlineStr">
        <is>
          <t>19 September 2026</t>
        </is>
      </c>
      <c r="M110" t="inlineStr">
        <is>
          <t>Konstruksi Gedung Kesehatan</t>
        </is>
      </c>
      <c r="N110" t="inlineStr">
        <is>
          <t>K</t>
        </is>
      </c>
      <c r="O110" t="inlineStr">
        <is>
          <t>20230919</t>
        </is>
      </c>
      <c r="P110" t="inlineStr">
        <is>
          <t>Sulawesi Selatan</t>
        </is>
      </c>
      <c r="Q110" t="inlineStr"/>
    </row>
    <row r="111">
      <c r="A111" t="inlineStr">
        <is>
          <t>PUTRA LAWU SANTAN</t>
        </is>
      </c>
      <c r="B111" t="inlineStr">
        <is>
          <t>Kab. Kutai Timur</t>
        </is>
      </c>
      <c r="C111" t="inlineStr">
        <is>
          <t>081250258421</t>
        </is>
      </c>
      <c r="D111" t="inlineStr">
        <is>
          <t>putralawusantan23@gmail.com</t>
        </is>
      </c>
      <c r="E111" t="inlineStr">
        <is>
          <t>https://lpjk.pu.go.id/search-badan-usaha-detail/aEpHcmd4QlRRaWdmQ3UxVG5NOGs5QT09</t>
        </is>
      </c>
      <c r="F111" t="n">
        <v>1</v>
      </c>
      <c r="G111" t="inlineStr">
        <is>
          <t>BG002</t>
        </is>
      </c>
      <c r="H111" t="inlineStr">
        <is>
          <t>14 Februari 2023</t>
        </is>
      </c>
      <c r="I111" s="2" t="n">
        <v>46284</v>
      </c>
      <c r="J111" t="inlineStr">
        <is>
          <t>Disetujui</t>
        </is>
      </c>
      <c r="K111" t="n">
        <v>60</v>
      </c>
      <c r="L111" t="inlineStr">
        <is>
          <t>19 September 2026</t>
        </is>
      </c>
      <c r="M111" t="inlineStr">
        <is>
          <t>Konstruksi Gedung Perkantoran</t>
        </is>
      </c>
      <c r="N111" t="inlineStr">
        <is>
          <t>K</t>
        </is>
      </c>
      <c r="O111" t="inlineStr">
        <is>
          <t>20230919</t>
        </is>
      </c>
      <c r="P111" t="inlineStr">
        <is>
          <t>Kalimantan Timur</t>
        </is>
      </c>
      <c r="Q111" t="inlineStr"/>
    </row>
    <row r="112">
      <c r="A112" t="inlineStr">
        <is>
          <t>PUTRA MUSI PRATAMA</t>
        </is>
      </c>
      <c r="B112" t="inlineStr">
        <is>
          <t>Kota Palembang</t>
        </is>
      </c>
      <c r="C112" t="inlineStr">
        <is>
          <t>07115715037</t>
        </is>
      </c>
      <c r="D112" t="inlineStr">
        <is>
          <t>cvputramusipratama@gmail.com</t>
        </is>
      </c>
      <c r="E112" t="inlineStr">
        <is>
          <t>https://lpjk.pu.go.id/search-badan-usaha-detail/bUF0dktwWVVjcVNzRVNHd3NvaDRJQT09</t>
        </is>
      </c>
      <c r="F112" t="n">
        <v>1</v>
      </c>
      <c r="G112" t="inlineStr">
        <is>
          <t>BS001</t>
        </is>
      </c>
      <c r="H112" t="inlineStr">
        <is>
          <t>24 Maret 2017</t>
        </is>
      </c>
      <c r="I112" s="2" t="n">
        <v>46284</v>
      </c>
      <c r="J112" t="inlineStr">
        <is>
          <t>Pencabutan</t>
        </is>
      </c>
      <c r="K112" t="n">
        <v>60</v>
      </c>
      <c r="L112" t="inlineStr">
        <is>
          <t>19 September 2026</t>
        </is>
      </c>
      <c r="M112" t="inlineStr">
        <is>
          <t>Konstruksi Bangunan Sipil Jalan</t>
        </is>
      </c>
      <c r="N112" t="inlineStr">
        <is>
          <t>K</t>
        </is>
      </c>
      <c r="O112" t="inlineStr">
        <is>
          <t>20230919</t>
        </is>
      </c>
      <c r="P112" t="inlineStr">
        <is>
          <t>Sumatera Selatan</t>
        </is>
      </c>
      <c r="Q112" t="inlineStr"/>
    </row>
    <row r="113">
      <c r="A113" t="inlineStr">
        <is>
          <t>PUTRA SUMULAGI KONTRAKTOR</t>
        </is>
      </c>
      <c r="B113" t="inlineStr">
        <is>
          <t>Kota Payakumbuh</t>
        </is>
      </c>
      <c r="C113" t="inlineStr">
        <is>
          <t>082169118118</t>
        </is>
      </c>
      <c r="D113" t="inlineStr">
        <is>
          <t>cv.putrasumulagi@yahoo.co.id</t>
        </is>
      </c>
      <c r="E113" t="inlineStr">
        <is>
          <t>https://lpjk.pu.go.id/search-badan-usaha-detail/THFLV3F6VE0zK01WbVZoVy9waEpPdz09</t>
        </is>
      </c>
      <c r="F113" t="n">
        <v>2</v>
      </c>
      <c r="G113" t="inlineStr">
        <is>
          <t>BG004, BG006</t>
        </is>
      </c>
      <c r="H113" t="inlineStr">
        <is>
          <t>14 Mei 2014</t>
        </is>
      </c>
      <c r="I113" s="2" t="n">
        <v>46284</v>
      </c>
      <c r="J113" t="inlineStr">
        <is>
          <t>Disetujui</t>
        </is>
      </c>
      <c r="K113" t="n">
        <v>60</v>
      </c>
      <c r="L113" t="inlineStr">
        <is>
          <t>19 September 2026</t>
        </is>
      </c>
      <c r="M113" t="inlineStr">
        <is>
          <t>Konstruksi Gedung Pendidikan, Konstruksi Gedung Perbelanjaan</t>
        </is>
      </c>
      <c r="N113" t="inlineStr">
        <is>
          <t>K</t>
        </is>
      </c>
      <c r="O113" t="inlineStr">
        <is>
          <t>20230919</t>
        </is>
      </c>
      <c r="P113" t="inlineStr">
        <is>
          <t>Sumatera Barat</t>
        </is>
      </c>
      <c r="Q113" t="inlineStr"/>
    </row>
    <row r="114">
      <c r="A114" t="inlineStr">
        <is>
          <t>RAHAYU PRIMA PERKASA</t>
        </is>
      </c>
      <c r="B114" t="inlineStr">
        <is>
          <t>Kota Palangkaraya</t>
        </is>
      </c>
      <c r="C114" t="inlineStr">
        <is>
          <t>08125098792</t>
        </is>
      </c>
      <c r="D114" t="inlineStr">
        <is>
          <t>cv.rahayuprimaperkasa@gmail.com</t>
        </is>
      </c>
      <c r="E114" t="inlineStr">
        <is>
          <t>https://lpjk.pu.go.id/search-badan-usaha-detail/ZldBL2lzVzNIQUxWd2dpNmQrcVhvUT09</t>
        </is>
      </c>
      <c r="F114" t="n">
        <v>1</v>
      </c>
      <c r="G114" t="inlineStr">
        <is>
          <t>BG005</t>
        </is>
      </c>
      <c r="H114" t="inlineStr">
        <is>
          <t>21 Juli 2023</t>
        </is>
      </c>
      <c r="I114" s="2" t="n">
        <v>46284</v>
      </c>
      <c r="J114" t="inlineStr">
        <is>
          <t>Disetujui</t>
        </is>
      </c>
      <c r="K114" t="n">
        <v>60</v>
      </c>
      <c r="L114" t="inlineStr">
        <is>
          <t>19 September 2026</t>
        </is>
      </c>
      <c r="M114" t="inlineStr">
        <is>
          <t>Konstruksi Gedung Kesehatan</t>
        </is>
      </c>
      <c r="N114" t="inlineStr">
        <is>
          <t>K</t>
        </is>
      </c>
      <c r="O114" t="inlineStr">
        <is>
          <t>20230918</t>
        </is>
      </c>
      <c r="P114" t="inlineStr">
        <is>
          <t>Kalimantan Tengah</t>
        </is>
      </c>
      <c r="Q114" t="inlineStr"/>
    </row>
    <row r="115">
      <c r="A115" t="inlineStr">
        <is>
          <t>RAIHAN ANUGRAH PRATAMA</t>
        </is>
      </c>
      <c r="B115" t="inlineStr">
        <is>
          <t>Kota Adm. Jakarta Pusat</t>
        </is>
      </c>
      <c r="C115" t="inlineStr">
        <is>
          <t>02129578330</t>
        </is>
      </c>
      <c r="D115" t="inlineStr">
        <is>
          <t>pt.raihananugerahpratama@gmail.com</t>
        </is>
      </c>
      <c r="E115" t="inlineStr">
        <is>
          <t>https://lpjk.pu.go.id/search-badan-usaha-detail/RDNyZVV6UVYwNkd5cVJ1Ylpwb2R6UT09</t>
        </is>
      </c>
      <c r="F115" t="n">
        <v>2</v>
      </c>
      <c r="G115" t="inlineStr">
        <is>
          <t>BG009</t>
        </is>
      </c>
      <c r="H115" t="inlineStr">
        <is>
          <t>9 Maret 2022</t>
        </is>
      </c>
      <c r="I115" s="2" t="n">
        <v>46284</v>
      </c>
      <c r="J115" t="inlineStr">
        <is>
          <t>Disetujui</t>
        </is>
      </c>
      <c r="K115" t="n">
        <v>60</v>
      </c>
      <c r="L115" t="inlineStr">
        <is>
          <t>19 September 2026</t>
        </is>
      </c>
      <c r="M115" t="inlineStr">
        <is>
          <t>Konstruksi Gedung Lainnya</t>
        </is>
      </c>
      <c r="N115" t="inlineStr">
        <is>
          <t>K</t>
        </is>
      </c>
      <c r="O115" t="inlineStr">
        <is>
          <t>20230914</t>
        </is>
      </c>
      <c r="P115" t="inlineStr">
        <is>
          <t>DKI Jakarta</t>
        </is>
      </c>
      <c r="Q115" t="inlineStr"/>
    </row>
    <row r="116">
      <c r="A116" t="inlineStr">
        <is>
          <t>RANGGANA MAHA KARYA</t>
        </is>
      </c>
      <c r="B116" t="inlineStr">
        <is>
          <t>Kota Padang Sidempuan</t>
        </is>
      </c>
      <c r="C116" t="inlineStr">
        <is>
          <t>082362584725</t>
        </is>
      </c>
      <c r="D116" t="inlineStr">
        <is>
          <t>rangganamahakarya@gmail.com</t>
        </is>
      </c>
      <c r="E116" t="inlineStr">
        <is>
          <t>https://lpjk.pu.go.id/search-badan-usaha-detail/a1pnQWFEbVpobkRINmNEYjJaek1Pdz09</t>
        </is>
      </c>
      <c r="F116" t="n">
        <v>1</v>
      </c>
      <c r="G116" t="inlineStr">
        <is>
          <t>BS001</t>
        </is>
      </c>
      <c r="H116" t="inlineStr">
        <is>
          <t>12 September 2023</t>
        </is>
      </c>
      <c r="I116" s="2" t="n">
        <v>46284</v>
      </c>
      <c r="J116" t="inlineStr">
        <is>
          <t>Disetujui</t>
        </is>
      </c>
      <c r="K116" t="n">
        <v>60</v>
      </c>
      <c r="L116" t="inlineStr">
        <is>
          <t>19 September 2026</t>
        </is>
      </c>
      <c r="M116" t="inlineStr">
        <is>
          <t>Konstruksi Bangunan Sipil Jalan</t>
        </is>
      </c>
      <c r="N116" t="inlineStr">
        <is>
          <t>K</t>
        </is>
      </c>
      <c r="O116" t="inlineStr">
        <is>
          <t>20230917</t>
        </is>
      </c>
      <c r="P116" t="inlineStr">
        <is>
          <t>Sumatera Utara</t>
        </is>
      </c>
      <c r="Q116" t="inlineStr"/>
    </row>
    <row r="117">
      <c r="A117" t="inlineStr">
        <is>
          <t>RIZKY BERKAH</t>
        </is>
      </c>
      <c r="B117" t="inlineStr">
        <is>
          <t>Kab. Kotawaringin Timur</t>
        </is>
      </c>
      <c r="C117" t="inlineStr">
        <is>
          <t>0812 5358 5153</t>
        </is>
      </c>
      <c r="D117" t="inlineStr">
        <is>
          <t>cv.rizkyberkah2019@gmail.com</t>
        </is>
      </c>
      <c r="E117" t="inlineStr">
        <is>
          <t>https://lpjk.pu.go.id/search-badan-usaha-detail/MG5LdGEvbG1Lek8wL0duVnRPM3piUT09</t>
        </is>
      </c>
      <c r="F117" t="n">
        <v>1</v>
      </c>
      <c r="G117" t="inlineStr">
        <is>
          <t>BG009</t>
        </is>
      </c>
      <c r="H117" t="inlineStr">
        <is>
          <t>14 Januari 2019</t>
        </is>
      </c>
      <c r="I117" s="2" t="n">
        <v>46284</v>
      </c>
      <c r="J117" t="inlineStr">
        <is>
          <t>Disetujui</t>
        </is>
      </c>
      <c r="K117" t="n">
        <v>60</v>
      </c>
      <c r="L117" t="inlineStr">
        <is>
          <t>19 September 2026</t>
        </is>
      </c>
      <c r="M117" t="inlineStr">
        <is>
          <t>Konstruksi Gedung Lainnya</t>
        </is>
      </c>
      <c r="N117" t="inlineStr">
        <is>
          <t>K</t>
        </is>
      </c>
      <c r="O117" t="inlineStr">
        <is>
          <t>20230917</t>
        </is>
      </c>
      <c r="P117" t="inlineStr">
        <is>
          <t>Kalimantan Tengah</t>
        </is>
      </c>
      <c r="Q117" t="inlineStr"/>
    </row>
    <row r="118">
      <c r="A118" t="inlineStr">
        <is>
          <t>SAS MULTICON PERSADA</t>
        </is>
      </c>
      <c r="B118" t="inlineStr">
        <is>
          <t>Kab. Purworejo</t>
        </is>
      </c>
      <c r="C118" t="inlineStr">
        <is>
          <t>081388770888</t>
        </is>
      </c>
      <c r="D118" t="inlineStr">
        <is>
          <t>pt.sas.2023@gmail.com</t>
        </is>
      </c>
      <c r="E118" t="inlineStr">
        <is>
          <t>https://lpjk.pu.go.id/search-badan-usaha-detail/R0piS1B6dDNRSkxJV2dITWdJZGR1UT09</t>
        </is>
      </c>
      <c r="F118" t="n">
        <v>1</v>
      </c>
      <c r="G118" t="inlineStr">
        <is>
          <t>BG005</t>
        </is>
      </c>
      <c r="H118" t="inlineStr">
        <is>
          <t>13 Februari 2023</t>
        </is>
      </c>
      <c r="I118" s="2" t="n">
        <v>46284</v>
      </c>
      <c r="J118" t="inlineStr">
        <is>
          <t>Disetujui</t>
        </is>
      </c>
      <c r="K118" t="n">
        <v>60</v>
      </c>
      <c r="L118" t="inlineStr">
        <is>
          <t>19 September 2026</t>
        </is>
      </c>
      <c r="M118" t="inlineStr">
        <is>
          <t>Konstruksi Gedung Kesehatan</t>
        </is>
      </c>
      <c r="N118" t="inlineStr">
        <is>
          <t>K</t>
        </is>
      </c>
      <c r="O118" t="inlineStr">
        <is>
          <t>20230908</t>
        </is>
      </c>
      <c r="P118" t="inlineStr">
        <is>
          <t>Jawa Tengah</t>
        </is>
      </c>
      <c r="Q118" t="inlineStr"/>
    </row>
    <row r="119">
      <c r="A119" t="inlineStr">
        <is>
          <t>SAUNG PERADABAN</t>
        </is>
      </c>
      <c r="B119" t="inlineStr">
        <is>
          <t>Kab. Bandung</t>
        </is>
      </c>
      <c r="C119" t="inlineStr">
        <is>
          <t>085794300738</t>
        </is>
      </c>
      <c r="D119" t="inlineStr">
        <is>
          <t>saungperadaban.cv@gmail.com</t>
        </is>
      </c>
      <c r="E119" t="inlineStr">
        <is>
          <t>https://lpjk.pu.go.id/search-badan-usaha-detail/Ky9pWUduem9saUNibStESm1yMTJxZz09</t>
        </is>
      </c>
      <c r="F119" t="n">
        <v>1</v>
      </c>
      <c r="G119" t="inlineStr">
        <is>
          <t>BS004</t>
        </is>
      </c>
      <c r="H119" t="inlineStr">
        <is>
          <t>12 Oktober 2022</t>
        </is>
      </c>
      <c r="I119" s="2" t="n">
        <v>46284</v>
      </c>
      <c r="J119" t="inlineStr">
        <is>
          <t>Disetujui</t>
        </is>
      </c>
      <c r="K119" t="n">
        <v>60</v>
      </c>
      <c r="L119" t="inlineStr">
        <is>
          <t>19 September 2026</t>
        </is>
      </c>
      <c r="M119" t="inlineStr">
        <is>
          <t>Konstruksi Jaringan Irigasi dan Drainase</t>
        </is>
      </c>
      <c r="N119" t="inlineStr">
        <is>
          <t>K</t>
        </is>
      </c>
      <c r="O119" t="inlineStr">
        <is>
          <t>20230808</t>
        </is>
      </c>
      <c r="P119" t="inlineStr">
        <is>
          <t>Jawa Barat</t>
        </is>
      </c>
      <c r="Q119" t="inlineStr"/>
    </row>
    <row r="120">
      <c r="A120" t="inlineStr">
        <is>
          <t>SAVAQIRA LIMA EMPAT</t>
        </is>
      </c>
      <c r="B120" t="inlineStr">
        <is>
          <t>Kab. Lampung Tengah</t>
        </is>
      </c>
      <c r="C120" t="inlineStr">
        <is>
          <t>082179843351</t>
        </is>
      </c>
      <c r="D120" t="inlineStr">
        <is>
          <t>cvsavaqiral54@gmail.com</t>
        </is>
      </c>
      <c r="E120" t="inlineStr">
        <is>
          <t>https://lpjk.pu.go.id/search-badan-usaha-detail/T0JNWnJvMlM2UTc0RHdYaitZSUhRdz09</t>
        </is>
      </c>
      <c r="F120" t="n">
        <v>1</v>
      </c>
      <c r="G120" t="inlineStr">
        <is>
          <t>BG005</t>
        </is>
      </c>
      <c r="H120" t="inlineStr">
        <is>
          <t>24 September 2021</t>
        </is>
      </c>
      <c r="I120" s="2" t="n">
        <v>46284</v>
      </c>
      <c r="J120" t="inlineStr">
        <is>
          <t>Disetujui</t>
        </is>
      </c>
      <c r="K120" t="n">
        <v>60</v>
      </c>
      <c r="L120" t="inlineStr">
        <is>
          <t>19 September 2026</t>
        </is>
      </c>
      <c r="M120" t="inlineStr">
        <is>
          <t>Konstruksi Gedung Kesehatan</t>
        </is>
      </c>
      <c r="N120" t="inlineStr">
        <is>
          <t>K</t>
        </is>
      </c>
      <c r="O120" t="inlineStr">
        <is>
          <t>20230915</t>
        </is>
      </c>
      <c r="P120" t="inlineStr">
        <is>
          <t>Lampung</t>
        </is>
      </c>
      <c r="Q120" t="inlineStr"/>
    </row>
    <row r="121">
      <c r="A121" t="inlineStr">
        <is>
          <t>SENDY RIZKY</t>
        </is>
      </c>
      <c r="B121" t="inlineStr">
        <is>
          <t>Kab. Bandung</t>
        </is>
      </c>
      <c r="C121" t="inlineStr">
        <is>
          <t>082218677484</t>
        </is>
      </c>
      <c r="D121" t="inlineStr">
        <is>
          <t>sendyrizky.cv@gmail.com</t>
        </is>
      </c>
      <c r="E121" t="inlineStr">
        <is>
          <t>https://lpjk.pu.go.id/search-badan-usaha-detail/M3V3eWdJOHRFelV0T1ZyS3M4NTRRdz09</t>
        </is>
      </c>
      <c r="F121" t="n">
        <v>1</v>
      </c>
      <c r="G121" t="inlineStr">
        <is>
          <t>BG006</t>
        </is>
      </c>
      <c r="H121" t="inlineStr">
        <is>
          <t>1 Maret 2023</t>
        </is>
      </c>
      <c r="I121" s="2" t="n">
        <v>46284</v>
      </c>
      <c r="J121" t="inlineStr">
        <is>
          <t>Disetujui</t>
        </is>
      </c>
      <c r="K121" t="n">
        <v>60</v>
      </c>
      <c r="L121" t="inlineStr">
        <is>
          <t>19 September 2026</t>
        </is>
      </c>
      <c r="M121" t="inlineStr">
        <is>
          <t>Konstruksi Gedung Pendidikan</t>
        </is>
      </c>
      <c r="N121" t="inlineStr">
        <is>
          <t>K</t>
        </is>
      </c>
      <c r="O121" t="inlineStr">
        <is>
          <t>20230913</t>
        </is>
      </c>
      <c r="P121" t="inlineStr">
        <is>
          <t>Jawa Barat</t>
        </is>
      </c>
      <c r="Q121" t="inlineStr"/>
    </row>
    <row r="122">
      <c r="A122" t="inlineStr">
        <is>
          <t>SENTOSA LAJU SEJAHTERA</t>
        </is>
      </c>
      <c r="B122" t="inlineStr">
        <is>
          <t>Kab. Sidoarjo</t>
        </is>
      </c>
      <c r="C122" t="inlineStr">
        <is>
          <t>0317879848</t>
        </is>
      </c>
      <c r="D122" t="inlineStr">
        <is>
          <t>sentosalajusejahterapt@gmail.com</t>
        </is>
      </c>
      <c r="E122" t="inlineStr">
        <is>
          <t>https://lpjk.pu.go.id/search-badan-usaha-detail/Y2E5Lzg5OEEvZVdYMzU5cDdmakpndz09</t>
        </is>
      </c>
      <c r="F122" t="n">
        <v>1</v>
      </c>
      <c r="G122" t="inlineStr">
        <is>
          <t>BS014</t>
        </is>
      </c>
      <c r="H122" t="inlineStr">
        <is>
          <t>24 Juli 2023</t>
        </is>
      </c>
      <c r="I122" s="2" t="n">
        <v>46284</v>
      </c>
      <c r="J122" t="inlineStr">
        <is>
          <t>Disetujui</t>
        </is>
      </c>
      <c r="K122" t="n">
        <v>60</v>
      </c>
      <c r="L122" t="inlineStr">
        <is>
          <t>19 September 2026</t>
        </is>
      </c>
      <c r="M122" t="inlineStr">
        <is>
          <t>Konstruksi Bangunan Sipil Pertambangan</t>
        </is>
      </c>
      <c r="N122" t="inlineStr">
        <is>
          <t>B</t>
        </is>
      </c>
      <c r="O122" t="inlineStr">
        <is>
          <t>20230919</t>
        </is>
      </c>
      <c r="P122" t="inlineStr">
        <is>
          <t>Jawa Timur</t>
        </is>
      </c>
      <c r="Q122" t="inlineStr"/>
    </row>
    <row r="123">
      <c r="A123" t="inlineStr">
        <is>
          <t>SEPAKAT SEBELAS DUA BELAS</t>
        </is>
      </c>
      <c r="B123" t="inlineStr">
        <is>
          <t>Kab. Indramayu</t>
        </is>
      </c>
      <c r="C123" t="inlineStr">
        <is>
          <t>081223808789</t>
        </is>
      </c>
      <c r="D123" t="inlineStr">
        <is>
          <t>cv.sepakat1112@gmail.com</t>
        </is>
      </c>
      <c r="E123" t="inlineStr">
        <is>
          <t>https://lpjk.pu.go.id/search-badan-usaha-detail/MzRacDlvWmVwdXJrQnBmbXZkNS84Zz09</t>
        </is>
      </c>
      <c r="F123" t="n">
        <v>1</v>
      </c>
      <c r="G123" t="inlineStr">
        <is>
          <t>BG006</t>
        </is>
      </c>
      <c r="H123" t="inlineStr">
        <is>
          <t>22 Januari 2021</t>
        </is>
      </c>
      <c r="I123" s="2" t="n">
        <v>46284</v>
      </c>
      <c r="J123" t="inlineStr">
        <is>
          <t>Disetujui</t>
        </is>
      </c>
      <c r="K123" t="n">
        <v>60</v>
      </c>
      <c r="L123" t="inlineStr">
        <is>
          <t>19 September 2026</t>
        </is>
      </c>
      <c r="M123" t="inlineStr">
        <is>
          <t>Konstruksi Gedung Pendidikan</t>
        </is>
      </c>
      <c r="N123" t="inlineStr">
        <is>
          <t>K</t>
        </is>
      </c>
      <c r="O123" t="inlineStr">
        <is>
          <t>20230915</t>
        </is>
      </c>
      <c r="P123" t="inlineStr">
        <is>
          <t>Jawa Barat</t>
        </is>
      </c>
      <c r="Q123" t="inlineStr"/>
    </row>
    <row r="124">
      <c r="A124" t="inlineStr">
        <is>
          <t>SHO-LABO GEO TEKNIKA</t>
        </is>
      </c>
      <c r="B124" t="inlineStr">
        <is>
          <t>Kota Bandung</t>
        </is>
      </c>
      <c r="C124" t="inlineStr">
        <is>
          <t>0227233281</t>
        </is>
      </c>
      <c r="D124" t="inlineStr">
        <is>
          <t>sho_labo@yahoo.co.id</t>
        </is>
      </c>
      <c r="E124" t="inlineStr">
        <is>
          <t>https://lpjk.pu.go.id/search-badan-usaha-detail/SDd6TmcyOGt0Z2FsSlBGVE9aRDdtZz09</t>
        </is>
      </c>
      <c r="F124" t="n">
        <v>2</v>
      </c>
      <c r="G124" t="inlineStr">
        <is>
          <t>IT001, IT002</t>
        </is>
      </c>
      <c r="H124" t="inlineStr">
        <is>
          <t>30 Desember 2008</t>
        </is>
      </c>
      <c r="I124" s="2" t="n">
        <v>46284</v>
      </c>
      <c r="J124" t="inlineStr">
        <is>
          <t>Disetujui</t>
        </is>
      </c>
      <c r="K124" t="n">
        <v>60</v>
      </c>
      <c r="L124" t="inlineStr">
        <is>
          <t>19 September 2026</t>
        </is>
      </c>
      <c r="M124" t="inlineStr">
        <is>
          <t>Jasa Konsultansi Ilmiah dan Teknis Bawah Tanah, Jasa Pembuatan Prospektus Geologi dan Geofisika</t>
        </is>
      </c>
      <c r="N124" t="inlineStr">
        <is>
          <t>Spesialis</t>
        </is>
      </c>
      <c r="O124" t="inlineStr">
        <is>
          <t>20230907</t>
        </is>
      </c>
      <c r="P124" t="inlineStr">
        <is>
          <t>Jawa Barat</t>
        </is>
      </c>
      <c r="Q124" t="inlineStr"/>
    </row>
    <row r="125">
      <c r="A125" t="inlineStr">
        <is>
          <t>SINAR MAS</t>
        </is>
      </c>
      <c r="B125" t="inlineStr">
        <is>
          <t>Kab. Kepulauan Selayar</t>
        </is>
      </c>
      <c r="C125" t="inlineStr">
        <is>
          <t>081242887717</t>
        </is>
      </c>
      <c r="D125" t="inlineStr">
        <is>
          <t>cv.sinarmas71@gmail.com</t>
        </is>
      </c>
      <c r="E125" t="inlineStr">
        <is>
          <t>https://lpjk.pu.go.id/search-badan-usaha-detail/MnlGQTdJWktMeEg2RnI1RTdhN3UyUT09</t>
        </is>
      </c>
      <c r="F125" t="n">
        <v>2</v>
      </c>
      <c r="G125" t="inlineStr">
        <is>
          <t>BG006, BG009</t>
        </is>
      </c>
      <c r="H125" t="inlineStr">
        <is>
          <t>28 Mei 1998</t>
        </is>
      </c>
      <c r="I125" s="2" t="n">
        <v>46284</v>
      </c>
      <c r="J125" t="inlineStr">
        <is>
          <t>Disetujui</t>
        </is>
      </c>
      <c r="K125" t="n">
        <v>60</v>
      </c>
      <c r="L125" t="inlineStr">
        <is>
          <t>19 September 2026</t>
        </is>
      </c>
      <c r="M125" t="inlineStr">
        <is>
          <t>Konstruksi Gedung Lainnya, Konstruksi Gedung Pendidikan</t>
        </is>
      </c>
      <c r="N125" t="inlineStr">
        <is>
          <t>K</t>
        </is>
      </c>
      <c r="O125" t="inlineStr">
        <is>
          <t>20230918</t>
        </is>
      </c>
      <c r="P125" t="inlineStr">
        <is>
          <t>Sulawesi Selatan</t>
        </is>
      </c>
      <c r="Q125" t="inlineStr"/>
    </row>
    <row r="126">
      <c r="A126" t="inlineStr">
        <is>
          <t>SINAR MENTARI</t>
        </is>
      </c>
      <c r="B126" t="inlineStr">
        <is>
          <t>Kota Bandung</t>
        </is>
      </c>
      <c r="C126" t="inlineStr">
        <is>
          <t>08122059695</t>
        </is>
      </c>
      <c r="D126" t="inlineStr">
        <is>
          <t>mentaricvsinar@gmail.com</t>
        </is>
      </c>
      <c r="E126" t="inlineStr">
        <is>
          <t>https://lpjk.pu.go.id/search-badan-usaha-detail/dE9PdzEyYlptVEFXblNhR01xakZ5UT09</t>
        </is>
      </c>
      <c r="F126" t="n">
        <v>2</v>
      </c>
      <c r="G126" t="inlineStr">
        <is>
          <t>BG009, BS005</t>
        </is>
      </c>
      <c r="H126" t="inlineStr">
        <is>
          <t>24 Januari 2023</t>
        </is>
      </c>
      <c r="I126" s="2" t="n">
        <v>46284</v>
      </c>
      <c r="J126" t="inlineStr">
        <is>
          <t>Disetujui</t>
        </is>
      </c>
      <c r="K126" t="n">
        <v>60</v>
      </c>
      <c r="L126" t="inlineStr">
        <is>
          <t>19 September 2026</t>
        </is>
      </c>
      <c r="M126" t="inlineStr">
        <is>
          <t>Konstruksi Bangunan Sipil Pengolahan Air Bersih, Konstruksi Gedung Lainnya</t>
        </is>
      </c>
      <c r="N126" t="inlineStr">
        <is>
          <t>K</t>
        </is>
      </c>
      <c r="O126" t="inlineStr">
        <is>
          <t>20230912</t>
        </is>
      </c>
      <c r="P126" t="inlineStr">
        <is>
          <t>Jawa Barat</t>
        </is>
      </c>
      <c r="Q126" t="inlineStr"/>
    </row>
    <row r="127">
      <c r="A127" t="inlineStr">
        <is>
          <t>SINAR TIMUR MANDIRI BALIKPAPAN</t>
        </is>
      </c>
      <c r="B127" t="inlineStr">
        <is>
          <t>Kota Balikpapan</t>
        </is>
      </c>
      <c r="C127" t="inlineStr">
        <is>
          <t>081383135359</t>
        </is>
      </c>
      <c r="D127" t="inlineStr">
        <is>
          <t>sinartimurmandiri78@gmail.com</t>
        </is>
      </c>
      <c r="E127" t="inlineStr">
        <is>
          <t>https://lpjk.pu.go.id/search-badan-usaha-detail/dlhUMTN6VkRHUGF3d1V1MG00Z3YrUT09</t>
        </is>
      </c>
      <c r="F127" t="n">
        <v>1</v>
      </c>
      <c r="G127" t="inlineStr">
        <is>
          <t>BG002</t>
        </is>
      </c>
      <c r="H127" t="inlineStr">
        <is>
          <t>8 Maret 2017</t>
        </is>
      </c>
      <c r="I127" s="2" t="n">
        <v>46284</v>
      </c>
      <c r="J127" t="inlineStr">
        <is>
          <t>Pencabutan</t>
        </is>
      </c>
      <c r="K127" t="n">
        <v>60</v>
      </c>
      <c r="L127" t="inlineStr">
        <is>
          <t>19 September 2026</t>
        </is>
      </c>
      <c r="M127" t="inlineStr">
        <is>
          <t>Konstruksi Gedung Perkantoran</t>
        </is>
      </c>
      <c r="N127" t="inlineStr">
        <is>
          <t>K</t>
        </is>
      </c>
      <c r="O127" t="inlineStr">
        <is>
          <t>20230919</t>
        </is>
      </c>
      <c r="P127" t="inlineStr">
        <is>
          <t>Kalimantan Timur</t>
        </is>
      </c>
      <c r="Q127" t="inlineStr"/>
    </row>
    <row r="128">
      <c r="A128" t="inlineStr">
        <is>
          <t>SKETSA</t>
        </is>
      </c>
      <c r="B128" t="inlineStr">
        <is>
          <t>Kota Semarang</t>
        </is>
      </c>
      <c r="C128" t="inlineStr">
        <is>
          <t>0247463004</t>
        </is>
      </c>
      <c r="D128" t="inlineStr">
        <is>
          <t>sketsaconsultant@yahoo.com</t>
        </is>
      </c>
      <c r="E128" t="inlineStr">
        <is>
          <t>https://lpjk.pu.go.id/search-badan-usaha-detail/QTEvejNBalVwSzNNYmhkRkFZZW52dz09</t>
        </is>
      </c>
      <c r="F128" t="n">
        <v>1</v>
      </c>
      <c r="G128" t="inlineStr">
        <is>
          <t>AR001</t>
        </is>
      </c>
      <c r="H128" t="inlineStr">
        <is>
          <t>7 April 2000</t>
        </is>
      </c>
      <c r="I128" s="2" t="n">
        <v>46284</v>
      </c>
      <c r="J128" t="inlineStr">
        <is>
          <t>Disetujui</t>
        </is>
      </c>
      <c r="K128" t="n">
        <v>60</v>
      </c>
      <c r="L128" t="inlineStr">
        <is>
          <t>19 September 2026</t>
        </is>
      </c>
      <c r="M128" t="inlineStr">
        <is>
          <t>Jasa Arsitektural Bangunan Gedung Hunian dan Non Hunian</t>
        </is>
      </c>
      <c r="N128" t="inlineStr">
        <is>
          <t>K</t>
        </is>
      </c>
      <c r="O128" t="inlineStr">
        <is>
          <t>20230912</t>
        </is>
      </c>
      <c r="P128" t="inlineStr">
        <is>
          <t>Jawa Tengah</t>
        </is>
      </c>
      <c r="Q128" t="inlineStr"/>
    </row>
    <row r="129">
      <c r="A129" t="inlineStr">
        <is>
          <t>SKY ENGINEERING INDONESIA</t>
        </is>
      </c>
      <c r="B129" t="inlineStr">
        <is>
          <t>Kota Jambi</t>
        </is>
      </c>
      <c r="C129" t="inlineStr">
        <is>
          <t>082286666002</t>
        </is>
      </c>
      <c r="D129" t="inlineStr">
        <is>
          <t>sky_engineeringindonesia@yahoo.com</t>
        </is>
      </c>
      <c r="E129" t="inlineStr">
        <is>
          <t>https://lpjk.pu.go.id/search-badan-usaha-detail/TzBQM0pZYWIxcDVpQkMveEZOOFVjQT09</t>
        </is>
      </c>
      <c r="F129" t="n">
        <v>1</v>
      </c>
      <c r="G129" t="inlineStr">
        <is>
          <t>BS007</t>
        </is>
      </c>
      <c r="H129" t="inlineStr">
        <is>
          <t>17 Juli 2023</t>
        </is>
      </c>
      <c r="I129" s="2" t="n">
        <v>46284</v>
      </c>
      <c r="J129" t="inlineStr">
        <is>
          <t>Disetujui</t>
        </is>
      </c>
      <c r="K129" t="n">
        <v>60</v>
      </c>
      <c r="L129" t="inlineStr">
        <is>
          <t>19 September 2026</t>
        </is>
      </c>
      <c r="M129" t="inlineStr">
        <is>
          <t>Konstruksi Bangunan Sipil Elektrikal</t>
        </is>
      </c>
      <c r="N129" t="inlineStr">
        <is>
          <t>K</t>
        </is>
      </c>
      <c r="O129" t="inlineStr">
        <is>
          <t>20230919</t>
        </is>
      </c>
      <c r="P129" t="inlineStr">
        <is>
          <t>Jambi</t>
        </is>
      </c>
      <c r="Q129" t="inlineStr"/>
    </row>
    <row r="130">
      <c r="A130" t="inlineStr">
        <is>
          <t>SOBAT GUNUNG SIRGEMEH</t>
        </is>
      </c>
      <c r="B130" t="inlineStr">
        <is>
          <t>Kab. Manokwari</t>
        </is>
      </c>
      <c r="C130" t="inlineStr">
        <is>
          <t>082239389347</t>
        </is>
      </c>
      <c r="D130" t="inlineStr">
        <is>
          <t>cvsobatgunungsirgemeh@gmail.com</t>
        </is>
      </c>
      <c r="E130" t="inlineStr">
        <is>
          <t>https://lpjk.pu.go.id/search-badan-usaha-detail/UjVibjJGTE9weTM4ZzFFRGU5WlNrQT09</t>
        </is>
      </c>
      <c r="F130" t="n">
        <v>1</v>
      </c>
      <c r="G130" t="inlineStr">
        <is>
          <t>BG005</t>
        </is>
      </c>
      <c r="H130" t="inlineStr">
        <is>
          <t>9 Januari 2012</t>
        </is>
      </c>
      <c r="I130" s="2" t="n">
        <v>46284</v>
      </c>
      <c r="J130" t="inlineStr">
        <is>
          <t>Pencabutan</t>
        </is>
      </c>
      <c r="K130" t="n">
        <v>60</v>
      </c>
      <c r="L130" t="inlineStr">
        <is>
          <t>19 September 2026</t>
        </is>
      </c>
      <c r="M130" t="inlineStr">
        <is>
          <t>Konstruksi Gedung Kesehatan</t>
        </is>
      </c>
      <c r="N130" t="inlineStr">
        <is>
          <t>K</t>
        </is>
      </c>
      <c r="O130" t="inlineStr">
        <is>
          <t>20230915</t>
        </is>
      </c>
      <c r="P130" t="inlineStr">
        <is>
          <t>Papua Barat</t>
        </is>
      </c>
      <c r="Q130" t="inlineStr"/>
    </row>
    <row r="131">
      <c r="A131" t="inlineStr">
        <is>
          <t>SPARTA DUTA PERKASA</t>
        </is>
      </c>
      <c r="B131" t="inlineStr">
        <is>
          <t>Kota Pariaman</t>
        </is>
      </c>
      <c r="C131" t="inlineStr">
        <is>
          <t>082384123272</t>
        </is>
      </c>
      <c r="D131" t="inlineStr">
        <is>
          <t>ptspartadutaperkasa@gmail.com</t>
        </is>
      </c>
      <c r="E131" t="inlineStr">
        <is>
          <t>https://lpjk.pu.go.id/search-badan-usaha-detail/eENmQ3l1UzI5cExod01haGo3aSthQT09</t>
        </is>
      </c>
      <c r="F131" t="n">
        <v>2</v>
      </c>
      <c r="G131" t="inlineStr">
        <is>
          <t>BG001, BG006</t>
        </is>
      </c>
      <c r="H131" t="inlineStr">
        <is>
          <t>21 Januari 2004</t>
        </is>
      </c>
      <c r="I131" s="2" t="n">
        <v>46284</v>
      </c>
      <c r="J131" t="inlineStr">
        <is>
          <t>Disetujui</t>
        </is>
      </c>
      <c r="K131" t="n">
        <v>60</v>
      </c>
      <c r="L131" t="inlineStr">
        <is>
          <t>19 September 2026</t>
        </is>
      </c>
      <c r="M131" t="inlineStr">
        <is>
          <t>Konstruksi Gedung Hunian, Konstruksi Gedung Pendidikan</t>
        </is>
      </c>
      <c r="N131" t="inlineStr">
        <is>
          <t>K</t>
        </is>
      </c>
      <c r="O131" t="inlineStr">
        <is>
          <t>20230920</t>
        </is>
      </c>
      <c r="P131" t="inlineStr">
        <is>
          <t>Sumatera Barat</t>
        </is>
      </c>
      <c r="Q131" t="inlineStr"/>
    </row>
    <row r="132">
      <c r="A132" t="inlineStr">
        <is>
          <t>SURYA SAMUDRA</t>
        </is>
      </c>
      <c r="B132" t="inlineStr">
        <is>
          <t>Kab. Bandung</t>
        </is>
      </c>
      <c r="C132" t="inlineStr">
        <is>
          <t>08122430456</t>
        </is>
      </c>
      <c r="D132" t="inlineStr">
        <is>
          <t>suryasamudra@ymail.com</t>
        </is>
      </c>
      <c r="E132" t="inlineStr">
        <is>
          <t>https://lpjk.pu.go.id/search-badan-usaha-detail/b1VvQXh6bEw4UlQ5K09xWHNiZXpNUT09</t>
        </is>
      </c>
      <c r="F132" t="n">
        <v>1</v>
      </c>
      <c r="G132" t="inlineStr">
        <is>
          <t>BS005</t>
        </is>
      </c>
      <c r="H132" t="inlineStr">
        <is>
          <t>21 Januari 2006</t>
        </is>
      </c>
      <c r="I132" s="2" t="n">
        <v>46284</v>
      </c>
      <c r="J132" t="inlineStr">
        <is>
          <t>Disetujui</t>
        </is>
      </c>
      <c r="K132" t="n">
        <v>60</v>
      </c>
      <c r="L132" t="inlineStr">
        <is>
          <t>19 September 2026</t>
        </is>
      </c>
      <c r="M132" t="inlineStr">
        <is>
          <t>Konstruksi Bangunan Sipil Pengolahan Air Bersih</t>
        </is>
      </c>
      <c r="N132" t="inlineStr">
        <is>
          <t>K</t>
        </is>
      </c>
      <c r="O132" t="inlineStr">
        <is>
          <t>20230915</t>
        </is>
      </c>
      <c r="P132" t="inlineStr">
        <is>
          <t>Jawa Barat</t>
        </is>
      </c>
      <c r="Q132" t="inlineStr"/>
    </row>
    <row r="133">
      <c r="A133" t="inlineStr">
        <is>
          <t>TALENTA GUNA MANDIRI</t>
        </is>
      </c>
      <c r="B133" t="inlineStr">
        <is>
          <t>Kota Makassar</t>
        </is>
      </c>
      <c r="C133" t="inlineStr">
        <is>
          <t>085255266692</t>
        </is>
      </c>
      <c r="D133" t="inlineStr">
        <is>
          <t>talentagunamandiri@gmail.com</t>
        </is>
      </c>
      <c r="E133" t="inlineStr">
        <is>
          <t>https://lpjk.pu.go.id/search-badan-usaha-detail/dnk4cUtxNXNoTGRoR0hDS0JwUWlIQT09</t>
        </is>
      </c>
      <c r="F133" t="n">
        <v>1</v>
      </c>
      <c r="G133" t="inlineStr">
        <is>
          <t>BG005</t>
        </is>
      </c>
      <c r="H133" t="inlineStr">
        <is>
          <t>7 Desember 2017</t>
        </is>
      </c>
      <c r="I133" s="2" t="n">
        <v>46284</v>
      </c>
      <c r="J133" t="inlineStr">
        <is>
          <t>Disetujui</t>
        </is>
      </c>
      <c r="K133" t="n">
        <v>60</v>
      </c>
      <c r="L133" t="inlineStr">
        <is>
          <t>19 September 2026</t>
        </is>
      </c>
      <c r="M133" t="inlineStr">
        <is>
          <t>Konstruksi Gedung Kesehatan</t>
        </is>
      </c>
      <c r="N133" t="inlineStr">
        <is>
          <t>K</t>
        </is>
      </c>
      <c r="O133" t="inlineStr">
        <is>
          <t>20230913</t>
        </is>
      </c>
      <c r="P133" t="inlineStr">
        <is>
          <t>Sulawesi Selatan</t>
        </is>
      </c>
      <c r="Q133" t="inlineStr"/>
    </row>
    <row r="134">
      <c r="A134" t="inlineStr">
        <is>
          <t>TAMARA</t>
        </is>
      </c>
      <c r="B134" t="inlineStr">
        <is>
          <t>Kab. Ponorogo</t>
        </is>
      </c>
      <c r="C134" t="inlineStr">
        <is>
          <t>0352481221</t>
        </is>
      </c>
      <c r="D134" t="inlineStr">
        <is>
          <t>tamara_cv@yahoo.co.id</t>
        </is>
      </c>
      <c r="E134" t="inlineStr">
        <is>
          <t>https://lpjk.pu.go.id/search-badan-usaha-detail/Zm5zU3FQOXg1V1BPOWhCUE0rTnoxdz09</t>
        </is>
      </c>
      <c r="F134" t="n">
        <v>2</v>
      </c>
      <c r="G134" t="inlineStr">
        <is>
          <t>BG002, BG006</t>
        </is>
      </c>
      <c r="H134" t="inlineStr">
        <is>
          <t>31 Agustus 1993</t>
        </is>
      </c>
      <c r="I134" s="2" t="n">
        <v>46284</v>
      </c>
      <c r="J134" t="inlineStr">
        <is>
          <t>Disetujui</t>
        </is>
      </c>
      <c r="K134" t="n">
        <v>60</v>
      </c>
      <c r="L134" t="inlineStr">
        <is>
          <t>19 September 2026</t>
        </is>
      </c>
      <c r="M134" t="inlineStr">
        <is>
          <t>Konstruksi Gedung Pendidikan, Konstruksi Gedung Perkantoran</t>
        </is>
      </c>
      <c r="N134" t="inlineStr">
        <is>
          <t>K</t>
        </is>
      </c>
      <c r="O134" t="inlineStr">
        <is>
          <t>20230828</t>
        </is>
      </c>
      <c r="P134" t="inlineStr">
        <is>
          <t>Jawa Timur</t>
        </is>
      </c>
      <c r="Q134" t="inlineStr"/>
    </row>
    <row r="135">
      <c r="A135" t="inlineStr">
        <is>
          <t>TARAPTI UTAMA SAKTI</t>
        </is>
      </c>
      <c r="B135" t="inlineStr">
        <is>
          <t>Kota Adm. Jakarta Selatan</t>
        </is>
      </c>
      <c r="C135" t="inlineStr">
        <is>
          <t>087722048819</t>
        </is>
      </c>
      <c r="D135" t="inlineStr">
        <is>
          <t>taraptiutamasakti@gmail.com</t>
        </is>
      </c>
      <c r="E135" t="inlineStr">
        <is>
          <t>https://lpjk.pu.go.id/search-badan-usaha-detail/Nk9DYS8zRVdPWEVYd0FyRGp4V2VJUT09</t>
        </is>
      </c>
      <c r="F135" t="n">
        <v>3</v>
      </c>
      <c r="G135" t="inlineStr">
        <is>
          <t>BS007, BS008, BS009</t>
        </is>
      </c>
      <c r="H135" t="inlineStr">
        <is>
          <t>6 April 1999</t>
        </is>
      </c>
      <c r="I135" s="2" t="n">
        <v>46284</v>
      </c>
      <c r="J135" t="inlineStr">
        <is>
          <t>Disetujui</t>
        </is>
      </c>
      <c r="K135" t="n">
        <v>60</v>
      </c>
      <c r="L135" t="inlineStr">
        <is>
          <t>19 September 2026</t>
        </is>
      </c>
      <c r="M135" t="inlineStr">
        <is>
          <t>Konstruksi Bangunan Sipil Elektrikal, Konstruksi Bangunan Sipil Telekomunikasi untuk Prasarana Transportasi, Konstruksi Sentral Telekomunikasi</t>
        </is>
      </c>
      <c r="N135" t="inlineStr">
        <is>
          <t>K</t>
        </is>
      </c>
      <c r="O135" t="inlineStr">
        <is>
          <t>20230919</t>
        </is>
      </c>
      <c r="P135" t="inlineStr">
        <is>
          <t>DKI Jakarta</t>
        </is>
      </c>
      <c r="Q135" t="inlineStr"/>
    </row>
    <row r="136">
      <c r="A136" t="inlineStr">
        <is>
          <t>TATA KARYA KONSULTAN</t>
        </is>
      </c>
      <c r="B136" t="inlineStr">
        <is>
          <t>Kota Tangerang</t>
        </is>
      </c>
      <c r="C136" t="inlineStr">
        <is>
          <t>081294632437</t>
        </is>
      </c>
      <c r="D136" t="inlineStr">
        <is>
          <t>tatakaryakonsultan@gmail.com</t>
        </is>
      </c>
      <c r="E136" t="inlineStr">
        <is>
          <t>https://lpjk.pu.go.id/search-badan-usaha-detail/MWxJdHQ1cW1FeE00ZStFcjhBRm5Edz09</t>
        </is>
      </c>
      <c r="F136" t="n">
        <v>1</v>
      </c>
      <c r="G136" t="inlineStr">
        <is>
          <t>RK001</t>
        </is>
      </c>
      <c r="H136" t="inlineStr">
        <is>
          <t>21 Juli 2023</t>
        </is>
      </c>
      <c r="I136" s="2" t="n">
        <v>46284</v>
      </c>
      <c r="J136" t="inlineStr">
        <is>
          <t>Disetujui</t>
        </is>
      </c>
      <c r="K136" t="n">
        <v>60</v>
      </c>
      <c r="L136" t="inlineStr">
        <is>
          <t>19 September 2026</t>
        </is>
      </c>
      <c r="M136" t="inlineStr">
        <is>
          <t>Jasa Rekayasa Konstruksi Bangunan Gedung Hunian dan Non Hunian</t>
        </is>
      </c>
      <c r="N136" t="inlineStr">
        <is>
          <t>K</t>
        </is>
      </c>
      <c r="O136" t="inlineStr">
        <is>
          <t>20230911</t>
        </is>
      </c>
      <c r="P136" t="inlineStr">
        <is>
          <t>Banten</t>
        </is>
      </c>
      <c r="Q136" t="inlineStr"/>
    </row>
    <row r="137">
      <c r="A137" t="inlineStr">
        <is>
          <t>TIARA TEKNIK</t>
        </is>
      </c>
      <c r="B137" t="inlineStr">
        <is>
          <t>Kota Makassar</t>
        </is>
      </c>
      <c r="C137" t="inlineStr">
        <is>
          <t>085397578199</t>
        </is>
      </c>
      <c r="D137" t="inlineStr">
        <is>
          <t>zdavirmuhammad@gmail.com</t>
        </is>
      </c>
      <c r="E137" t="inlineStr">
        <is>
          <t>https://lpjk.pu.go.id/search-badan-usaha-detail/VFFYeGtDV1ZRN1hIQjZKOWw0cEE4UT09</t>
        </is>
      </c>
      <c r="F137" t="n">
        <v>1</v>
      </c>
      <c r="G137" t="inlineStr">
        <is>
          <t>BG002</t>
        </is>
      </c>
      <c r="H137" t="inlineStr">
        <is>
          <t>14 Agustus 2007</t>
        </is>
      </c>
      <c r="I137" s="2" t="n">
        <v>46284</v>
      </c>
      <c r="J137" t="inlineStr">
        <is>
          <t>Pembekuan</t>
        </is>
      </c>
      <c r="K137" t="n">
        <v>60</v>
      </c>
      <c r="L137" t="inlineStr">
        <is>
          <t>19 September 2026</t>
        </is>
      </c>
      <c r="M137" t="inlineStr">
        <is>
          <t>Konstruksi Gedung Perkantoran</t>
        </is>
      </c>
      <c r="N137" t="inlineStr">
        <is>
          <t>M</t>
        </is>
      </c>
      <c r="O137" t="inlineStr">
        <is>
          <t>20230920</t>
        </is>
      </c>
      <c r="P137" t="inlineStr">
        <is>
          <t>Sulawesi Selatan</t>
        </is>
      </c>
      <c r="Q137" t="inlineStr"/>
    </row>
    <row r="138">
      <c r="A138" t="inlineStr">
        <is>
          <t>TIGA MENARA KARYA</t>
        </is>
      </c>
      <c r="B138" t="inlineStr">
        <is>
          <t>Kab. Kaimana</t>
        </is>
      </c>
      <c r="C138" t="inlineStr">
        <is>
          <t>082238494539</t>
        </is>
      </c>
      <c r="D138" t="inlineStr">
        <is>
          <t>tigamenarakarya@gmail.com</t>
        </is>
      </c>
      <c r="E138" t="inlineStr">
        <is>
          <t>https://lpjk.pu.go.id/search-badan-usaha-detail/a24zSVRzNmJ0Q0ozdElYeGhCUXJBTlFEUE1DNCtBN0g0NlZ0RGsvcFdRND0</t>
        </is>
      </c>
      <c r="F138" t="n">
        <v>1</v>
      </c>
      <c r="G138" t="inlineStr">
        <is>
          <t>BS010</t>
        </is>
      </c>
      <c r="H138" t="inlineStr">
        <is>
          <t>22 Juli 2020</t>
        </is>
      </c>
      <c r="I138" s="2" t="n">
        <v>46284</v>
      </c>
      <c r="J138" t="inlineStr">
        <is>
          <t>Disetujui</t>
        </is>
      </c>
      <c r="K138" t="n">
        <v>60</v>
      </c>
      <c r="L138" t="inlineStr">
        <is>
          <t>19 September 2026</t>
        </is>
      </c>
      <c r="M138" t="inlineStr">
        <is>
          <t>Konstruksi Bangunan Prasarana Sumber Daya Air</t>
        </is>
      </c>
      <c r="N138" t="inlineStr">
        <is>
          <t>K</t>
        </is>
      </c>
      <c r="O138" t="inlineStr">
        <is>
          <t>20230920</t>
        </is>
      </c>
      <c r="P138" t="inlineStr">
        <is>
          <t>Papua Barat</t>
        </is>
      </c>
      <c r="Q138" t="inlineStr"/>
    </row>
    <row r="139">
      <c r="A139" t="inlineStr">
        <is>
          <t>TIGA SAUDARA CONTRACTOR</t>
        </is>
      </c>
      <c r="B139" t="inlineStr">
        <is>
          <t>Kota Serang</t>
        </is>
      </c>
      <c r="C139" t="inlineStr">
        <is>
          <t>087871616844</t>
        </is>
      </c>
      <c r="D139" t="inlineStr">
        <is>
          <t>tigasaudaracv11@gmail.com</t>
        </is>
      </c>
      <c r="E139" t="inlineStr">
        <is>
          <t>https://lpjk.pu.go.id/search-badan-usaha-detail/STZtSHhQbkhUc3RyNWg2QUExVVpndz09</t>
        </is>
      </c>
      <c r="F139" t="n">
        <v>3</v>
      </c>
      <c r="G139" t="inlineStr">
        <is>
          <t>BG006, BG009</t>
        </is>
      </c>
      <c r="H139" t="inlineStr">
        <is>
          <t>19 Januari 2023</t>
        </is>
      </c>
      <c r="I139" s="2" t="n">
        <v>46284</v>
      </c>
      <c r="J139" t="inlineStr">
        <is>
          <t>Disetujui</t>
        </is>
      </c>
      <c r="K139" t="n">
        <v>60</v>
      </c>
      <c r="L139" t="inlineStr">
        <is>
          <t>19 September 2026</t>
        </is>
      </c>
      <c r="M139" t="inlineStr">
        <is>
          <t>Konstruksi Gedung Lainnya, Konstruksi Gedung Pendidikan</t>
        </is>
      </c>
      <c r="N139" t="inlineStr">
        <is>
          <t>K</t>
        </is>
      </c>
      <c r="O139" t="inlineStr">
        <is>
          <t>20230912</t>
        </is>
      </c>
      <c r="P139" t="inlineStr">
        <is>
          <t>Banten</t>
        </is>
      </c>
      <c r="Q139" t="inlineStr"/>
    </row>
    <row r="140">
      <c r="A140" t="inlineStr">
        <is>
          <t>TIGA UTAMA</t>
        </is>
      </c>
      <c r="B140" t="inlineStr">
        <is>
          <t>Kab. Indramayu</t>
        </is>
      </c>
      <c r="C140" t="inlineStr">
        <is>
          <t>087828986040</t>
        </is>
      </c>
      <c r="D140" t="inlineStr">
        <is>
          <t>tigautama194@yahoo.com</t>
        </is>
      </c>
      <c r="E140" t="inlineStr">
        <is>
          <t>https://lpjk.pu.go.id/search-badan-usaha-detail/QzkxR3VGMncxcUhQcTNGVUFIYTFUdz09</t>
        </is>
      </c>
      <c r="F140" t="n">
        <v>3</v>
      </c>
      <c r="G140" t="inlineStr">
        <is>
          <t>BS001, BS002, BS004</t>
        </is>
      </c>
      <c r="H140" t="inlineStr">
        <is>
          <t>2 Oktober 2002</t>
        </is>
      </c>
      <c r="I140" s="2" t="n">
        <v>46284</v>
      </c>
      <c r="J140" t="inlineStr">
        <is>
          <t>Disetujui</t>
        </is>
      </c>
      <c r="K140" t="n">
        <v>60</v>
      </c>
      <c r="L140" t="inlineStr">
        <is>
          <t>19 September 2026</t>
        </is>
      </c>
      <c r="M140" t="inlineStr">
        <is>
          <t>Bangunan Sipil Jembatan, Jalan Layang, Fly Over, dan Underpass, Konstruksi Bangunan Sipil Jalan, Konstruksi Jaringan Irigasi dan Drainase</t>
        </is>
      </c>
      <c r="N140" t="inlineStr">
        <is>
          <t>K</t>
        </is>
      </c>
      <c r="O140" t="inlineStr">
        <is>
          <t>20230915</t>
        </is>
      </c>
      <c r="P140" t="inlineStr">
        <is>
          <t>Jawa Barat</t>
        </is>
      </c>
      <c r="Q140" t="inlineStr"/>
    </row>
    <row r="141">
      <c r="A141" t="inlineStr">
        <is>
          <t>TIRTA MULIA</t>
        </is>
      </c>
      <c r="B141" t="inlineStr">
        <is>
          <t>Kab. Banggai Laut</t>
        </is>
      </c>
      <c r="C141" t="inlineStr">
        <is>
          <t>085341463994</t>
        </is>
      </c>
      <c r="D141" t="inlineStr">
        <is>
          <t>tirtamulia.cv@gmail.com</t>
        </is>
      </c>
      <c r="E141" t="inlineStr">
        <is>
          <t>https://lpjk.pu.go.id/search-badan-usaha-detail/SWo0QWY5T2xuWktDbkJzaTBIbmVsdz09</t>
        </is>
      </c>
      <c r="F141" t="n">
        <v>3</v>
      </c>
      <c r="G141" t="inlineStr">
        <is>
          <t>BG004, BG006, BS001</t>
        </is>
      </c>
      <c r="H141" t="inlineStr">
        <is>
          <t>24 Mei 2004</t>
        </is>
      </c>
      <c r="I141" s="2" t="n">
        <v>46284</v>
      </c>
      <c r="J141" t="inlineStr">
        <is>
          <t>Disetujui</t>
        </is>
      </c>
      <c r="K141" t="n">
        <v>60</v>
      </c>
      <c r="L141" t="inlineStr">
        <is>
          <t>19 September 2026</t>
        </is>
      </c>
      <c r="M141" t="inlineStr">
        <is>
          <t>Konstruksi Bangunan Sipil Jalan, Konstruksi Gedung Pendidikan, Konstruksi Gedung Perbelanjaan</t>
        </is>
      </c>
      <c r="N141" t="inlineStr">
        <is>
          <t>K</t>
        </is>
      </c>
      <c r="O141" t="inlineStr">
        <is>
          <t>20230919, 20230920</t>
        </is>
      </c>
      <c r="P141" t="inlineStr">
        <is>
          <t>Sulawesi Tengah</t>
        </is>
      </c>
      <c r="Q141" t="inlineStr"/>
    </row>
    <row r="142">
      <c r="A142" t="inlineStr">
        <is>
          <t>TIRTALAYA PUSAKA KARYA</t>
        </is>
      </c>
      <c r="B142" t="inlineStr">
        <is>
          <t>Kota Serang</t>
        </is>
      </c>
      <c r="C142" t="inlineStr">
        <is>
          <t>081316904883</t>
        </is>
      </c>
      <c r="D142" t="inlineStr">
        <is>
          <t>tirtalayapttirtalaya@gmail.com</t>
        </is>
      </c>
      <c r="E142" t="inlineStr">
        <is>
          <t>https://lpjk.pu.go.id/search-badan-usaha-detail/bm50Y0tidExnQTR0WTgrL3FXc2RQZz09</t>
        </is>
      </c>
      <c r="F142" t="n">
        <v>1</v>
      </c>
      <c r="G142" t="inlineStr">
        <is>
          <t>BG001</t>
        </is>
      </c>
      <c r="H142" t="inlineStr">
        <is>
          <t>9 November 2020</t>
        </is>
      </c>
      <c r="I142" s="2" t="n">
        <v>46284</v>
      </c>
      <c r="J142" t="inlineStr">
        <is>
          <t>Disetujui</t>
        </is>
      </c>
      <c r="K142" t="n">
        <v>60</v>
      </c>
      <c r="L142" t="inlineStr">
        <is>
          <t>19 September 2026</t>
        </is>
      </c>
      <c r="M142" t="inlineStr">
        <is>
          <t>Konstruksi Gedung Hunian</t>
        </is>
      </c>
      <c r="N142" t="inlineStr">
        <is>
          <t>K</t>
        </is>
      </c>
      <c r="O142" t="inlineStr">
        <is>
          <t>20230918</t>
        </is>
      </c>
      <c r="P142" t="inlineStr">
        <is>
          <t>Banten</t>
        </is>
      </c>
      <c r="Q142" t="inlineStr"/>
    </row>
    <row r="143">
      <c r="A143" t="inlineStr">
        <is>
          <t>TRANS INDO NUSA</t>
        </is>
      </c>
      <c r="B143" t="inlineStr">
        <is>
          <t>Kab. Sumenep</t>
        </is>
      </c>
      <c r="C143" t="inlineStr">
        <is>
          <t>082148383883</t>
        </is>
      </c>
      <c r="D143" t="inlineStr">
        <is>
          <t>putraandikaprasetya@gmail.com</t>
        </is>
      </c>
      <c r="E143" t="inlineStr">
        <is>
          <t>https://lpjk.pu.go.id/search-badan-usaha-detail/N1FqcXJ1WkswbVh4Y2NSNXVMY0JrQT09</t>
        </is>
      </c>
      <c r="F143" t="n">
        <v>2</v>
      </c>
      <c r="G143" t="inlineStr">
        <is>
          <t>BG006</t>
        </is>
      </c>
      <c r="H143" t="inlineStr">
        <is>
          <t>28 Juli 2023</t>
        </is>
      </c>
      <c r="I143" s="2" t="n">
        <v>46284</v>
      </c>
      <c r="J143" t="inlineStr">
        <is>
          <t>Disetujui</t>
        </is>
      </c>
      <c r="K143" t="n">
        <v>60</v>
      </c>
      <c r="L143" t="inlineStr">
        <is>
          <t>19 September 2026</t>
        </is>
      </c>
      <c r="M143" t="inlineStr">
        <is>
          <t>Konstruksi Gedung Pendidikan</t>
        </is>
      </c>
      <c r="N143" t="inlineStr">
        <is>
          <t>K</t>
        </is>
      </c>
      <c r="O143" t="inlineStr">
        <is>
          <t>20230914</t>
        </is>
      </c>
      <c r="P143" t="inlineStr">
        <is>
          <t>Jawa Timur</t>
        </is>
      </c>
      <c r="Q143" t="inlineStr"/>
    </row>
    <row r="144">
      <c r="A144" t="inlineStr">
        <is>
          <t>TRI ROYAL KONSTRUKSI</t>
        </is>
      </c>
      <c r="B144" t="inlineStr">
        <is>
          <t>Kota Bandar Lampung</t>
        </is>
      </c>
      <c r="C144" t="inlineStr">
        <is>
          <t>082281193222</t>
        </is>
      </c>
      <c r="D144" t="inlineStr">
        <is>
          <t>cv.triroyal@gmail.com</t>
        </is>
      </c>
      <c r="E144" t="inlineStr">
        <is>
          <t>https://lpjk.pu.go.id/search-badan-usaha-detail/N01mRWhxQ0NRRWlheTJiV0Q2WmhtQT09</t>
        </is>
      </c>
      <c r="F144" t="n">
        <v>1</v>
      </c>
      <c r="G144" t="inlineStr">
        <is>
          <t>BG005</t>
        </is>
      </c>
      <c r="H144" t="inlineStr">
        <is>
          <t>10 April 2023</t>
        </is>
      </c>
      <c r="I144" s="2" t="n">
        <v>46284</v>
      </c>
      <c r="J144" t="inlineStr">
        <is>
          <t>Disetujui</t>
        </is>
      </c>
      <c r="K144" t="n">
        <v>60</v>
      </c>
      <c r="L144" t="inlineStr">
        <is>
          <t>19 September 2026</t>
        </is>
      </c>
      <c r="M144" t="inlineStr">
        <is>
          <t>Konstruksi Gedung Kesehatan</t>
        </is>
      </c>
      <c r="N144" t="inlineStr">
        <is>
          <t>K</t>
        </is>
      </c>
      <c r="O144" t="inlineStr">
        <is>
          <t>20230916</t>
        </is>
      </c>
      <c r="P144" t="inlineStr">
        <is>
          <t>Lampung</t>
        </is>
      </c>
      <c r="Q144" t="inlineStr"/>
    </row>
    <row r="145">
      <c r="A145" t="inlineStr">
        <is>
          <t>TRIMARCO</t>
        </is>
      </c>
      <c r="B145" t="inlineStr">
        <is>
          <t>Kab. Ketapang</t>
        </is>
      </c>
      <c r="C145" t="inlineStr">
        <is>
          <t>085332706987</t>
        </is>
      </c>
      <c r="D145" t="inlineStr">
        <is>
          <t>trimarcomach099@gmail.com</t>
        </is>
      </c>
      <c r="E145" t="inlineStr">
        <is>
          <t>https://lpjk.pu.go.id/search-badan-usaha-detail/R1F2ZmdQbnJ1TlA0RUNTRG1sZjNUQT09</t>
        </is>
      </c>
      <c r="F145" t="n">
        <v>1</v>
      </c>
      <c r="G145" t="inlineStr">
        <is>
          <t>BS004</t>
        </is>
      </c>
      <c r="H145" t="inlineStr">
        <is>
          <t>6 Januari 1982</t>
        </is>
      </c>
      <c r="I145" s="2" t="n">
        <v>46284</v>
      </c>
      <c r="J145" t="inlineStr">
        <is>
          <t>Pencabutan</t>
        </is>
      </c>
      <c r="K145" t="n">
        <v>60</v>
      </c>
      <c r="L145" t="inlineStr">
        <is>
          <t>19 September 2026</t>
        </is>
      </c>
      <c r="M145" t="inlineStr">
        <is>
          <t>Konstruksi Jaringan Irigasi dan Drainase</t>
        </is>
      </c>
      <c r="N145" t="inlineStr">
        <is>
          <t>K</t>
        </is>
      </c>
      <c r="O145" t="inlineStr">
        <is>
          <t>20230920</t>
        </is>
      </c>
      <c r="P145" t="inlineStr">
        <is>
          <t>Kalimantan Barat</t>
        </is>
      </c>
      <c r="Q145" t="inlineStr"/>
    </row>
    <row r="146">
      <c r="A146" t="inlineStr">
        <is>
          <t>TRITUNGGAL TERANG BERSAMA</t>
        </is>
      </c>
      <c r="B146" t="inlineStr">
        <is>
          <t>Kab. Tangerang</t>
        </is>
      </c>
      <c r="C146" t="inlineStr">
        <is>
          <t>082111277796</t>
        </is>
      </c>
      <c r="D146" t="inlineStr">
        <is>
          <t>tritunggalterangbersama@gmail.com</t>
        </is>
      </c>
      <c r="E146" t="inlineStr">
        <is>
          <t>https://lpjk.pu.go.id/search-badan-usaha-detail/K21PbEJ2OFFKaHRXZ1V6MzJPSXFuZz09</t>
        </is>
      </c>
      <c r="F146" t="n">
        <v>1</v>
      </c>
      <c r="G146" t="inlineStr">
        <is>
          <t>BG002</t>
        </is>
      </c>
      <c r="H146" t="inlineStr">
        <is>
          <t>1 September 2023</t>
        </is>
      </c>
      <c r="I146" s="2" t="n">
        <v>46284</v>
      </c>
      <c r="J146" t="inlineStr">
        <is>
          <t>Pencabutan</t>
        </is>
      </c>
      <c r="K146" t="n">
        <v>60</v>
      </c>
      <c r="L146" t="inlineStr">
        <is>
          <t>19 September 2026</t>
        </is>
      </c>
      <c r="M146" t="inlineStr">
        <is>
          <t>Konstruksi Gedung Perkantoran</t>
        </is>
      </c>
      <c r="N146" t="inlineStr">
        <is>
          <t>K</t>
        </is>
      </c>
      <c r="O146" t="inlineStr">
        <is>
          <t>20230919</t>
        </is>
      </c>
      <c r="P146" t="inlineStr">
        <is>
          <t>Banten</t>
        </is>
      </c>
      <c r="Q146" t="inlineStr"/>
    </row>
    <row r="147">
      <c r="A147" t="inlineStr">
        <is>
          <t>UTAMA KARYA</t>
        </is>
      </c>
      <c r="B147" t="inlineStr">
        <is>
          <t>Kab. Klaten</t>
        </is>
      </c>
      <c r="C147" t="inlineStr">
        <is>
          <t>082322220012</t>
        </is>
      </c>
      <c r="D147" t="inlineStr">
        <is>
          <t>surat_utamakarya@yahoo.co.id</t>
        </is>
      </c>
      <c r="E147" t="inlineStr">
        <is>
          <t>https://lpjk.pu.go.id/search-badan-usaha-detail/T25xR1czMHRrMXRNQlZxaVBxcHlCQT09</t>
        </is>
      </c>
      <c r="F147" t="n">
        <v>1</v>
      </c>
      <c r="G147" t="inlineStr">
        <is>
          <t>BG006</t>
        </is>
      </c>
      <c r="H147" t="inlineStr">
        <is>
          <t>8 Oktober 1990</t>
        </is>
      </c>
      <c r="I147" s="2" t="n">
        <v>46284</v>
      </c>
      <c r="J147" t="inlineStr">
        <is>
          <t>Disetujui</t>
        </is>
      </c>
      <c r="K147" t="n">
        <v>60</v>
      </c>
      <c r="L147" t="inlineStr">
        <is>
          <t>19 September 2026</t>
        </is>
      </c>
      <c r="M147" t="inlineStr">
        <is>
          <t>Konstruksi Gedung Pendidikan</t>
        </is>
      </c>
      <c r="N147" t="inlineStr">
        <is>
          <t>K</t>
        </is>
      </c>
      <c r="O147" t="inlineStr">
        <is>
          <t>20230914</t>
        </is>
      </c>
      <c r="P147" t="inlineStr">
        <is>
          <t>Jawa Tengah</t>
        </is>
      </c>
      <c r="Q147" t="inlineStr"/>
    </row>
    <row r="148">
      <c r="A148" t="inlineStr">
        <is>
          <t>UTAMA MAJU BERSAMA</t>
        </is>
      </c>
      <c r="B148" t="inlineStr">
        <is>
          <t>Kab. Magelang</t>
        </is>
      </c>
      <c r="C148" t="inlineStr">
        <is>
          <t>081802615414</t>
        </is>
      </c>
      <c r="D148" t="inlineStr">
        <is>
          <t>utamamajubersama.cv@gmail.com</t>
        </is>
      </c>
      <c r="E148" t="inlineStr">
        <is>
          <t>https://lpjk.pu.go.id/search-badan-usaha-detail/UDhUVHhpdnA0dDRUNVBjWmtXU0thZz09</t>
        </is>
      </c>
      <c r="F148" t="n">
        <v>1</v>
      </c>
      <c r="G148" t="inlineStr">
        <is>
          <t>PL005</t>
        </is>
      </c>
      <c r="H148" t="inlineStr">
        <is>
          <t>29 April 2019</t>
        </is>
      </c>
      <c r="I148" s="2" t="n">
        <v>46284</v>
      </c>
      <c r="J148" t="inlineStr">
        <is>
          <t>Pembekuan</t>
        </is>
      </c>
      <c r="K148" t="n">
        <v>60</v>
      </c>
      <c r="L148" t="inlineStr">
        <is>
          <t>19 September 2026</t>
        </is>
      </c>
      <c r="M148" t="inlineStr">
        <is>
          <t>Pembuatan/Pengeboran Sumur Air Tanah</t>
        </is>
      </c>
      <c r="N148" t="inlineStr">
        <is>
          <t>Spesialis</t>
        </is>
      </c>
      <c r="O148" t="inlineStr">
        <is>
          <t>20230919</t>
        </is>
      </c>
      <c r="P148" t="inlineStr">
        <is>
          <t>Jawa Tengah</t>
        </is>
      </c>
      <c r="Q148" t="inlineStr"/>
    </row>
    <row r="149">
      <c r="A149" t="inlineStr">
        <is>
          <t>WANDANI BUMI KONSTRUKSI</t>
        </is>
      </c>
      <c r="B149" t="inlineStr">
        <is>
          <t>Kab. Sidoarjo</t>
        </is>
      </c>
      <c r="C149" t="inlineStr">
        <is>
          <t>085186001333</t>
        </is>
      </c>
      <c r="D149" t="inlineStr">
        <is>
          <t>ptwandani@gmail.com</t>
        </is>
      </c>
      <c r="E149" t="inlineStr">
        <is>
          <t>https://lpjk.pu.go.id/search-badan-usaha-detail/aHNUQXR4T201T1RIWUw4YW8vVUdydz09</t>
        </is>
      </c>
      <c r="F149" t="n">
        <v>2</v>
      </c>
      <c r="G149" t="inlineStr">
        <is>
          <t>BG002</t>
        </is>
      </c>
      <c r="H149" t="inlineStr">
        <is>
          <t>31 Mei 2023</t>
        </is>
      </c>
      <c r="I149" s="2" t="n">
        <v>46284</v>
      </c>
      <c r="J149" t="inlineStr">
        <is>
          <t>Disetujui</t>
        </is>
      </c>
      <c r="K149" t="n">
        <v>60</v>
      </c>
      <c r="L149" t="inlineStr">
        <is>
          <t>19 September 2026</t>
        </is>
      </c>
      <c r="M149" t="inlineStr">
        <is>
          <t>Konstruksi Gedung Perkantoran</t>
        </is>
      </c>
      <c r="N149" t="inlineStr">
        <is>
          <t>K</t>
        </is>
      </c>
      <c r="O149" t="inlineStr">
        <is>
          <t>20230919</t>
        </is>
      </c>
      <c r="P149" t="inlineStr">
        <is>
          <t>Jawa Timur</t>
        </is>
      </c>
      <c r="Q149" t="inlineStr"/>
    </row>
    <row r="150">
      <c r="A150" t="inlineStr">
        <is>
          <t>WIJAYA</t>
        </is>
      </c>
      <c r="B150" t="inlineStr">
        <is>
          <t>Kota Pasuruan</t>
        </is>
      </c>
      <c r="C150" t="inlineStr">
        <is>
          <t>0343426459</t>
        </is>
      </c>
      <c r="D150" t="inlineStr">
        <is>
          <t>cv.wijaya_64@yahoo.com</t>
        </is>
      </c>
      <c r="E150" t="inlineStr">
        <is>
          <t>https://lpjk.pu.go.id/search-badan-usaha-detail/MXhhQWhidmt6TS9jNWpZTWpleFZJZz09</t>
        </is>
      </c>
      <c r="F150" t="n">
        <v>1</v>
      </c>
      <c r="G150" t="inlineStr">
        <is>
          <t>BG005</t>
        </is>
      </c>
      <c r="H150" t="inlineStr">
        <is>
          <t>22 Juli 1981</t>
        </is>
      </c>
      <c r="I150" s="2" t="n">
        <v>46284</v>
      </c>
      <c r="J150" t="inlineStr">
        <is>
          <t>Disetujui</t>
        </is>
      </c>
      <c r="K150" t="n">
        <v>60</v>
      </c>
      <c r="L150" t="inlineStr">
        <is>
          <t>19 September 2026</t>
        </is>
      </c>
      <c r="M150" t="inlineStr">
        <is>
          <t>Konstruksi Gedung Kesehatan</t>
        </is>
      </c>
      <c r="N150" t="inlineStr">
        <is>
          <t>K</t>
        </is>
      </c>
      <c r="O150" t="inlineStr">
        <is>
          <t>20230905</t>
        </is>
      </c>
      <c r="P150" t="inlineStr">
        <is>
          <t>Jawa Timur</t>
        </is>
      </c>
      <c r="Q1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1" customWidth="1" min="1" max="1"/>
    <col width="25" customWidth="1" min="2" max="2"/>
    <col width="16" customWidth="1" min="3" max="3"/>
    <col width="39" customWidth="1" min="4" max="4"/>
    <col width="50" customWidth="1" min="5" max="5"/>
    <col width="18" customWidth="1" min="6" max="6"/>
    <col width="28"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2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RIZKY LIMA SAUDARA</t>
        </is>
      </c>
      <c r="B2" t="inlineStr">
        <is>
          <t>Kota Depok</t>
        </is>
      </c>
      <c r="C2" t="inlineStr">
        <is>
          <t>081318291229</t>
        </is>
      </c>
      <c r="D2" t="inlineStr">
        <is>
          <t>rizky5saudara@gmail.com</t>
        </is>
      </c>
      <c r="E2" t="inlineStr">
        <is>
          <t>https://lpjk.pu.go.id/search-badan-usaha-detail/Ykw4ekpHS2FiTjVVVEtLUDZFTHMxUT09</t>
        </is>
      </c>
      <c r="F2" t="n">
        <v>1</v>
      </c>
      <c r="G2" t="inlineStr">
        <is>
          <t>BS004</t>
        </is>
      </c>
      <c r="H2" t="inlineStr">
        <is>
          <t>3 Maret 2016</t>
        </is>
      </c>
      <c r="I2" s="2" t="n">
        <v>46254</v>
      </c>
      <c r="J2" t="inlineStr">
        <is>
          <t>Disetujui</t>
        </is>
      </c>
      <c r="K2" t="n">
        <v>30</v>
      </c>
      <c r="L2" t="inlineStr">
        <is>
          <t>20 Agustus 2026</t>
        </is>
      </c>
      <c r="M2" t="inlineStr">
        <is>
          <t>Konstruksi Jaringan Irigasi dan Drainase</t>
        </is>
      </c>
      <c r="N2" t="inlineStr">
        <is>
          <t>K</t>
        </is>
      </c>
      <c r="O2" t="inlineStr">
        <is>
          <t>20230816</t>
        </is>
      </c>
      <c r="P2" t="inlineStr">
        <is>
          <t>Jawa Barat</t>
        </is>
      </c>
      <c r="Q2" s="3">
        <f>HYPERLINK("https://wa.me/6281318291229?text=*[Pengingat Masa Berlaku SBU RIZKY LIMA SAUDARA]*%0A%0AYth. Pimpinan RIZKY LIMA SAUDARA,%0AMohon izin menginformasikan status SBU Anda:%0A%0A📄 SBU: BS004%0A📅 Expired: 20 Agustus 2026 (30 Hari Lagi)%0A%0AKami tim PT. ESDEA Assistance Management siap men-support proses perpanjangan segera agar administrasi proyek tidak terhambat%0A%0AApakah boleh saya bantu siapkan estimasi biaya dan waktu pengerjaannya?.", "Hubungi")</f>
        <v/>
      </c>
    </row>
    <row r="3">
      <c r="A3" t="inlineStr">
        <is>
          <t>TARA BINTANG PERMAI</t>
        </is>
      </c>
      <c r="B3" t="inlineStr">
        <is>
          <t>Kota Adm. Jakarta Timur</t>
        </is>
      </c>
      <c r="C3" t="inlineStr">
        <is>
          <t>081383123631</t>
        </is>
      </c>
      <c r="D3" t="inlineStr">
        <is>
          <t>pt.tarabintangpermai@gmail.com</t>
        </is>
      </c>
      <c r="E3" t="inlineStr">
        <is>
          <t>https://lpjk.pu.go.id/search-badan-usaha-detail/UkhJbldJREM3Y0REZjFQZm1UVCsvdz09</t>
        </is>
      </c>
      <c r="F3" t="n">
        <v>1</v>
      </c>
      <c r="G3" t="inlineStr">
        <is>
          <t>BS010</t>
        </is>
      </c>
      <c r="H3" t="inlineStr">
        <is>
          <t>9 Februari 2016</t>
        </is>
      </c>
      <c r="I3" s="2" t="n">
        <v>46254</v>
      </c>
      <c r="J3" t="inlineStr">
        <is>
          <t>Disetujui</t>
        </is>
      </c>
      <c r="K3" t="n">
        <v>30</v>
      </c>
      <c r="L3" t="inlineStr">
        <is>
          <t>20 Agustus 2026</t>
        </is>
      </c>
      <c r="M3" t="inlineStr">
        <is>
          <t>Konstruksi Bangunan Prasarana Sumber Daya Air</t>
        </is>
      </c>
      <c r="N3" t="inlineStr">
        <is>
          <t>K</t>
        </is>
      </c>
      <c r="O3" t="inlineStr">
        <is>
          <t>20230609</t>
        </is>
      </c>
      <c r="P3" t="inlineStr">
        <is>
          <t>DKI Jakarta</t>
        </is>
      </c>
      <c r="Q3" s="3">
        <f>HYPERLINK("https://wa.me/6281383123631?text=*[Pengingat Masa Berlaku SBU TARA BINTANG PERMAI]*%0A%0AYth. Pimpinan TARA BINTANG PERMAI,%0AMohon izin menginformasikan status SBU Anda:%0A%0A📄 SBU: BS010%0A📅 Expired: 20 Agustus 2026 (30 Hari Lagi)%0A%0AKami tim PT. ESDEA Assistance Management siap men-support proses perpanjangan segera agar administrasi proyek tidak terhambat%0A%0AApakah boleh saya bantu siapkan estimasi biaya dan waktu pengerjaannya?.", "Hubungi")</f>
        <v/>
      </c>
    </row>
    <row r="4">
      <c r="A4" t="inlineStr">
        <is>
          <t>ALAM ANGESTA</t>
        </is>
      </c>
      <c r="B4" t="inlineStr">
        <is>
          <t>Kota Bandung</t>
        </is>
      </c>
      <c r="C4" t="inlineStr">
        <is>
          <t>081220012288</t>
        </is>
      </c>
      <c r="D4" t="inlineStr">
        <is>
          <t>alamangesta@gmail.com</t>
        </is>
      </c>
      <c r="E4" t="inlineStr">
        <is>
          <t>https://lpjk.pu.go.id/search-badan-usaha-detail/eXkxVHYxV2JyRHVoN2VaVFNsTkxidz09</t>
        </is>
      </c>
      <c r="F4" t="n">
        <v>2</v>
      </c>
      <c r="G4" t="inlineStr">
        <is>
          <t>BS001, BS004</t>
        </is>
      </c>
      <c r="H4" t="inlineStr">
        <is>
          <t>4 Februari 2025</t>
        </is>
      </c>
      <c r="I4" s="2" t="n">
        <v>46254</v>
      </c>
      <c r="J4" t="inlineStr">
        <is>
          <t>Disetujui</t>
        </is>
      </c>
      <c r="K4" t="n">
        <v>30</v>
      </c>
      <c r="L4" t="inlineStr">
        <is>
          <t>20 Agustus 2026</t>
        </is>
      </c>
      <c r="M4" t="inlineStr">
        <is>
          <t>Konstruksi Bangunan Sipil Jalan, Konstruksi Jaringan Irigasi dan Drainase</t>
        </is>
      </c>
      <c r="N4" t="inlineStr">
        <is>
          <t>K</t>
        </is>
      </c>
      <c r="O4" t="inlineStr">
        <is>
          <t>20230814</t>
        </is>
      </c>
      <c r="P4" t="inlineStr">
        <is>
          <t>Jawa Barat</t>
        </is>
      </c>
      <c r="Q4" t="inlineStr"/>
    </row>
    <row r="5">
      <c r="A5" t="inlineStr">
        <is>
          <t>BADIA KARYA</t>
        </is>
      </c>
      <c r="B5" t="inlineStr">
        <is>
          <t>Kab. Pangandaran</t>
        </is>
      </c>
      <c r="C5" t="inlineStr">
        <is>
          <t>085280391199</t>
        </is>
      </c>
      <c r="D5" t="inlineStr">
        <is>
          <t>cv.badiakarya91@gmail.com</t>
        </is>
      </c>
      <c r="E5" t="inlineStr">
        <is>
          <t>https://lpjk.pu.go.id/search-badan-usaha-detail/c1Jwc25tY2dzempEREthUjFOMzIrdz09</t>
        </is>
      </c>
      <c r="F5" t="n">
        <v>1</v>
      </c>
      <c r="G5" t="inlineStr">
        <is>
          <t>BS012</t>
        </is>
      </c>
      <c r="H5" t="inlineStr">
        <is>
          <t>10 Februari 2012</t>
        </is>
      </c>
      <c r="I5" s="2" t="n">
        <v>46254</v>
      </c>
      <c r="J5" t="inlineStr">
        <is>
          <t>Disetujui</t>
        </is>
      </c>
      <c r="K5" t="n">
        <v>30</v>
      </c>
      <c r="L5" t="inlineStr">
        <is>
          <t>20 Agustus 2026</t>
        </is>
      </c>
      <c r="M5" t="inlineStr">
        <is>
          <t>Konstruksi Bangunan Pelabuhan Perikanan</t>
        </is>
      </c>
      <c r="N5" t="inlineStr">
        <is>
          <t>K</t>
        </is>
      </c>
      <c r="O5" t="inlineStr">
        <is>
          <t>20230814</t>
        </is>
      </c>
      <c r="P5" t="inlineStr">
        <is>
          <t>Jawa Barat</t>
        </is>
      </c>
      <c r="Q5" t="inlineStr"/>
    </row>
    <row r="6">
      <c r="A6" t="inlineStr">
        <is>
          <t>BHAKTI NUSA DEVELOPMENT</t>
        </is>
      </c>
      <c r="B6" t="inlineStr">
        <is>
          <t>Kota Bengkulu</t>
        </is>
      </c>
      <c r="C6" t="inlineStr">
        <is>
          <t>0</t>
        </is>
      </c>
      <c r="D6" t="inlineStr">
        <is>
          <t>bnd.050107@gmail.com</t>
        </is>
      </c>
      <c r="E6" t="inlineStr">
        <is>
          <t>https://lpjk.pu.go.id/search-badan-usaha-detail/c2xCWXprR0VBQzBIbkhLV0V6MEV3dz09</t>
        </is>
      </c>
      <c r="F6" t="n">
        <v>1</v>
      </c>
      <c r="G6" t="inlineStr">
        <is>
          <t>BG001</t>
        </is>
      </c>
      <c r="H6" t="inlineStr">
        <is>
          <t>5 Januari 2007</t>
        </is>
      </c>
      <c r="I6" s="2" t="n">
        <v>46254</v>
      </c>
      <c r="J6" t="inlineStr">
        <is>
          <t>Disetujui</t>
        </is>
      </c>
      <c r="K6" t="n">
        <v>30</v>
      </c>
      <c r="L6" t="inlineStr">
        <is>
          <t>20 Agustus 2026</t>
        </is>
      </c>
      <c r="M6" t="inlineStr">
        <is>
          <t>Konstruksi Gedung Hunian</t>
        </is>
      </c>
      <c r="N6" t="inlineStr">
        <is>
          <t>K</t>
        </is>
      </c>
      <c r="O6" t="inlineStr">
        <is>
          <t>20230613</t>
        </is>
      </c>
      <c r="P6" t="inlineStr">
        <is>
          <t>Bengkulu</t>
        </is>
      </c>
      <c r="Q6" t="inlineStr"/>
    </row>
    <row r="7">
      <c r="A7" t="inlineStr">
        <is>
          <t>CAHAYA CENDRAWASIH MANDIRI</t>
        </is>
      </c>
      <c r="B7" t="inlineStr">
        <is>
          <t>Kota Sorong</t>
        </is>
      </c>
      <c r="C7" t="inlineStr">
        <is>
          <t>081344996666</t>
        </is>
      </c>
      <c r="D7" t="inlineStr">
        <is>
          <t>cvcahayacendrawasihmandiri@gmail.coM</t>
        </is>
      </c>
      <c r="E7" t="inlineStr">
        <is>
          <t>https://lpjk.pu.go.id/search-badan-usaha-detail/UTdwRzlGZnh4cldRQkNnSEZBR3g3QT09</t>
        </is>
      </c>
      <c r="F7" t="n">
        <v>1</v>
      </c>
      <c r="G7" t="inlineStr">
        <is>
          <t>BS001</t>
        </is>
      </c>
      <c r="H7" t="inlineStr">
        <is>
          <t>13 Juni 2023</t>
        </is>
      </c>
      <c r="I7" s="2" t="n">
        <v>46254</v>
      </c>
      <c r="J7" t="inlineStr">
        <is>
          <t>Pencabutan</t>
        </is>
      </c>
      <c r="K7" t="n">
        <v>30</v>
      </c>
      <c r="L7" t="inlineStr">
        <is>
          <t>20 Agustus 2026</t>
        </is>
      </c>
      <c r="M7" t="inlineStr">
        <is>
          <t>Konstruksi Bangunan Sipil Jalan</t>
        </is>
      </c>
      <c r="N7" t="inlineStr">
        <is>
          <t>K</t>
        </is>
      </c>
      <c r="O7" t="inlineStr">
        <is>
          <t>20230815</t>
        </is>
      </c>
      <c r="P7" t="inlineStr">
        <is>
          <t>Papua Barat</t>
        </is>
      </c>
      <c r="Q7" t="inlineStr"/>
    </row>
    <row r="8">
      <c r="A8" t="inlineStr">
        <is>
          <t>CENDANA INDAH</t>
        </is>
      </c>
      <c r="B8" t="inlineStr">
        <is>
          <t>Kab. Sampang</t>
        </is>
      </c>
      <c r="C8" t="inlineStr">
        <is>
          <t>081949862346</t>
        </is>
      </c>
      <c r="D8" t="inlineStr">
        <is>
          <t>cendana.indah_cv@yahoo.com</t>
        </is>
      </c>
      <c r="E8" t="inlineStr">
        <is>
          <t>https://lpjk.pu.go.id/search-badan-usaha-detail/SDRHY2l0VDZLMXN0L1BNZUxXMWdpTENGM2x6Z0lEZXovblVzTmlDZFUxbz0</t>
        </is>
      </c>
      <c r="F8" t="n">
        <v>2</v>
      </c>
      <c r="G8" t="inlineStr">
        <is>
          <t>BG005, BG009</t>
        </is>
      </c>
      <c r="H8" t="inlineStr">
        <is>
          <t>2 April 2026</t>
        </is>
      </c>
      <c r="I8" s="2" t="n">
        <v>46254</v>
      </c>
      <c r="J8" t="inlineStr">
        <is>
          <t>Disetujui</t>
        </is>
      </c>
      <c r="K8" t="n">
        <v>30</v>
      </c>
      <c r="L8" t="inlineStr">
        <is>
          <t>20 Agustus 2026</t>
        </is>
      </c>
      <c r="M8" t="inlineStr">
        <is>
          <t>Konstruksi Gedung Kesehatan, Konstruksi Gedung Lainnya</t>
        </is>
      </c>
      <c r="N8" t="inlineStr">
        <is>
          <t>K</t>
        </is>
      </c>
      <c r="O8" t="inlineStr">
        <is>
          <t>20230814, 20230815</t>
        </is>
      </c>
      <c r="P8" t="inlineStr">
        <is>
          <t>Jawa Timur</t>
        </is>
      </c>
      <c r="Q8" t="inlineStr"/>
    </row>
    <row r="9">
      <c r="A9" t="inlineStr">
        <is>
          <t>CITRA TRIDAYA</t>
        </is>
      </c>
      <c r="B9" t="inlineStr">
        <is>
          <t>Kab. Purworejo</t>
        </is>
      </c>
      <c r="C9" t="inlineStr">
        <is>
          <t>085292288999</t>
        </is>
      </c>
      <c r="D9" t="inlineStr">
        <is>
          <t>citratridaya@gmail.com</t>
        </is>
      </c>
      <c r="E9" t="inlineStr">
        <is>
          <t>https://lpjk.pu.go.id/search-badan-usaha-detail/MzVpdTc4WkxubXNRN25CR05VVlVNQT09</t>
        </is>
      </c>
      <c r="F9" t="n">
        <v>1</v>
      </c>
      <c r="G9" t="inlineStr">
        <is>
          <t>BG009</t>
        </is>
      </c>
      <c r="H9" t="inlineStr">
        <is>
          <t>7 Agustus 2008</t>
        </is>
      </c>
      <c r="I9" s="2" t="n">
        <v>46254</v>
      </c>
      <c r="J9" t="inlineStr">
        <is>
          <t>Disetujui</t>
        </is>
      </c>
      <c r="K9" t="n">
        <v>30</v>
      </c>
      <c r="L9" t="inlineStr">
        <is>
          <t>20 Agustus 2026</t>
        </is>
      </c>
      <c r="M9" t="inlineStr">
        <is>
          <t>Konstruksi Gedung Lainnya</t>
        </is>
      </c>
      <c r="N9" t="inlineStr">
        <is>
          <t>K</t>
        </is>
      </c>
      <c r="O9" t="inlineStr">
        <is>
          <t>20230817</t>
        </is>
      </c>
      <c r="P9" t="inlineStr">
        <is>
          <t>Jawa Tengah</t>
        </is>
      </c>
      <c r="Q9" t="inlineStr"/>
    </row>
    <row r="10">
      <c r="A10" t="inlineStr">
        <is>
          <t>DEVINA ANUGERAH SUMBERTAMA</t>
        </is>
      </c>
      <c r="B10" t="inlineStr">
        <is>
          <t>Kab. Sumbawa Barat</t>
        </is>
      </c>
      <c r="C10" t="inlineStr">
        <is>
          <t>087847379056</t>
        </is>
      </c>
      <c r="D10" t="inlineStr">
        <is>
          <t>pt.devinaanugerahsumbertama@gmail.com</t>
        </is>
      </c>
      <c r="E10" t="inlineStr">
        <is>
          <t>https://lpjk.pu.go.id/search-badan-usaha-detail/Nkd0blVOUHU5bmVhSVU3a1ZNaDdLQT09</t>
        </is>
      </c>
      <c r="F10" t="n">
        <v>1</v>
      </c>
      <c r="G10" t="inlineStr">
        <is>
          <t>BG004</t>
        </is>
      </c>
      <c r="H10" t="inlineStr">
        <is>
          <t>9 November 2022</t>
        </is>
      </c>
      <c r="I10" s="2" t="n">
        <v>46254</v>
      </c>
      <c r="J10" t="inlineStr">
        <is>
          <t>Disetujui</t>
        </is>
      </c>
      <c r="K10" t="n">
        <v>30</v>
      </c>
      <c r="L10" t="inlineStr">
        <is>
          <t>20 Agustus 2026</t>
        </is>
      </c>
      <c r="M10" t="inlineStr">
        <is>
          <t>Konstruksi Gedung Perbelanjaan</t>
        </is>
      </c>
      <c r="N10" t="inlineStr">
        <is>
          <t>K</t>
        </is>
      </c>
      <c r="O10" t="inlineStr">
        <is>
          <t>20230814</t>
        </is>
      </c>
      <c r="P10" t="inlineStr">
        <is>
          <t>Nusa Tenggara Barat</t>
        </is>
      </c>
      <c r="Q10" t="inlineStr"/>
    </row>
    <row r="11">
      <c r="A11" t="inlineStr">
        <is>
          <t>DUNIA INDAH JAYA</t>
        </is>
      </c>
      <c r="B11" t="inlineStr">
        <is>
          <t>Kab. Sukoharjo</t>
        </is>
      </c>
      <c r="C11" t="inlineStr">
        <is>
          <t>085725061175</t>
        </is>
      </c>
      <c r="D11" t="inlineStr">
        <is>
          <t>duniaindahjaya1@gmail.com</t>
        </is>
      </c>
      <c r="E11" t="inlineStr">
        <is>
          <t>https://lpjk.pu.go.id/search-badan-usaha-detail/c2JCNStLSVNtZjV4MERwZThBNU9qUT09</t>
        </is>
      </c>
      <c r="F11" t="n">
        <v>1</v>
      </c>
      <c r="G11" t="inlineStr">
        <is>
          <t>BS001</t>
        </is>
      </c>
      <c r="H11" t="inlineStr">
        <is>
          <t>18 Januari 2023</t>
        </is>
      </c>
      <c r="I11" s="2" t="n">
        <v>46254</v>
      </c>
      <c r="J11" t="inlineStr">
        <is>
          <t>Disetujui</t>
        </is>
      </c>
      <c r="K11" t="n">
        <v>30</v>
      </c>
      <c r="L11" t="inlineStr">
        <is>
          <t>20 Agustus 2026</t>
        </is>
      </c>
      <c r="M11" t="inlineStr">
        <is>
          <t>Konstruksi Bangunan Sipil Jalan</t>
        </is>
      </c>
      <c r="N11" t="inlineStr">
        <is>
          <t>K</t>
        </is>
      </c>
      <c r="O11" t="inlineStr">
        <is>
          <t>20230813</t>
        </is>
      </c>
      <c r="P11" t="inlineStr">
        <is>
          <t>Jawa Tengah</t>
        </is>
      </c>
      <c r="Q11" t="inlineStr"/>
    </row>
    <row r="12">
      <c r="A12" t="inlineStr">
        <is>
          <t>ERINA JAYA 1</t>
        </is>
      </c>
      <c r="B12" t="inlineStr">
        <is>
          <t>Kab. Sukabumi</t>
        </is>
      </c>
      <c r="C12" t="inlineStr">
        <is>
          <t>0266229641</t>
        </is>
      </c>
      <c r="D12" t="inlineStr">
        <is>
          <t>erinajaya1@gmail.com</t>
        </is>
      </c>
      <c r="E12" t="inlineStr">
        <is>
          <t>https://lpjk.pu.go.id/search-badan-usaha-detail/QWFsS1h5VTRybzczblllYWw3WHNNQT09</t>
        </is>
      </c>
      <c r="F12" t="n">
        <v>2</v>
      </c>
      <c r="G12" t="inlineStr">
        <is>
          <t>BG005, BS004</t>
        </is>
      </c>
      <c r="H12" t="inlineStr">
        <is>
          <t>11 Juli 1978</t>
        </is>
      </c>
      <c r="I12" s="2" t="n">
        <v>46254</v>
      </c>
      <c r="J12" t="inlineStr">
        <is>
          <t>Pencabutan</t>
        </is>
      </c>
      <c r="K12" t="n">
        <v>30</v>
      </c>
      <c r="L12" t="inlineStr">
        <is>
          <t>20 Agustus 2026</t>
        </is>
      </c>
      <c r="M12" t="inlineStr">
        <is>
          <t>Konstruksi Gedung Kesehatan, Konstruksi Jaringan Irigasi dan Drainase</t>
        </is>
      </c>
      <c r="N12" t="inlineStr">
        <is>
          <t>K</t>
        </is>
      </c>
      <c r="O12" t="inlineStr">
        <is>
          <t>20230810, 20230818</t>
        </is>
      </c>
      <c r="P12" t="inlineStr">
        <is>
          <t>Jawa Barat</t>
        </is>
      </c>
      <c r="Q12" t="inlineStr"/>
    </row>
    <row r="13">
      <c r="A13" t="inlineStr">
        <is>
          <t>FAJAR RAFANDA CONSTRUCTION</t>
        </is>
      </c>
      <c r="B13" t="inlineStr">
        <is>
          <t>Kab. Kotabaru</t>
        </is>
      </c>
      <c r="C13" t="inlineStr">
        <is>
          <t>082142084060</t>
        </is>
      </c>
      <c r="D13" t="inlineStr">
        <is>
          <t>rafanda48erna@gmail.com</t>
        </is>
      </c>
      <c r="E13" t="inlineStr">
        <is>
          <t>https://lpjk.pu.go.id/search-badan-usaha-detail/R1pxMFRCbjcrZzNuaEdOQWdlVmZsUT09</t>
        </is>
      </c>
      <c r="F13" t="n">
        <v>3</v>
      </c>
      <c r="G13" t="inlineStr">
        <is>
          <t>BG001, BG003, BS001</t>
        </is>
      </c>
      <c r="H13" t="inlineStr">
        <is>
          <t>17 Januari 2018</t>
        </is>
      </c>
      <c r="I13" s="2" t="n">
        <v>46254</v>
      </c>
      <c r="J13" t="inlineStr">
        <is>
          <t>Disetujui</t>
        </is>
      </c>
      <c r="K13" t="n">
        <v>30</v>
      </c>
      <c r="L13" t="inlineStr">
        <is>
          <t>20 Agustus 2026</t>
        </is>
      </c>
      <c r="M13" t="inlineStr">
        <is>
          <t>Konstruksi Bangunan Sipil Jalan, Konstruksi Gedung Hunian, Konstruksi Gedung Industri</t>
        </is>
      </c>
      <c r="N13" t="inlineStr">
        <is>
          <t>K</t>
        </is>
      </c>
      <c r="O13" t="inlineStr">
        <is>
          <t>20230814</t>
        </is>
      </c>
      <c r="P13" t="inlineStr">
        <is>
          <t>Kalimantan Selatan</t>
        </is>
      </c>
      <c r="Q13" t="inlineStr"/>
    </row>
    <row r="14">
      <c r="A14" t="inlineStr">
        <is>
          <t>FAUZAN</t>
        </is>
      </c>
      <c r="B14" t="inlineStr">
        <is>
          <t>Kab. Ciamis</t>
        </is>
      </c>
      <c r="C14" t="inlineStr">
        <is>
          <t>085222226922</t>
        </is>
      </c>
      <c r="D14" t="inlineStr">
        <is>
          <t>cv.fauzan74@gmail.com</t>
        </is>
      </c>
      <c r="E14" t="inlineStr">
        <is>
          <t>https://lpjk.pu.go.id/search-badan-usaha-detail/bGNPdmk5RWR2Y1luLzBFaUNXazhxUT09</t>
        </is>
      </c>
      <c r="F14" t="n">
        <v>4</v>
      </c>
      <c r="G14" t="inlineStr">
        <is>
          <t>BG006, BS004</t>
        </is>
      </c>
      <c r="H14" t="inlineStr">
        <is>
          <t>20 Oktober 2016</t>
        </is>
      </c>
      <c r="I14" s="2" t="n">
        <v>46254</v>
      </c>
      <c r="J14" t="inlineStr">
        <is>
          <t>Disetujui</t>
        </is>
      </c>
      <c r="K14" t="n">
        <v>30</v>
      </c>
      <c r="L14" t="inlineStr">
        <is>
          <t>20 Agustus 2026</t>
        </is>
      </c>
      <c r="M14" t="inlineStr">
        <is>
          <t>Konstruksi Gedung Pendidikan, Konstruksi Jaringan Irigasi dan Drainase</t>
        </is>
      </c>
      <c r="N14" t="inlineStr">
        <is>
          <t>K</t>
        </is>
      </c>
      <c r="O14" t="inlineStr">
        <is>
          <t>20230815</t>
        </is>
      </c>
      <c r="P14" t="inlineStr">
        <is>
          <t>Jawa Barat</t>
        </is>
      </c>
      <c r="Q14" t="inlineStr"/>
    </row>
    <row r="15">
      <c r="A15" t="inlineStr">
        <is>
          <t>GIAN GIO GEMILANG</t>
        </is>
      </c>
      <c r="B15" t="inlineStr">
        <is>
          <t>Kab. Kutai Timur</t>
        </is>
      </c>
      <c r="C15" t="inlineStr">
        <is>
          <t>082150089172</t>
        </is>
      </c>
      <c r="D15" t="inlineStr">
        <is>
          <t>cv.giangiogemilang@gmail.com</t>
        </is>
      </c>
      <c r="E15" t="inlineStr">
        <is>
          <t>https://lpjk.pu.go.id/search-badan-usaha-detail/SEFpd1B2WEkweDh4WGpmaEpjeDY5Zz09</t>
        </is>
      </c>
      <c r="F15" t="n">
        <v>1</v>
      </c>
      <c r="G15" t="inlineStr">
        <is>
          <t>BS001</t>
        </is>
      </c>
      <c r="H15" t="inlineStr">
        <is>
          <t>4 Mei 2023</t>
        </is>
      </c>
      <c r="I15" s="2" t="n">
        <v>46254</v>
      </c>
      <c r="J15" t="inlineStr">
        <is>
          <t>Disetujui</t>
        </is>
      </c>
      <c r="K15" t="n">
        <v>30</v>
      </c>
      <c r="L15" t="inlineStr">
        <is>
          <t>20 Agustus 2026</t>
        </is>
      </c>
      <c r="M15" t="inlineStr">
        <is>
          <t>Konstruksi Bangunan Sipil Jalan</t>
        </is>
      </c>
      <c r="N15" t="inlineStr">
        <is>
          <t>K</t>
        </is>
      </c>
      <c r="O15" t="inlineStr">
        <is>
          <t>20230818</t>
        </is>
      </c>
      <c r="P15" t="inlineStr">
        <is>
          <t>Kalimantan Timur</t>
        </is>
      </c>
      <c r="Q15" t="inlineStr"/>
    </row>
    <row r="16">
      <c r="A16" t="inlineStr">
        <is>
          <t>ILHAM ILAHI</t>
        </is>
      </c>
      <c r="B16" t="inlineStr">
        <is>
          <t>Kab. Kepulauan Meranti</t>
        </is>
      </c>
      <c r="C16" t="inlineStr">
        <is>
          <t>081268123381</t>
        </is>
      </c>
      <c r="D16" t="inlineStr">
        <is>
          <t>cv.ilhamilahi@yopmail.com</t>
        </is>
      </c>
      <c r="E16" t="inlineStr">
        <is>
          <t>https://lpjk.pu.go.id/search-badan-usaha-detail/NUlTbGgwbkpVRjFZZEpDUUJ0RWlqdz09</t>
        </is>
      </c>
      <c r="F16" t="n">
        <v>1</v>
      </c>
      <c r="G16" t="inlineStr">
        <is>
          <t>BS001</t>
        </is>
      </c>
      <c r="H16" t="inlineStr">
        <is>
          <t>6 November 2001</t>
        </is>
      </c>
      <c r="I16" s="2" t="n">
        <v>46254</v>
      </c>
      <c r="J16" t="inlineStr">
        <is>
          <t>Disetujui</t>
        </is>
      </c>
      <c r="K16" t="n">
        <v>30</v>
      </c>
      <c r="L16" t="inlineStr">
        <is>
          <t>20 Agustus 2026</t>
        </is>
      </c>
      <c r="M16" t="inlineStr">
        <is>
          <t>Konstruksi Bangunan Sipil Jalan</t>
        </is>
      </c>
      <c r="N16" t="inlineStr">
        <is>
          <t>K</t>
        </is>
      </c>
      <c r="O16" t="inlineStr">
        <is>
          <t>20230815</t>
        </is>
      </c>
      <c r="P16" t="inlineStr">
        <is>
          <t>Riau</t>
        </is>
      </c>
      <c r="Q16" t="inlineStr"/>
    </row>
    <row r="17">
      <c r="A17" t="inlineStr">
        <is>
          <t>IRAMA</t>
        </is>
      </c>
      <c r="B17" t="inlineStr">
        <is>
          <t>Kab. Tanah Laut</t>
        </is>
      </c>
      <c r="C17" t="inlineStr">
        <is>
          <t>081348302200</t>
        </is>
      </c>
      <c r="D17" t="inlineStr">
        <is>
          <t>ilham.ami.revi@gmail.com</t>
        </is>
      </c>
      <c r="E17" t="inlineStr">
        <is>
          <t>https://lpjk.pu.go.id/search-badan-usaha-detail/TGtKTmZrbHduc0xCWU1VMDNMdlFpUT09</t>
        </is>
      </c>
      <c r="F17" t="n">
        <v>2</v>
      </c>
      <c r="G17" t="inlineStr">
        <is>
          <t>BG008, BG009</t>
        </is>
      </c>
      <c r="H17" t="inlineStr">
        <is>
          <t>11 Januari 1979</t>
        </is>
      </c>
      <c r="I17" s="2" t="n">
        <v>46254</v>
      </c>
      <c r="J17" t="inlineStr">
        <is>
          <t>Disetujui</t>
        </is>
      </c>
      <c r="K17" t="n">
        <v>30</v>
      </c>
      <c r="L17" t="inlineStr">
        <is>
          <t>20 Agustus 2026</t>
        </is>
      </c>
      <c r="M17" t="inlineStr">
        <is>
          <t>Konstruksi Gedung Lainnya, Konstruksi Gedung Tempat Hiburan dan Olahraga</t>
        </is>
      </c>
      <c r="N17" t="inlineStr">
        <is>
          <t>K</t>
        </is>
      </c>
      <c r="O17" t="inlineStr">
        <is>
          <t>20230811</t>
        </is>
      </c>
      <c r="P17" t="inlineStr">
        <is>
          <t>Kalimantan Selatan</t>
        </is>
      </c>
      <c r="Q17" t="inlineStr"/>
    </row>
    <row r="18">
      <c r="A18" t="inlineStr">
        <is>
          <t>JELITA</t>
        </is>
      </c>
      <c r="B18" t="inlineStr">
        <is>
          <t>Kab. Kubu Raya</t>
        </is>
      </c>
      <c r="C18" t="inlineStr">
        <is>
          <t>08125774466</t>
        </is>
      </c>
      <c r="D18" t="inlineStr">
        <is>
          <t>cv.jelita@hotmail.com</t>
        </is>
      </c>
      <c r="E18" t="inlineStr">
        <is>
          <t>https://lpjk.pu.go.id/search-badan-usaha-detail/WkE0eWFBekUxb1M0aEg0YklFZytiQT09</t>
        </is>
      </c>
      <c r="F18" t="n">
        <v>1</v>
      </c>
      <c r="G18" t="inlineStr">
        <is>
          <t>BS001</t>
        </is>
      </c>
      <c r="H18" t="inlineStr">
        <is>
          <t>11 Maret 2009</t>
        </is>
      </c>
      <c r="I18" s="2" t="n">
        <v>46254</v>
      </c>
      <c r="J18" t="inlineStr">
        <is>
          <t>Disetujui</t>
        </is>
      </c>
      <c r="K18" t="n">
        <v>30</v>
      </c>
      <c r="L18" t="inlineStr">
        <is>
          <t>20 Agustus 2026</t>
        </is>
      </c>
      <c r="M18" t="inlineStr">
        <is>
          <t>Konstruksi Bangunan Sipil Jalan</t>
        </is>
      </c>
      <c r="N18" t="inlineStr">
        <is>
          <t>K</t>
        </is>
      </c>
      <c r="O18" t="inlineStr">
        <is>
          <t>20230817</t>
        </is>
      </c>
      <c r="P18" t="inlineStr">
        <is>
          <t>Kalimantan Barat</t>
        </is>
      </c>
      <c r="Q18" t="inlineStr"/>
    </row>
    <row r="19">
      <c r="A19" t="inlineStr">
        <is>
          <t>KARYA BIMA</t>
        </is>
      </c>
      <c r="B19" t="inlineStr">
        <is>
          <t>Kab. Indramayu</t>
        </is>
      </c>
      <c r="C19" t="inlineStr">
        <is>
          <t>081802778189</t>
        </is>
      </c>
      <c r="D19" t="inlineStr">
        <is>
          <t>karyabima.cv@gmail.com</t>
        </is>
      </c>
      <c r="E19" t="inlineStr">
        <is>
          <t>https://lpjk.pu.go.id/search-badan-usaha-detail/K2lEZjljQm8wWWFReHJBYWFhc3Y2Zz09</t>
        </is>
      </c>
      <c r="F19" t="n">
        <v>1</v>
      </c>
      <c r="G19" t="inlineStr">
        <is>
          <t>BG006</t>
        </is>
      </c>
      <c r="H19" t="inlineStr">
        <is>
          <t>18 Juli 1994</t>
        </is>
      </c>
      <c r="I19" s="2" t="n">
        <v>46254</v>
      </c>
      <c r="J19" t="inlineStr">
        <is>
          <t>Disetujui</t>
        </is>
      </c>
      <c r="K19" t="n">
        <v>30</v>
      </c>
      <c r="L19" t="inlineStr">
        <is>
          <t>20 Agustus 2026</t>
        </is>
      </c>
      <c r="M19" t="inlineStr">
        <is>
          <t>Konstruksi Gedung Pendidikan</t>
        </is>
      </c>
      <c r="N19" t="inlineStr">
        <is>
          <t>K</t>
        </is>
      </c>
      <c r="O19" t="inlineStr">
        <is>
          <t>20230815</t>
        </is>
      </c>
      <c r="P19" t="inlineStr">
        <is>
          <t>Jawa Barat</t>
        </is>
      </c>
      <c r="Q19" t="inlineStr"/>
    </row>
    <row r="20">
      <c r="A20" t="inlineStr">
        <is>
          <t>KARYA MANDIRI</t>
        </is>
      </c>
      <c r="B20" t="inlineStr">
        <is>
          <t>Kab. Sukabumi</t>
        </is>
      </c>
      <c r="C20" t="inlineStr">
        <is>
          <t>085759628054</t>
        </is>
      </c>
      <c r="D20" t="inlineStr">
        <is>
          <t>hsuherdi778@gmail.com</t>
        </is>
      </c>
      <c r="E20" t="inlineStr">
        <is>
          <t>https://lpjk.pu.go.id/search-badan-usaha-detail/VFJ4MHBobjBiRVRjaE5CVkFteGptZz09</t>
        </is>
      </c>
      <c r="F20" t="n">
        <v>2</v>
      </c>
      <c r="G20" t="inlineStr">
        <is>
          <t>BS004, BS005</t>
        </is>
      </c>
      <c r="H20" t="inlineStr">
        <is>
          <t>29 Oktober 2007</t>
        </is>
      </c>
      <c r="I20" s="2" t="n">
        <v>46254</v>
      </c>
      <c r="J20" t="inlineStr">
        <is>
          <t>Disetujui</t>
        </is>
      </c>
      <c r="K20" t="n">
        <v>30</v>
      </c>
      <c r="L20" t="inlineStr">
        <is>
          <t>20 Agustus 2026</t>
        </is>
      </c>
      <c r="M20" t="inlineStr">
        <is>
          <t>Konstruksi Bangunan Sipil Pengolahan Air Bersih, Konstruksi Jaringan Irigasi dan Drainase</t>
        </is>
      </c>
      <c r="N20" t="inlineStr">
        <is>
          <t>K</t>
        </is>
      </c>
      <c r="O20" t="inlineStr">
        <is>
          <t>20230815</t>
        </is>
      </c>
      <c r="P20" t="inlineStr">
        <is>
          <t>Jawa Barat</t>
        </is>
      </c>
      <c r="Q20" t="inlineStr"/>
    </row>
    <row r="21">
      <c r="A21" t="inlineStr">
        <is>
          <t>KAUSA ABHINAYA</t>
        </is>
      </c>
      <c r="B21" t="inlineStr">
        <is>
          <t>Kota Bandung</t>
        </is>
      </c>
      <c r="C21" t="inlineStr">
        <is>
          <t>022</t>
        </is>
      </c>
      <c r="D21" t="inlineStr">
        <is>
          <t>cv.kausaabhinaya@gmail.com</t>
        </is>
      </c>
      <c r="E21" t="inlineStr">
        <is>
          <t>https://lpjk.pu.go.id/search-badan-usaha-detail/Q1BNMUZmc0pmWGNEM2NnOUJQd2ZKZz09</t>
        </is>
      </c>
      <c r="F21" t="n">
        <v>1</v>
      </c>
      <c r="G21" t="inlineStr">
        <is>
          <t>BG009</t>
        </is>
      </c>
      <c r="H21" t="inlineStr">
        <is>
          <t>12 Februari 2022</t>
        </is>
      </c>
      <c r="I21" s="2" t="n">
        <v>46254</v>
      </c>
      <c r="J21" t="inlineStr">
        <is>
          <t>Disetujui</t>
        </is>
      </c>
      <c r="K21" t="n">
        <v>30</v>
      </c>
      <c r="L21" t="inlineStr">
        <is>
          <t>20 Agustus 2026</t>
        </is>
      </c>
      <c r="M21" t="inlineStr">
        <is>
          <t>Konstruksi Gedung Lainnya</t>
        </is>
      </c>
      <c r="N21" t="inlineStr">
        <is>
          <t>K</t>
        </is>
      </c>
      <c r="O21" t="inlineStr">
        <is>
          <t>20230817</t>
        </is>
      </c>
      <c r="P21" t="inlineStr">
        <is>
          <t>Jawa Barat</t>
        </is>
      </c>
      <c r="Q21" t="inlineStr"/>
    </row>
    <row r="22">
      <c r="A22" t="inlineStr">
        <is>
          <t>KINGAZIZ KONSTRUKSI INDONESIA</t>
        </is>
      </c>
      <c r="B22" t="inlineStr">
        <is>
          <t>Kab. Pekalongan</t>
        </is>
      </c>
      <c r="C22" t="inlineStr">
        <is>
          <t>0285785191</t>
        </is>
      </c>
      <c r="D22" t="inlineStr">
        <is>
          <t>pt.kingaziz@gmail.com</t>
        </is>
      </c>
      <c r="E22" t="inlineStr">
        <is>
          <t>https://lpjk.pu.go.id/search-badan-usaha-detail/Y3NQMWlHeUtZRjM1a252dEdBajhMdz09</t>
        </is>
      </c>
      <c r="F22" t="n">
        <v>3</v>
      </c>
      <c r="G22" t="inlineStr">
        <is>
          <t>BG006, BG009, BS004</t>
        </is>
      </c>
      <c r="H22" t="inlineStr">
        <is>
          <t>28 Oktober 2017</t>
        </is>
      </c>
      <c r="I22" s="2" t="n">
        <v>46254</v>
      </c>
      <c r="J22" t="inlineStr">
        <is>
          <t>Disetujui</t>
        </is>
      </c>
      <c r="K22" t="n">
        <v>30</v>
      </c>
      <c r="L22" t="inlineStr">
        <is>
          <t>20 Agustus 2026</t>
        </is>
      </c>
      <c r="M22" t="inlineStr">
        <is>
          <t>Konstruksi Gedung Lainnya, Konstruksi Gedung Pendidikan, Konstruksi Jaringan Irigasi dan Drainase</t>
        </is>
      </c>
      <c r="N22" t="inlineStr">
        <is>
          <t>K</t>
        </is>
      </c>
      <c r="O22" t="inlineStr">
        <is>
          <t>20230815</t>
        </is>
      </c>
      <c r="P22" t="inlineStr">
        <is>
          <t>Jawa Tengah</t>
        </is>
      </c>
      <c r="Q22" t="inlineStr"/>
    </row>
    <row r="23">
      <c r="A23" t="inlineStr">
        <is>
          <t>LAPAN DEWA</t>
        </is>
      </c>
      <c r="B23" t="inlineStr">
        <is>
          <t>Kota Tarakan</t>
        </is>
      </c>
      <c r="C23" t="inlineStr">
        <is>
          <t>081350810986</t>
        </is>
      </c>
      <c r="D23" t="inlineStr">
        <is>
          <t>martjo.mardoan@gmail.com</t>
        </is>
      </c>
      <c r="E23" t="inlineStr">
        <is>
          <t>https://lpjk.pu.go.id/search-badan-usaha-detail/VVJ3VnpXMFdMSGxmSXZncVJvMFhtQT09</t>
        </is>
      </c>
      <c r="F23" t="n">
        <v>1</v>
      </c>
      <c r="G23" t="inlineStr">
        <is>
          <t>BS004</t>
        </is>
      </c>
      <c r="H23" t="inlineStr">
        <is>
          <t>28 November 2009</t>
        </is>
      </c>
      <c r="I23" s="2" t="n">
        <v>46254</v>
      </c>
      <c r="J23" t="inlineStr">
        <is>
          <t>Disetujui</t>
        </is>
      </c>
      <c r="K23" t="n">
        <v>30</v>
      </c>
      <c r="L23" t="inlineStr">
        <is>
          <t>20 Agustus 2026</t>
        </is>
      </c>
      <c r="M23" t="inlineStr">
        <is>
          <t>Konstruksi Jaringan Irigasi dan Drainase</t>
        </is>
      </c>
      <c r="N23" t="inlineStr">
        <is>
          <t>K</t>
        </is>
      </c>
      <c r="O23" t="inlineStr">
        <is>
          <t>20230727</t>
        </is>
      </c>
      <c r="P23" t="inlineStr">
        <is>
          <t>Kalimantan Utara</t>
        </is>
      </c>
      <c r="Q23" t="inlineStr"/>
    </row>
    <row r="24">
      <c r="A24" t="inlineStr">
        <is>
          <t>MAULANA FAJAR</t>
        </is>
      </c>
      <c r="B24" t="inlineStr">
        <is>
          <t>Kota Pekanbaru</t>
        </is>
      </c>
      <c r="C24" t="inlineStr">
        <is>
          <t>0811763682</t>
        </is>
      </c>
      <c r="D24" t="inlineStr">
        <is>
          <t>maulana.fajar375@yahoo.com</t>
        </is>
      </c>
      <c r="E24" t="inlineStr">
        <is>
          <t>https://lpjk.pu.go.id/search-badan-usaha-detail/NGhCLzQ0RVhQOE5Fa0Y5OWdUd2hRQT09</t>
        </is>
      </c>
      <c r="F24" t="n">
        <v>2</v>
      </c>
      <c r="G24" t="inlineStr">
        <is>
          <t>BG009, BS001</t>
        </is>
      </c>
      <c r="H24" t="inlineStr">
        <is>
          <t>31 Juli 2003</t>
        </is>
      </c>
      <c r="I24" s="2" t="n">
        <v>46254</v>
      </c>
      <c r="J24" t="inlineStr">
        <is>
          <t>Disetujui</t>
        </is>
      </c>
      <c r="K24" t="n">
        <v>30</v>
      </c>
      <c r="L24" t="inlineStr">
        <is>
          <t>20 Agustus 2026</t>
        </is>
      </c>
      <c r="M24" t="inlineStr">
        <is>
          <t>Konstruksi Bangunan Sipil Jalan, Konstruksi Gedung Lainnya</t>
        </is>
      </c>
      <c r="N24" t="inlineStr">
        <is>
          <t>K</t>
        </is>
      </c>
      <c r="O24" t="inlineStr">
        <is>
          <t>20230810</t>
        </is>
      </c>
      <c r="P24" t="inlineStr">
        <is>
          <t>Riau</t>
        </is>
      </c>
      <c r="Q24" t="inlineStr"/>
    </row>
    <row r="25">
      <c r="A25" t="inlineStr">
        <is>
          <t>MULTAZAM CS</t>
        </is>
      </c>
      <c r="B25" t="inlineStr">
        <is>
          <t>Kab. Probolinggo</t>
        </is>
      </c>
      <c r="C25" t="inlineStr">
        <is>
          <t>0</t>
        </is>
      </c>
      <c r="D25" t="inlineStr">
        <is>
          <t>cvmultazamcs@gmail.com</t>
        </is>
      </c>
      <c r="E25" t="inlineStr">
        <is>
          <t>https://lpjk.pu.go.id/search-badan-usaha-detail/eXRSUWJsOTNQNUpsck1kQWYzNlhBUT09</t>
        </is>
      </c>
      <c r="F25" t="n">
        <v>2</v>
      </c>
      <c r="G25" t="inlineStr">
        <is>
          <t>BS001, BS005</t>
        </is>
      </c>
      <c r="H25" t="inlineStr">
        <is>
          <t>1 September 2015</t>
        </is>
      </c>
      <c r="I25" s="2" t="n">
        <v>46254</v>
      </c>
      <c r="J25" t="inlineStr">
        <is>
          <t>Disetujui</t>
        </is>
      </c>
      <c r="K25" t="n">
        <v>30</v>
      </c>
      <c r="L25" t="inlineStr">
        <is>
          <t>20 Agustus 2026</t>
        </is>
      </c>
      <c r="M25" t="inlineStr">
        <is>
          <t>Konstruksi Bangunan Sipil Jalan, Konstruksi Bangunan Sipil Pengolahan Air Bersih</t>
        </is>
      </c>
      <c r="N25" t="inlineStr">
        <is>
          <t>K</t>
        </is>
      </c>
      <c r="O25" t="inlineStr">
        <is>
          <t>20230803</t>
        </is>
      </c>
      <c r="P25" t="inlineStr">
        <is>
          <t>Jawa Timur</t>
        </is>
      </c>
      <c r="Q25" t="inlineStr"/>
    </row>
    <row r="26">
      <c r="A26" t="inlineStr">
        <is>
          <t>PALUNG MANDIRI</t>
        </is>
      </c>
      <c r="B26" t="inlineStr">
        <is>
          <t>Kab. Ketapang</t>
        </is>
      </c>
      <c r="C26" t="inlineStr">
        <is>
          <t>0811579963</t>
        </is>
      </c>
      <c r="D26" t="inlineStr">
        <is>
          <t>palung.mandiri9999@gmail.com</t>
        </is>
      </c>
      <c r="E26" t="inlineStr">
        <is>
          <t>https://lpjk.pu.go.id/search-badan-usaha-detail/U0loK3N0MjhKSy9nV096QnlsTTBHUT09</t>
        </is>
      </c>
      <c r="F26" t="n">
        <v>1</v>
      </c>
      <c r="G26" t="inlineStr">
        <is>
          <t>BS004</t>
        </is>
      </c>
      <c r="H26" t="inlineStr">
        <is>
          <t>20 Juni 2008</t>
        </is>
      </c>
      <c r="I26" s="2" t="n">
        <v>46254</v>
      </c>
      <c r="J26" t="inlineStr">
        <is>
          <t>Disetujui</t>
        </is>
      </c>
      <c r="K26" t="n">
        <v>30</v>
      </c>
      <c r="L26" t="inlineStr">
        <is>
          <t>20 Agustus 2026</t>
        </is>
      </c>
      <c r="M26" t="inlineStr">
        <is>
          <t>Konstruksi Jaringan Irigasi dan Drainase</t>
        </is>
      </c>
      <c r="N26" t="inlineStr">
        <is>
          <t>K</t>
        </is>
      </c>
      <c r="O26" t="inlineStr">
        <is>
          <t>20230815</t>
        </is>
      </c>
      <c r="P26" t="inlineStr">
        <is>
          <t>Kalimantan Barat</t>
        </is>
      </c>
      <c r="Q26" t="inlineStr"/>
    </row>
    <row r="27">
      <c r="A27" t="inlineStr">
        <is>
          <t>PUTRA RAMADHAN</t>
        </is>
      </c>
      <c r="B27" t="inlineStr">
        <is>
          <t>Kab. Garut</t>
        </is>
      </c>
      <c r="C27" t="inlineStr">
        <is>
          <t>081322156383</t>
        </is>
      </c>
      <c r="D27" t="inlineStr">
        <is>
          <t>cv.putraramadhan83@gmail.com</t>
        </is>
      </c>
      <c r="E27" t="inlineStr">
        <is>
          <t>https://lpjk.pu.go.id/search-badan-usaha-detail/THJMNGVDYkxzakVaNk91aXBteWYwUT09</t>
        </is>
      </c>
      <c r="F27" t="n">
        <v>1</v>
      </c>
      <c r="G27" t="inlineStr">
        <is>
          <t>BG005</t>
        </is>
      </c>
      <c r="H27" t="inlineStr">
        <is>
          <t>3 Maret 2016</t>
        </is>
      </c>
      <c r="I27" s="2" t="n">
        <v>46254</v>
      </c>
      <c r="J27" t="inlineStr">
        <is>
          <t>Disetujui</t>
        </is>
      </c>
      <c r="K27" t="n">
        <v>30</v>
      </c>
      <c r="L27" t="inlineStr">
        <is>
          <t>20 Agustus 2026</t>
        </is>
      </c>
      <c r="M27" t="inlineStr">
        <is>
          <t>Konstruksi Gedung Kesehatan</t>
        </is>
      </c>
      <c r="N27" t="inlineStr">
        <is>
          <t>K</t>
        </is>
      </c>
      <c r="O27" t="inlineStr">
        <is>
          <t>20230811</t>
        </is>
      </c>
      <c r="P27" t="inlineStr">
        <is>
          <t>Jawa Barat</t>
        </is>
      </c>
      <c r="Q27" t="inlineStr"/>
    </row>
    <row r="28">
      <c r="A28" t="inlineStr">
        <is>
          <t>RATU BIANCA JAYA</t>
        </is>
      </c>
      <c r="B28" t="inlineStr">
        <is>
          <t>Kab. Cirebon</t>
        </is>
      </c>
      <c r="C28" t="inlineStr">
        <is>
          <t>081221416854</t>
        </is>
      </c>
      <c r="D28" t="inlineStr">
        <is>
          <t>naurazahraa91@gmail.com</t>
        </is>
      </c>
      <c r="E28" t="inlineStr">
        <is>
          <t>https://lpjk.pu.go.id/search-badan-usaha-detail/M29PYXlWRjcxbVAvaDR0bmsxSzVZUT09</t>
        </is>
      </c>
      <c r="F28" t="n">
        <v>1</v>
      </c>
      <c r="G28" t="inlineStr">
        <is>
          <t>BS001</t>
        </is>
      </c>
      <c r="H28" t="inlineStr">
        <is>
          <t>20 Desember 2021</t>
        </is>
      </c>
      <c r="I28" s="2" t="n">
        <v>46254</v>
      </c>
      <c r="J28" t="inlineStr">
        <is>
          <t>Disetujui</t>
        </is>
      </c>
      <c r="K28" t="n">
        <v>30</v>
      </c>
      <c r="L28" t="inlineStr">
        <is>
          <t>20 Agustus 2026</t>
        </is>
      </c>
      <c r="M28" t="inlineStr">
        <is>
          <t>Konstruksi Bangunan Sipil Jalan</t>
        </is>
      </c>
      <c r="N28" t="inlineStr">
        <is>
          <t>K</t>
        </is>
      </c>
      <c r="O28" t="inlineStr">
        <is>
          <t>20230814</t>
        </is>
      </c>
      <c r="P28" t="inlineStr">
        <is>
          <t>Jawa Barat</t>
        </is>
      </c>
      <c r="Q28" t="inlineStr"/>
    </row>
    <row r="29">
      <c r="A29" t="inlineStr">
        <is>
          <t>RIHAM</t>
        </is>
      </c>
      <c r="B29" t="inlineStr">
        <is>
          <t>Kab. Probolinggo</t>
        </is>
      </c>
      <c r="C29" t="inlineStr">
        <is>
          <t>082142719411</t>
        </is>
      </c>
      <c r="D29" t="inlineStr">
        <is>
          <t>cvriham@gmail.com</t>
        </is>
      </c>
      <c r="E29" t="inlineStr">
        <is>
          <t>https://lpjk.pu.go.id/search-badan-usaha-detail/Y2JYNTA5aUZKek91NU5sYlhBb3lXQT09</t>
        </is>
      </c>
      <c r="F29" t="n">
        <v>1</v>
      </c>
      <c r="G29" t="inlineStr">
        <is>
          <t>BS004</t>
        </is>
      </c>
      <c r="H29" t="inlineStr">
        <is>
          <t>1 Desember 2022</t>
        </is>
      </c>
      <c r="I29" s="2" t="n">
        <v>46254</v>
      </c>
      <c r="J29" t="inlineStr">
        <is>
          <t>Disetujui</t>
        </is>
      </c>
      <c r="K29" t="n">
        <v>30</v>
      </c>
      <c r="L29" t="inlineStr">
        <is>
          <t>20 Agustus 2026</t>
        </is>
      </c>
      <c r="M29" t="inlineStr">
        <is>
          <t>Konstruksi Jaringan Irigasi dan Drainase</t>
        </is>
      </c>
      <c r="N29" t="inlineStr">
        <is>
          <t>K</t>
        </is>
      </c>
      <c r="O29" t="inlineStr">
        <is>
          <t>20230731</t>
        </is>
      </c>
      <c r="P29" t="inlineStr">
        <is>
          <t>Jawa Timur</t>
        </is>
      </c>
      <c r="Q29" t="inlineStr"/>
    </row>
    <row r="30">
      <c r="A30" t="inlineStr">
        <is>
          <t>RISASA RAHMAH</t>
        </is>
      </c>
      <c r="B30" t="inlineStr">
        <is>
          <t>Kab. Tangerang</t>
        </is>
      </c>
      <c r="C30" t="inlineStr">
        <is>
          <t>081299329595</t>
        </is>
      </c>
      <c r="D30" t="inlineStr">
        <is>
          <t>cvrisasarahmah@gmail.com</t>
        </is>
      </c>
      <c r="E30" t="inlineStr">
        <is>
          <t>https://lpjk.pu.go.id/search-badan-usaha-detail/S3phWHFFQ2VOL1lUTWVUbERnVWc0UT09</t>
        </is>
      </c>
      <c r="F30" t="n">
        <v>1</v>
      </c>
      <c r="G30" t="inlineStr">
        <is>
          <t>BS004</t>
        </is>
      </c>
      <c r="H30" t="inlineStr">
        <is>
          <t>9 Juni 2003</t>
        </is>
      </c>
      <c r="I30" s="2" t="n">
        <v>46254</v>
      </c>
      <c r="J30" t="inlineStr">
        <is>
          <t>Disetujui</t>
        </is>
      </c>
      <c r="K30" t="n">
        <v>30</v>
      </c>
      <c r="L30" t="inlineStr">
        <is>
          <t>20 Agustus 2026</t>
        </is>
      </c>
      <c r="M30" t="inlineStr">
        <is>
          <t>Konstruksi Jaringan Irigasi dan Drainase</t>
        </is>
      </c>
      <c r="N30" t="inlineStr">
        <is>
          <t>K</t>
        </is>
      </c>
      <c r="O30" t="inlineStr">
        <is>
          <t>20230718</t>
        </is>
      </c>
      <c r="P30" t="inlineStr">
        <is>
          <t>Banten</t>
        </is>
      </c>
      <c r="Q30" t="inlineStr"/>
    </row>
    <row r="31">
      <c r="A31" t="inlineStr">
        <is>
          <t>SURYA LESTARI</t>
        </is>
      </c>
      <c r="B31" t="inlineStr">
        <is>
          <t>Kota Pekanbaru</t>
        </is>
      </c>
      <c r="C31" t="inlineStr">
        <is>
          <t>082169837359</t>
        </is>
      </c>
      <c r="D31" t="inlineStr">
        <is>
          <t>sally_fatma70@yahoo.com</t>
        </is>
      </c>
      <c r="E31" t="inlineStr">
        <is>
          <t>https://lpjk.pu.go.id/search-badan-usaha-detail/MXNRd1ZIR0JTZ3hnYTRCVDF6STh4dz09</t>
        </is>
      </c>
      <c r="F31" t="n">
        <v>1</v>
      </c>
      <c r="G31" t="inlineStr">
        <is>
          <t>BG009</t>
        </is>
      </c>
      <c r="H31" t="inlineStr">
        <is>
          <t>18 Februari 1999</t>
        </is>
      </c>
      <c r="I31" s="2" t="n">
        <v>46254</v>
      </c>
      <c r="J31" t="inlineStr">
        <is>
          <t>Disetujui</t>
        </is>
      </c>
      <c r="K31" t="n">
        <v>30</v>
      </c>
      <c r="L31" t="inlineStr">
        <is>
          <t>20 Agustus 2026</t>
        </is>
      </c>
      <c r="M31" t="inlineStr">
        <is>
          <t>Konstruksi Gedung Lainnya</t>
        </is>
      </c>
      <c r="N31" t="inlineStr">
        <is>
          <t>K</t>
        </is>
      </c>
      <c r="O31" t="inlineStr">
        <is>
          <t>20230814</t>
        </is>
      </c>
      <c r="P31" t="inlineStr">
        <is>
          <t>Riau</t>
        </is>
      </c>
      <c r="Q31" t="inlineStr"/>
    </row>
    <row r="32">
      <c r="A32" t="inlineStr">
        <is>
          <t>SYAMALL BROTHERS</t>
        </is>
      </c>
      <c r="B32" t="inlineStr">
        <is>
          <t>Kab. Pesawaran</t>
        </is>
      </c>
      <c r="C32" t="inlineStr">
        <is>
          <t>0812 7261 7500</t>
        </is>
      </c>
      <c r="D32" t="inlineStr">
        <is>
          <t>cvsyamallbrother@gmail.com</t>
        </is>
      </c>
      <c r="E32" t="inlineStr">
        <is>
          <t>https://lpjk.pu.go.id/search-badan-usaha-detail/SGw0VVlPR1RkQUY2c2I4NHJEdGl6QT09</t>
        </is>
      </c>
      <c r="F32" t="n">
        <v>1</v>
      </c>
      <c r="G32" t="inlineStr">
        <is>
          <t>BS001</t>
        </is>
      </c>
      <c r="H32" t="inlineStr">
        <is>
          <t>25 Januari 2016</t>
        </is>
      </c>
      <c r="I32" s="2" t="n">
        <v>46254</v>
      </c>
      <c r="J32" t="inlineStr">
        <is>
          <t>Disetujui</t>
        </is>
      </c>
      <c r="K32" t="n">
        <v>30</v>
      </c>
      <c r="L32" t="inlineStr">
        <is>
          <t>20 Agustus 2026</t>
        </is>
      </c>
      <c r="M32" t="inlineStr">
        <is>
          <t>Konstruksi Bangunan Sipil Jalan</t>
        </is>
      </c>
      <c r="N32" t="inlineStr">
        <is>
          <t>K</t>
        </is>
      </c>
      <c r="O32" t="inlineStr">
        <is>
          <t>20230818</t>
        </is>
      </c>
      <c r="P32" t="inlineStr">
        <is>
          <t>Lampung</t>
        </is>
      </c>
      <c r="Q32" t="inlineStr"/>
    </row>
    <row r="33">
      <c r="A33" t="inlineStr">
        <is>
          <t>TATA GRAHA GEMILANG</t>
        </is>
      </c>
      <c r="B33" t="inlineStr">
        <is>
          <t>Kab. Nunukan</t>
        </is>
      </c>
      <c r="C33" t="inlineStr">
        <is>
          <t>08125856414</t>
        </is>
      </c>
      <c r="D33" t="inlineStr">
        <is>
          <t>tatagrahagemilang@gmail.com</t>
        </is>
      </c>
      <c r="E33" t="inlineStr">
        <is>
          <t>https://lpjk.pu.go.id/search-badan-usaha-detail/elVPWTU4d1BZMUJ5VzFFNlNEQ3VkQT09</t>
        </is>
      </c>
      <c r="F33" t="n">
        <v>1</v>
      </c>
      <c r="G33" t="inlineStr">
        <is>
          <t>PB004</t>
        </is>
      </c>
      <c r="H33" t="inlineStr">
        <is>
          <t>24 Mei 2016</t>
        </is>
      </c>
      <c r="I33" s="2" t="n">
        <v>46254</v>
      </c>
      <c r="J33" t="inlineStr">
        <is>
          <t>Disetujui</t>
        </is>
      </c>
      <c r="K33" t="n">
        <v>30</v>
      </c>
      <c r="L33" t="inlineStr">
        <is>
          <t>20 Agustus 2026</t>
        </is>
      </c>
      <c r="M33" t="inlineStr">
        <is>
          <t>Dekorasi Interior</t>
        </is>
      </c>
      <c r="N33" t="inlineStr">
        <is>
          <t>Spesialis</t>
        </is>
      </c>
      <c r="O33" t="inlineStr">
        <is>
          <t>20230711</t>
        </is>
      </c>
      <c r="P33" t="inlineStr">
        <is>
          <t>Kalimantan Utara</t>
        </is>
      </c>
      <c r="Q33" t="inlineStr"/>
    </row>
    <row r="34">
      <c r="A34" t="inlineStr">
        <is>
          <t>TRI AGENG KUSUMA</t>
        </is>
      </c>
      <c r="B34" t="inlineStr">
        <is>
          <t>Kab. Sleman</t>
        </is>
      </c>
      <c r="C34" t="inlineStr">
        <is>
          <t>085726053664</t>
        </is>
      </c>
      <c r="D34" t="inlineStr">
        <is>
          <t>triagengkusuma2020@gmail.com</t>
        </is>
      </c>
      <c r="E34" t="inlineStr">
        <is>
          <t>https://lpjk.pu.go.id/search-badan-usaha-detail/Sm5QZStIamdsU2tnVXVYMG5EOFZaZz09</t>
        </is>
      </c>
      <c r="F34" t="n">
        <v>1</v>
      </c>
      <c r="G34" t="inlineStr">
        <is>
          <t>BG005</t>
        </is>
      </c>
      <c r="H34" t="inlineStr">
        <is>
          <t>2 Juli 2020</t>
        </is>
      </c>
      <c r="I34" s="2" t="n">
        <v>46254</v>
      </c>
      <c r="J34" t="inlineStr">
        <is>
          <t>Disetujui</t>
        </is>
      </c>
      <c r="K34" t="n">
        <v>30</v>
      </c>
      <c r="L34" t="inlineStr">
        <is>
          <t>20 Agustus 2026</t>
        </is>
      </c>
      <c r="M34" t="inlineStr">
        <is>
          <t>Konstruksi Gedung Kesehatan</t>
        </is>
      </c>
      <c r="N34" t="inlineStr">
        <is>
          <t>K</t>
        </is>
      </c>
      <c r="O34" t="inlineStr">
        <is>
          <t>20230815</t>
        </is>
      </c>
      <c r="P34" t="inlineStr">
        <is>
          <t>DI Yogyakarta</t>
        </is>
      </c>
      <c r="Q34" t="inlineStr"/>
    </row>
    <row r="35">
      <c r="A35" t="inlineStr">
        <is>
          <t>UNGGUL</t>
        </is>
      </c>
      <c r="B35" t="inlineStr">
        <is>
          <t>Kab. Situbondo</t>
        </is>
      </c>
      <c r="C35" t="inlineStr">
        <is>
          <t>082140591454</t>
        </is>
      </c>
      <c r="D35" t="inlineStr">
        <is>
          <t>lsbugkb3512@gmail.com</t>
        </is>
      </c>
      <c r="E35" t="inlineStr">
        <is>
          <t>https://lpjk.pu.go.id/search-badan-usaha-detail/dWNodU04dU5Bakl2N05jaGhzY24vUT09</t>
        </is>
      </c>
      <c r="F35" t="n">
        <v>4</v>
      </c>
      <c r="G35" t="inlineStr">
        <is>
          <t>BG005, BG009, BS002, BS010</t>
        </is>
      </c>
      <c r="H35" t="inlineStr">
        <is>
          <t>24 Januari 2002</t>
        </is>
      </c>
      <c r="I35" s="2" t="n">
        <v>46254</v>
      </c>
      <c r="J35" t="inlineStr">
        <is>
          <t>Disetujui</t>
        </is>
      </c>
      <c r="K35" t="n">
        <v>30</v>
      </c>
      <c r="L35" t="inlineStr">
        <is>
          <t>20 Agustus 2026</t>
        </is>
      </c>
      <c r="M35" t="inlineStr">
        <is>
          <t>Bangunan Sipil Jembatan, Jalan Layang, Fly Over, dan Underpass, Konstruksi Bangunan Prasarana Sumber Daya Air, Konstruksi Gedung Kesehatan, Konstruksi Gedung Lainnya</t>
        </is>
      </c>
      <c r="N35" t="inlineStr">
        <is>
          <t>K</t>
        </is>
      </c>
      <c r="O35" t="inlineStr">
        <is>
          <t>20230815</t>
        </is>
      </c>
      <c r="P35" t="inlineStr">
        <is>
          <t>Jawa Timur</t>
        </is>
      </c>
      <c r="Q35" t="inlineStr"/>
    </row>
    <row r="36">
      <c r="A36" t="inlineStr">
        <is>
          <t>YUDHI JASA</t>
        </is>
      </c>
      <c r="B36" t="inlineStr">
        <is>
          <t>Kab. Tanah Laut</t>
        </is>
      </c>
      <c r="C36" t="inlineStr">
        <is>
          <t>081251258700</t>
        </is>
      </c>
      <c r="D36" t="inlineStr">
        <is>
          <t>yudhijasa@yahoo.com</t>
        </is>
      </c>
      <c r="E36" t="inlineStr">
        <is>
          <t>https://lpjk.pu.go.id/search-badan-usaha-detail/VHJFT2dJa1oyU3FLQU52VGRWN283Zz09</t>
        </is>
      </c>
      <c r="F36" t="n">
        <v>1</v>
      </c>
      <c r="G36" t="inlineStr">
        <is>
          <t>BG006</t>
        </is>
      </c>
      <c r="H36" t="inlineStr">
        <is>
          <t>29 Maret 1983</t>
        </is>
      </c>
      <c r="I36" s="2" t="n">
        <v>46254</v>
      </c>
      <c r="J36" t="inlineStr">
        <is>
          <t>Pencabutan</t>
        </is>
      </c>
      <c r="K36" t="n">
        <v>30</v>
      </c>
      <c r="L36" t="inlineStr">
        <is>
          <t>20 Agustus 2026</t>
        </is>
      </c>
      <c r="M36" t="inlineStr">
        <is>
          <t>Konstruksi Gedung Pendidikan</t>
        </is>
      </c>
      <c r="N36" t="inlineStr">
        <is>
          <t>K</t>
        </is>
      </c>
      <c r="O36" t="inlineStr">
        <is>
          <t>20230814</t>
        </is>
      </c>
      <c r="P36" t="inlineStr">
        <is>
          <t>Kalimantan Selatan</t>
        </is>
      </c>
      <c r="Q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2026-07-21T03:30:40Z</dcterms:created>
  <dcterms:modified xsi:type="dcterms:W3CDTF">2026-07-21T03:30:40Z</dcterms:modified>
</cp:coreProperties>
</file>