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4"/>
  <sheetViews>
    <sheetView workbookViewId="0">
      <selection activeCell="A1" sqref="A1"/>
    </sheetView>
  </sheetViews>
  <sheetFormatPr baseColWidth="8" defaultRowHeight="15"/>
  <cols>
    <col width="30" customWidth="1" min="1" max="1"/>
    <col width="27" customWidth="1" min="2" max="2"/>
    <col width="15" customWidth="1" min="3" max="3"/>
    <col width="39"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8" customWidth="1" min="12" max="12"/>
    <col width="50" customWidth="1" min="13" max="13"/>
    <col width="14" customWidth="1" min="14" max="14"/>
    <col width="5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INDOHEXA CIPTA KREASI</t>
        </is>
      </c>
      <c r="B2" t="inlineStr">
        <is>
          <t>Kota Bekasi</t>
        </is>
      </c>
      <c r="C2" t="inlineStr">
        <is>
          <t>081380008431</t>
        </is>
      </c>
      <c r="D2" t="inlineStr">
        <is>
          <t>indohexa.cipta.kreasi@gmail.com</t>
        </is>
      </c>
      <c r="E2" t="inlineStr">
        <is>
          <t>https://lpjk.pu.go.id/search-badan-usaha-detail/ZXJaWllDVGZFRG5tYkptdW9HbE5zdz09</t>
        </is>
      </c>
      <c r="F2" t="n">
        <v>2</v>
      </c>
      <c r="G2" t="inlineStr">
        <is>
          <t>PB004</t>
        </is>
      </c>
      <c r="H2" t="inlineStr">
        <is>
          <t>20 Maret 2020</t>
        </is>
      </c>
      <c r="I2" s="2" t="n">
        <v>46354</v>
      </c>
      <c r="J2" t="inlineStr">
        <is>
          <t>Pembekuan</t>
        </is>
      </c>
      <c r="K2" t="n">
        <v>87</v>
      </c>
      <c r="L2" t="inlineStr">
        <is>
          <t>28 November 2026</t>
        </is>
      </c>
      <c r="M2" t="inlineStr">
        <is>
          <t>Dekorasi Interior</t>
        </is>
      </c>
      <c r="N2" t="inlineStr">
        <is>
          <t>Spesialis</t>
        </is>
      </c>
      <c r="O2" t="inlineStr">
        <is>
          <t>20231128</t>
        </is>
      </c>
      <c r="P2" t="inlineStr">
        <is>
          <t>Jawa Barat</t>
        </is>
      </c>
      <c r="Q2" s="3">
        <f>HYPERLINK("https://wa.me/6281380008431?text=Selamat siang Bapak/Ibu pimpinan INDOHEXA CIPTA KREASI,%0A%0ASemoga Bapak/Ibu dalam keadaan baik.%0ABerdasarkan data LPJK, masa berlaku SBU perusahaan Bapak/Ibu akan berakhir sekitar 3 bulan lagi (pada 28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KARYA PUTRA KANBES</t>
        </is>
      </c>
      <c r="B3" t="inlineStr">
        <is>
          <t>Kota Bekasi</t>
        </is>
      </c>
      <c r="C3" t="inlineStr">
        <is>
          <t>085711871434</t>
        </is>
      </c>
      <c r="D3" t="inlineStr">
        <is>
          <t>karyaputrakanbes@gmail.com</t>
        </is>
      </c>
      <c r="E3" t="inlineStr">
        <is>
          <t>https://lpjk.pu.go.id/search-badan-usaha-detail/REZVTkxScUJmRGhJYlVUMmp5VTFHQT09</t>
        </is>
      </c>
      <c r="F3" t="n">
        <v>1</v>
      </c>
      <c r="G3" t="inlineStr">
        <is>
          <t>BG002</t>
        </is>
      </c>
      <c r="H3" t="inlineStr">
        <is>
          <t>18 Agustus 2023</t>
        </is>
      </c>
      <c r="I3" s="2" t="n">
        <v>46354</v>
      </c>
      <c r="J3" t="inlineStr">
        <is>
          <t>Disetujui</t>
        </is>
      </c>
      <c r="K3" t="n">
        <v>87</v>
      </c>
      <c r="L3" t="inlineStr">
        <is>
          <t>28 November 2026</t>
        </is>
      </c>
      <c r="M3" t="inlineStr">
        <is>
          <t>Konstruksi Gedung Perkantoran</t>
        </is>
      </c>
      <c r="N3" t="inlineStr">
        <is>
          <t>K</t>
        </is>
      </c>
      <c r="O3" t="inlineStr">
        <is>
          <t>20231128</t>
        </is>
      </c>
      <c r="P3" t="inlineStr">
        <is>
          <t>Jawa Barat</t>
        </is>
      </c>
      <c r="Q3" s="3">
        <f>HYPERLINK("https://wa.me/6285711871434?text=Selamat siang Bapak/Ibu pimpinan KARYA PUTRA KANBES,%0A%0ASemoga Bapak/Ibu dalam keadaan baik.%0ABerdasarkan data LPJK, masa berlaku SBU perusahaan Bapak/Ibu akan berakhir sekitar 3 bulan lagi (pada 28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KARYA UNO MANDIRI</t>
        </is>
      </c>
      <c r="B4" t="inlineStr">
        <is>
          <t>Kab. Bogor</t>
        </is>
      </c>
      <c r="C4" t="inlineStr">
        <is>
          <t>082122681299</t>
        </is>
      </c>
      <c r="D4" t="inlineStr">
        <is>
          <t>cvkaryauno01@gmail.com</t>
        </is>
      </c>
      <c r="E4" t="inlineStr">
        <is>
          <t>https://lpjk.pu.go.id/search-badan-usaha-detail/aGhGRHpDUVluRGFlb3M0Y0N6UC9VQT09</t>
        </is>
      </c>
      <c r="F4" t="n">
        <v>4</v>
      </c>
      <c r="G4" t="inlineStr">
        <is>
          <t>BG005, BG006, BG009, BS001</t>
        </is>
      </c>
      <c r="H4" t="inlineStr">
        <is>
          <t>31 Januari 2020</t>
        </is>
      </c>
      <c r="I4" s="2" t="n">
        <v>46354</v>
      </c>
      <c r="J4" t="inlineStr">
        <is>
          <t>Pencabutan</t>
        </is>
      </c>
      <c r="K4" t="n">
        <v>87</v>
      </c>
      <c r="L4" t="inlineStr">
        <is>
          <t>28 November 2026</t>
        </is>
      </c>
      <c r="M4" t="inlineStr">
        <is>
          <t>Konstruksi Bangunan Sipil Jalan, Konstruksi Gedung Kesehatan, Konstruksi Gedung Lainnya, Konstruksi Gedung Pendidikan</t>
        </is>
      </c>
      <c r="N4" t="inlineStr">
        <is>
          <t>K</t>
        </is>
      </c>
      <c r="O4" t="inlineStr">
        <is>
          <t>20231127</t>
        </is>
      </c>
      <c r="P4" t="inlineStr">
        <is>
          <t>Jawa Barat</t>
        </is>
      </c>
      <c r="Q4" s="3">
        <f>HYPERLINK("https://wa.me/6282122681299?text=Selamat siang Bapak/Ibu pimpinan KARYA UNO MANDIRI,%0A%0ASemoga Bapak/Ibu dalam keadaan baik.%0ABerdasarkan data LPJK, masa berlaku SBU perusahaan Bapak/Ibu akan berakhir sekitar 3 bulan lagi (pada 28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KAUSA SINERGI SEJAHTERA</t>
        </is>
      </c>
      <c r="B5" t="inlineStr">
        <is>
          <t>Kota Bekasi</t>
        </is>
      </c>
      <c r="C5" t="inlineStr">
        <is>
          <t>02182636387</t>
        </is>
      </c>
      <c r="D5" t="inlineStr">
        <is>
          <t>kausasinergisejahtera@gmail.com</t>
        </is>
      </c>
      <c r="E5" t="inlineStr">
        <is>
          <t>https://lpjk.pu.go.id/search-badan-usaha-detail/c2dUVUZtQXZxTHZEQitXQURDbzA0Zz09</t>
        </is>
      </c>
      <c r="F5" t="n">
        <v>1</v>
      </c>
      <c r="G5" t="inlineStr">
        <is>
          <t>BG002</t>
        </is>
      </c>
      <c r="H5" t="inlineStr">
        <is>
          <t>3 November 2022</t>
        </is>
      </c>
      <c r="I5" s="2" t="n">
        <v>46354</v>
      </c>
      <c r="J5" t="inlineStr">
        <is>
          <t>Disetujui</t>
        </is>
      </c>
      <c r="K5" t="n">
        <v>87</v>
      </c>
      <c r="L5" t="inlineStr">
        <is>
          <t>28 November 2026</t>
        </is>
      </c>
      <c r="M5" t="inlineStr">
        <is>
          <t>Konstruksi Gedung Perkantoran</t>
        </is>
      </c>
      <c r="N5" t="inlineStr">
        <is>
          <t>K</t>
        </is>
      </c>
      <c r="O5" t="inlineStr">
        <is>
          <t>20231123</t>
        </is>
      </c>
      <c r="P5" t="inlineStr">
        <is>
          <t>Jawa Barat</t>
        </is>
      </c>
      <c r="Q5" t="inlineStr"/>
    </row>
    <row r="6">
      <c r="A6" t="inlineStr">
        <is>
          <t>KLAPANUNGGAL PERMATA ENERGI</t>
        </is>
      </c>
      <c r="B6" t="inlineStr">
        <is>
          <t>Kab. Bogor</t>
        </is>
      </c>
      <c r="C6" t="inlineStr">
        <is>
          <t>02122886170</t>
        </is>
      </c>
      <c r="D6" t="inlineStr">
        <is>
          <t>ptklapanunggalpermataenergi@gmail.com</t>
        </is>
      </c>
      <c r="E6" t="inlineStr">
        <is>
          <t>https://lpjk.pu.go.id/search-badan-usaha-detail/MCtpMG5HWkNiOEcvQlJkTGgrZmxsUT09</t>
        </is>
      </c>
      <c r="F6" t="n">
        <v>1</v>
      </c>
      <c r="G6" t="inlineStr">
        <is>
          <t>BG009</t>
        </is>
      </c>
      <c r="H6" t="inlineStr">
        <is>
          <t>11 September 2013</t>
        </is>
      </c>
      <c r="I6" s="2" t="n">
        <v>46354</v>
      </c>
      <c r="J6" t="inlineStr">
        <is>
          <t>Disetujui</t>
        </is>
      </c>
      <c r="K6" t="n">
        <v>87</v>
      </c>
      <c r="L6" t="inlineStr">
        <is>
          <t>28 November 2026</t>
        </is>
      </c>
      <c r="M6" t="inlineStr">
        <is>
          <t>Konstruksi Gedung Lainnya</t>
        </is>
      </c>
      <c r="N6" t="inlineStr">
        <is>
          <t>K</t>
        </is>
      </c>
      <c r="O6" t="inlineStr">
        <is>
          <t>20231123</t>
        </is>
      </c>
      <c r="P6" t="inlineStr">
        <is>
          <t>Jawa Barat</t>
        </is>
      </c>
      <c r="Q6" t="inlineStr"/>
    </row>
    <row r="7">
      <c r="A7" t="inlineStr">
        <is>
          <t>NIAGATUJUH PRATAMA</t>
        </is>
      </c>
      <c r="B7" t="inlineStr">
        <is>
          <t>Kota Bekasi</t>
        </is>
      </c>
      <c r="C7" t="inlineStr">
        <is>
          <t>000</t>
        </is>
      </c>
      <c r="D7" t="inlineStr">
        <is>
          <t>pt.niagatujuhpratama@gmail.com</t>
        </is>
      </c>
      <c r="E7" t="inlineStr">
        <is>
          <t>https://lpjk.pu.go.id/search-badan-usaha-detail/azE2b29VcHZXcGlmanVzY3JFSTg3Zz09</t>
        </is>
      </c>
      <c r="F7" t="n">
        <v>2</v>
      </c>
      <c r="G7" t="inlineStr">
        <is>
          <t>BG001</t>
        </is>
      </c>
      <c r="H7" t="inlineStr">
        <is>
          <t>23 November 2023</t>
        </is>
      </c>
      <c r="I7" s="2" t="n">
        <v>46354</v>
      </c>
      <c r="J7" t="inlineStr">
        <is>
          <t>Pencabutan</t>
        </is>
      </c>
      <c r="K7" t="n">
        <v>87</v>
      </c>
      <c r="L7" t="inlineStr">
        <is>
          <t>28 November 2026</t>
        </is>
      </c>
      <c r="M7" t="inlineStr">
        <is>
          <t>Konstruksi Gedung Hunian</t>
        </is>
      </c>
      <c r="N7" t="inlineStr">
        <is>
          <t>K</t>
        </is>
      </c>
      <c r="O7" t="inlineStr">
        <is>
          <t>20231128</t>
        </is>
      </c>
      <c r="P7" t="inlineStr">
        <is>
          <t>Jawa Barat</t>
        </is>
      </c>
      <c r="Q7" s="3">
        <f>HYPERLINK("https://wa.me/6200?text=Selamat siang Bapak/Ibu pimpinan NIAGATUJUH PRATAMA,%0A%0ASemoga Bapak/Ibu dalam keadaan baik.%0ABerdasarkan data LPJK, masa berlaku SBU perusahaan Bapak/Ibu akan berakhir sekitar 3 bulan lagi (pada 28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NUSA WARNA PERSADA</t>
        </is>
      </c>
      <c r="B8" t="inlineStr">
        <is>
          <t>Kab. Bekasi</t>
        </is>
      </c>
      <c r="C8" t="inlineStr">
        <is>
          <t>082312592920</t>
        </is>
      </c>
      <c r="D8" t="inlineStr">
        <is>
          <t>nusawarnapersada@gmail.com</t>
        </is>
      </c>
      <c r="E8" t="inlineStr">
        <is>
          <t>https://lpjk.pu.go.id/search-badan-usaha-detail/eGZzUitRM0Z0M211Y0tUWnNxYzlyQT09</t>
        </is>
      </c>
      <c r="F8" t="n">
        <v>1</v>
      </c>
      <c r="G8" t="inlineStr">
        <is>
          <t>BS001</t>
        </is>
      </c>
      <c r="H8" t="inlineStr">
        <is>
          <t>15 Agustus 2023</t>
        </is>
      </c>
      <c r="I8" s="2" t="n">
        <v>46354</v>
      </c>
      <c r="J8" t="inlineStr">
        <is>
          <t>Disetujui</t>
        </is>
      </c>
      <c r="K8" t="n">
        <v>87</v>
      </c>
      <c r="L8" t="inlineStr">
        <is>
          <t>28 November 2026</t>
        </is>
      </c>
      <c r="M8" t="inlineStr">
        <is>
          <t>Konstruksi Bangunan Sipil Jalan</t>
        </is>
      </c>
      <c r="N8" t="inlineStr">
        <is>
          <t>K</t>
        </is>
      </c>
      <c r="O8" t="inlineStr">
        <is>
          <t>20231103</t>
        </is>
      </c>
      <c r="P8" t="inlineStr">
        <is>
          <t>Jawa Barat</t>
        </is>
      </c>
      <c r="Q8" s="3">
        <f>HYPERLINK("https://wa.me/6282312592920?text=Selamat siang Bapak/Ibu pimpinan NUSA WARNA PERSADA,%0A%0ASemoga Bapak/Ibu dalam keadaan baik.%0ABerdasarkan data LPJK, masa berlaku SBU perusahaan Bapak/Ibu akan berakhir sekitar 3 bulan lagi (pada 28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PRIMA GUNA REKSA</t>
        </is>
      </c>
      <c r="B9" t="inlineStr">
        <is>
          <t>Kab. Bekasi</t>
        </is>
      </c>
      <c r="C9" t="inlineStr">
        <is>
          <t>087779048279</t>
        </is>
      </c>
      <c r="D9" t="inlineStr">
        <is>
          <t>cv.primagunareksa@yahoo.com</t>
        </is>
      </c>
      <c r="E9" t="inlineStr">
        <is>
          <t>https://lpjk.pu.go.id/search-badan-usaha-detail/aFgyZGdpcTdabWswN0FDUnh4bXYzQT09</t>
        </is>
      </c>
      <c r="F9" t="n">
        <v>1</v>
      </c>
      <c r="G9" t="inlineStr">
        <is>
          <t>BS001</t>
        </is>
      </c>
      <c r="H9" t="inlineStr">
        <is>
          <t>24 Desember 2014</t>
        </is>
      </c>
      <c r="I9" s="2" t="n">
        <v>46354</v>
      </c>
      <c r="J9" t="inlineStr">
        <is>
          <t>Disetujui</t>
        </is>
      </c>
      <c r="K9" t="n">
        <v>87</v>
      </c>
      <c r="L9" t="inlineStr">
        <is>
          <t>28 November 2026</t>
        </is>
      </c>
      <c r="M9" t="inlineStr">
        <is>
          <t>Konstruksi Bangunan Sipil Jalan</t>
        </is>
      </c>
      <c r="N9" t="inlineStr">
        <is>
          <t>K</t>
        </is>
      </c>
      <c r="O9" t="inlineStr">
        <is>
          <t>20231103</t>
        </is>
      </c>
      <c r="P9" t="inlineStr">
        <is>
          <t>Jawa Barat</t>
        </is>
      </c>
      <c r="Q9" s="3">
        <f>HYPERLINK("https://wa.me/6287779048279?text=Selamat siang Bapak/Ibu pimpinan PRIMA GUNA REKSA,%0A%0ASemoga Bapak/Ibu dalam keadaan baik.%0ABerdasarkan data LPJK, masa berlaku SBU perusahaan Bapak/Ibu akan berakhir sekitar 3 bulan lagi (pada 28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PRIMA UNGGUL PERSADA</t>
        </is>
      </c>
      <c r="B10" t="inlineStr">
        <is>
          <t>Kab. Bekasi</t>
        </is>
      </c>
      <c r="C10" t="inlineStr">
        <is>
          <t>02188374701</t>
        </is>
      </c>
      <c r="D10" t="inlineStr">
        <is>
          <t>divisihrdpup@gmail.com</t>
        </is>
      </c>
      <c r="E10" t="inlineStr">
        <is>
          <t>https://lpjk.pu.go.id/search-badan-usaha-detail/eWQwOG9qcTJvRjd0ZGMwbkJIMEs3dz09</t>
        </is>
      </c>
      <c r="F10" t="n">
        <v>1</v>
      </c>
      <c r="G10" t="inlineStr">
        <is>
          <t>BG002</t>
        </is>
      </c>
      <c r="H10" t="inlineStr">
        <is>
          <t>28 November 2000</t>
        </is>
      </c>
      <c r="I10" s="2" t="n">
        <v>46354</v>
      </c>
      <c r="J10" t="inlineStr">
        <is>
          <t>Disetujui</t>
        </is>
      </c>
      <c r="K10" t="n">
        <v>87</v>
      </c>
      <c r="L10" t="inlineStr">
        <is>
          <t>28 November 2026</t>
        </is>
      </c>
      <c r="M10" t="inlineStr">
        <is>
          <t>Konstruksi Gedung Perkantoran</t>
        </is>
      </c>
      <c r="N10" t="inlineStr">
        <is>
          <t>M</t>
        </is>
      </c>
      <c r="O10" t="inlineStr">
        <is>
          <t>20231128</t>
        </is>
      </c>
      <c r="P10" t="inlineStr">
        <is>
          <t>Jawa Barat</t>
        </is>
      </c>
      <c r="Q10" t="inlineStr"/>
    </row>
    <row r="11">
      <c r="A11" t="inlineStr">
        <is>
          <t>SIFA JAYA LESTARI</t>
        </is>
      </c>
      <c r="B11" t="inlineStr">
        <is>
          <t>Kota Bekasi</t>
        </is>
      </c>
      <c r="C11" t="inlineStr">
        <is>
          <t>081395743631</t>
        </is>
      </c>
      <c r="D11" t="inlineStr">
        <is>
          <t>sifajayalestari@gmail.com</t>
        </is>
      </c>
      <c r="E11" t="inlineStr">
        <is>
          <t>https://lpjk.pu.go.id/search-badan-usaha-detail/RGFZbGU0OFBaK3l0WDB0TlN1RCsyZz09</t>
        </is>
      </c>
      <c r="F11" t="n">
        <v>3</v>
      </c>
      <c r="G11" t="inlineStr">
        <is>
          <t>BG005, BG006, BG009</t>
        </is>
      </c>
      <c r="H11" t="inlineStr">
        <is>
          <t>23 Agustus 2023</t>
        </is>
      </c>
      <c r="I11" s="2" t="n">
        <v>46354</v>
      </c>
      <c r="J11" t="inlineStr">
        <is>
          <t>Disetujui</t>
        </is>
      </c>
      <c r="K11" t="n">
        <v>87</v>
      </c>
      <c r="L11" t="inlineStr">
        <is>
          <t>28 November 2026</t>
        </is>
      </c>
      <c r="M11" t="inlineStr">
        <is>
          <t>Konstruksi Gedung Kesehatan, Konstruksi Gedung Lainnya, Konstruksi Gedung Pendidikan</t>
        </is>
      </c>
      <c r="N11" t="inlineStr">
        <is>
          <t>K</t>
        </is>
      </c>
      <c r="O11" t="inlineStr">
        <is>
          <t>20231123, 20231130</t>
        </is>
      </c>
      <c r="P11" t="inlineStr">
        <is>
          <t>Jawa Barat</t>
        </is>
      </c>
      <c r="Q11" s="3">
        <f>HYPERLINK("https://wa.me/6281395743631?text=Selamat siang Bapak/Ibu pimpinan SIFA JAYA LESTARI,%0A%0ASemoga Bapak/Ibu dalam keadaan baik.%0ABerdasarkan data LPJK, masa berlaku SBU perusahaan Bapak/Ibu akan berakhir sekitar 3 bulan lagi (pada 28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2">
      <c r="A12" t="inlineStr">
        <is>
          <t>ADARO</t>
        </is>
      </c>
      <c r="B12" t="inlineStr">
        <is>
          <t>Kota Lubuk Linggau</t>
        </is>
      </c>
      <c r="C12" t="inlineStr">
        <is>
          <t>081373281727</t>
        </is>
      </c>
      <c r="D12" t="inlineStr">
        <is>
          <t>cvadarollg@gmail.com</t>
        </is>
      </c>
      <c r="E12" t="inlineStr">
        <is>
          <t>https://lpjk.pu.go.id/search-badan-usaha-detail/YmVFRjZiSitNRTA3TDRMT0R0dzc2UT09</t>
        </is>
      </c>
      <c r="F12" t="n">
        <v>1</v>
      </c>
      <c r="G12" t="inlineStr">
        <is>
          <t>BS001</t>
        </is>
      </c>
      <c r="H12" t="inlineStr">
        <is>
          <t>18 Juni 2009</t>
        </is>
      </c>
      <c r="I12" s="2" t="n">
        <v>46354</v>
      </c>
      <c r="J12" t="inlineStr">
        <is>
          <t>Disetujui</t>
        </is>
      </c>
      <c r="K12" t="n">
        <v>87</v>
      </c>
      <c r="L12" t="inlineStr">
        <is>
          <t>28 November 2026</t>
        </is>
      </c>
      <c r="M12" t="inlineStr">
        <is>
          <t>Konstruksi Bangunan Sipil Jalan</t>
        </is>
      </c>
      <c r="N12" t="inlineStr">
        <is>
          <t>K</t>
        </is>
      </c>
      <c r="O12" t="inlineStr">
        <is>
          <t>20231128</t>
        </is>
      </c>
      <c r="P12" t="inlineStr">
        <is>
          <t>Sumatera Selatan</t>
        </is>
      </c>
      <c r="Q12" t="inlineStr"/>
    </row>
    <row r="13">
      <c r="A13" t="inlineStr">
        <is>
          <t>ALIF SAPUTRA</t>
        </is>
      </c>
      <c r="B13" t="inlineStr">
        <is>
          <t>Kab. Bondowoso</t>
        </is>
      </c>
      <c r="C13" t="inlineStr">
        <is>
          <t>082325606970</t>
        </is>
      </c>
      <c r="D13" t="inlineStr">
        <is>
          <t>cvalifsaputra@gmail.com</t>
        </is>
      </c>
      <c r="E13" t="inlineStr">
        <is>
          <t>https://lpjk.pu.go.id/search-badan-usaha-detail/aFdPMFdScEZyQjVJMGR3bUtoSlk1QT09</t>
        </is>
      </c>
      <c r="F13" t="n">
        <v>1</v>
      </c>
      <c r="G13" t="inlineStr">
        <is>
          <t>BS001</t>
        </is>
      </c>
      <c r="H13" t="inlineStr">
        <is>
          <t>22 Desember 2015</t>
        </is>
      </c>
      <c r="I13" s="2" t="n">
        <v>46354</v>
      </c>
      <c r="J13" t="inlineStr">
        <is>
          <t>Disetujui</t>
        </is>
      </c>
      <c r="K13" t="n">
        <v>87</v>
      </c>
      <c r="L13" t="inlineStr">
        <is>
          <t>28 November 2026</t>
        </is>
      </c>
      <c r="M13" t="inlineStr">
        <is>
          <t>Konstruksi Bangunan Sipil Jalan</t>
        </is>
      </c>
      <c r="N13" t="inlineStr">
        <is>
          <t>K</t>
        </is>
      </c>
      <c r="O13" t="inlineStr">
        <is>
          <t>20231127</t>
        </is>
      </c>
      <c r="P13" t="inlineStr">
        <is>
          <t>Jawa Timur</t>
        </is>
      </c>
      <c r="Q13" t="inlineStr"/>
    </row>
    <row r="14">
      <c r="A14" t="inlineStr">
        <is>
          <t>ALMA CIPTA SEJAHTERA</t>
        </is>
      </c>
      <c r="B14" t="inlineStr">
        <is>
          <t>Kota Adm. Jakarta Selatan</t>
        </is>
      </c>
      <c r="C14" t="inlineStr">
        <is>
          <t>02183708292</t>
        </is>
      </c>
      <c r="D14" t="inlineStr">
        <is>
          <t>alma_cipta.sejahtera@yahoo.co.id</t>
        </is>
      </c>
      <c r="E14" t="inlineStr">
        <is>
          <t>https://lpjk.pu.go.id/search-badan-usaha-detail/R0JHWlcwc2V0UzhaRWIrM0g0dEhmUT09</t>
        </is>
      </c>
      <c r="F14" t="n">
        <v>2</v>
      </c>
      <c r="G14" t="inlineStr">
        <is>
          <t>IN001, IN008</t>
        </is>
      </c>
      <c r="H14" t="inlineStr">
        <is>
          <t>11 Januari 1983</t>
        </is>
      </c>
      <c r="I14" s="2" t="n">
        <v>46354</v>
      </c>
      <c r="J14" t="inlineStr">
        <is>
          <t>Pembekuan</t>
        </is>
      </c>
      <c r="K14" t="n">
        <v>87</v>
      </c>
      <c r="L14" t="inlineStr">
        <is>
          <t>28 November 2026</t>
        </is>
      </c>
      <c r="M14" t="inlineStr">
        <is>
          <t>Instalasi Mekanikal, Instalasi Pendingin Dan Ventilasi Udara</t>
        </is>
      </c>
      <c r="N14" t="inlineStr">
        <is>
          <t>Spesialis</t>
        </is>
      </c>
      <c r="O14" t="inlineStr">
        <is>
          <t>20231127</t>
        </is>
      </c>
      <c r="P14" t="inlineStr">
        <is>
          <t>DKI Jakarta</t>
        </is>
      </c>
      <c r="Q14" t="inlineStr"/>
    </row>
    <row r="15">
      <c r="A15" t="inlineStr">
        <is>
          <t>ANDALAN TIGA KAWAN</t>
        </is>
      </c>
      <c r="B15" t="inlineStr">
        <is>
          <t>Kota Padang</t>
        </is>
      </c>
      <c r="C15" t="inlineStr">
        <is>
          <t>0811666889</t>
        </is>
      </c>
      <c r="D15" t="inlineStr">
        <is>
          <t>andalantigakawan@gmail.com</t>
        </is>
      </c>
      <c r="E15" t="inlineStr">
        <is>
          <t>https://lpjk.pu.go.id/search-badan-usaha-detail/ZmRaNXNVZzN0cXZTSWFMQXVGbVNOZz09</t>
        </is>
      </c>
      <c r="F15" t="n">
        <v>2</v>
      </c>
      <c r="G15" t="inlineStr">
        <is>
          <t>BS004, BS010</t>
        </is>
      </c>
      <c r="H15" t="inlineStr">
        <is>
          <t>28 Februari 2023</t>
        </is>
      </c>
      <c r="I15" s="2" t="n">
        <v>46354</v>
      </c>
      <c r="J15" t="inlineStr">
        <is>
          <t>Disetujui</t>
        </is>
      </c>
      <c r="K15" t="n">
        <v>87</v>
      </c>
      <c r="L15" t="inlineStr">
        <is>
          <t>28 November 2026</t>
        </is>
      </c>
      <c r="M15" t="inlineStr">
        <is>
          <t>Konstruksi Bangunan Prasarana Sumber Daya Air, Konstruksi Jaringan Irigasi dan Drainase</t>
        </is>
      </c>
      <c r="N15" t="inlineStr">
        <is>
          <t>K</t>
        </is>
      </c>
      <c r="O15" t="inlineStr">
        <is>
          <t>20231124</t>
        </is>
      </c>
      <c r="P15" t="inlineStr">
        <is>
          <t>Sumatera Barat</t>
        </is>
      </c>
      <c r="Q15" t="inlineStr"/>
    </row>
    <row r="16">
      <c r="A16" t="inlineStr">
        <is>
          <t>ANEKA JASA TEKNIK GRESIK</t>
        </is>
      </c>
      <c r="B16" t="inlineStr">
        <is>
          <t>Kab. Gresik</t>
        </is>
      </c>
      <c r="C16" t="inlineStr">
        <is>
          <t>081330784277</t>
        </is>
      </c>
      <c r="D16" t="inlineStr">
        <is>
          <t>anekajasateknik_g@yahoo.com</t>
        </is>
      </c>
      <c r="E16" t="inlineStr">
        <is>
          <t>https://lpjk.pu.go.id/search-badan-usaha-detail/YXB3WEJFUkJUT2prbnZzWFZoM1IrZz09</t>
        </is>
      </c>
      <c r="F16" t="n">
        <v>1</v>
      </c>
      <c r="G16" t="inlineStr">
        <is>
          <t>IN003</t>
        </is>
      </c>
      <c r="H16" t="inlineStr">
        <is>
          <t>16 Januari 2020</t>
        </is>
      </c>
      <c r="I16" s="2" t="n">
        <v>46354</v>
      </c>
      <c r="J16" t="inlineStr">
        <is>
          <t>Disetujui</t>
        </is>
      </c>
      <c r="K16" t="n">
        <v>87</v>
      </c>
      <c r="L16" t="inlineStr">
        <is>
          <t>28 November 2026</t>
        </is>
      </c>
      <c r="M16" t="inlineStr">
        <is>
          <t>Instalasi Peralatan Infrastruktur Pertambangan dan Manufaktur</t>
        </is>
      </c>
      <c r="N16" t="inlineStr">
        <is>
          <t>Spesialis</t>
        </is>
      </c>
      <c r="O16" t="inlineStr">
        <is>
          <t>20231118</t>
        </is>
      </c>
      <c r="P16" t="inlineStr">
        <is>
          <t>Jawa Timur</t>
        </is>
      </c>
      <c r="Q16" t="inlineStr"/>
    </row>
    <row r="17">
      <c r="A17" t="inlineStr">
        <is>
          <t>ANUGERAH SEKAWAN INDOKARYA</t>
        </is>
      </c>
      <c r="B17" t="inlineStr">
        <is>
          <t>Kota Adm. Jakarta Utara</t>
        </is>
      </c>
      <c r="C17" t="inlineStr">
        <is>
          <t>0895359472503</t>
        </is>
      </c>
      <c r="D17" t="inlineStr">
        <is>
          <t>ptbanjaranugerahkarya@gmail.com</t>
        </is>
      </c>
      <c r="E17" t="inlineStr">
        <is>
          <t>https://lpjk.pu.go.id/search-badan-usaha-detail/ZTZoTUUzTC8xUG1oL2pjZ2lXWjM0QT09</t>
        </is>
      </c>
      <c r="F17" t="n">
        <v>1</v>
      </c>
      <c r="G17" t="inlineStr">
        <is>
          <t>BS008</t>
        </is>
      </c>
      <c r="H17" t="inlineStr">
        <is>
          <t>4 Oktober 2023</t>
        </is>
      </c>
      <c r="I17" s="2" t="n">
        <v>46354</v>
      </c>
      <c r="J17" t="inlineStr">
        <is>
          <t>Disetujui</t>
        </is>
      </c>
      <c r="K17" t="n">
        <v>87</v>
      </c>
      <c r="L17" t="inlineStr">
        <is>
          <t>28 November 2026</t>
        </is>
      </c>
      <c r="M17" t="inlineStr">
        <is>
          <t>Konstruksi Bangunan Sipil Telekomunikasi untuk Prasarana Transportasi</t>
        </is>
      </c>
      <c r="N17" t="inlineStr">
        <is>
          <t>K</t>
        </is>
      </c>
      <c r="O17" t="inlineStr">
        <is>
          <t>20231124</t>
        </is>
      </c>
      <c r="P17" t="inlineStr">
        <is>
          <t>DKI Jakarta</t>
        </is>
      </c>
      <c r="Q17" t="inlineStr"/>
    </row>
    <row r="18">
      <c r="A18" t="inlineStr">
        <is>
          <t>ANUGERAH SURYA JAYA</t>
        </is>
      </c>
      <c r="B18" t="inlineStr">
        <is>
          <t>Kab. Lombok Utara</t>
        </is>
      </c>
      <c r="C18" t="inlineStr">
        <is>
          <t>081913415323</t>
        </is>
      </c>
      <c r="D18" t="inlineStr">
        <is>
          <t>cvanugrahsuryajaya@gmail.com</t>
        </is>
      </c>
      <c r="E18" t="inlineStr">
        <is>
          <t>https://lpjk.pu.go.id/search-badan-usaha-detail/UmVYRGIrUnF5RUQraldQakIyMjd4dz09</t>
        </is>
      </c>
      <c r="F18" t="n">
        <v>1</v>
      </c>
      <c r="G18" t="inlineStr">
        <is>
          <t>BS001</t>
        </is>
      </c>
      <c r="H18" t="inlineStr">
        <is>
          <t>13 Mei 2020</t>
        </is>
      </c>
      <c r="I18" s="2" t="n">
        <v>46354</v>
      </c>
      <c r="J18" t="inlineStr">
        <is>
          <t>Disetujui</t>
        </is>
      </c>
      <c r="K18" t="n">
        <v>87</v>
      </c>
      <c r="L18" t="inlineStr">
        <is>
          <t>28 November 2026</t>
        </is>
      </c>
      <c r="M18" t="inlineStr">
        <is>
          <t>Konstruksi Bangunan Sipil Jalan</t>
        </is>
      </c>
      <c r="N18" t="inlineStr">
        <is>
          <t>K</t>
        </is>
      </c>
      <c r="O18" t="inlineStr">
        <is>
          <t>20231124</t>
        </is>
      </c>
      <c r="P18" t="inlineStr">
        <is>
          <t>Nusa Tenggara Barat</t>
        </is>
      </c>
      <c r="Q18" t="inlineStr"/>
    </row>
    <row r="19">
      <c r="A19" t="inlineStr">
        <is>
          <t>ANUGRA SEJAHTERA RAYA</t>
        </is>
      </c>
      <c r="B19" t="inlineStr">
        <is>
          <t>Kab. Lamongan</t>
        </is>
      </c>
      <c r="C19" t="inlineStr">
        <is>
          <t>085733675999</t>
        </is>
      </c>
      <c r="D19" t="inlineStr">
        <is>
          <t>cv.anugrasejahtera@yahoo.com</t>
        </is>
      </c>
      <c r="E19" t="inlineStr">
        <is>
          <t>https://lpjk.pu.go.id/search-badan-usaha-detail/cVFvWXRpSUxOcWk1bGRPMzR4eDBEQT09</t>
        </is>
      </c>
      <c r="F19" t="n">
        <v>1</v>
      </c>
      <c r="G19" t="inlineStr">
        <is>
          <t>BS001</t>
        </is>
      </c>
      <c r="H19" t="inlineStr">
        <is>
          <t>6 Desember 2019</t>
        </is>
      </c>
      <c r="I19" s="2" t="n">
        <v>46354</v>
      </c>
      <c r="J19" t="inlineStr">
        <is>
          <t>Disetujui</t>
        </is>
      </c>
      <c r="K19" t="n">
        <v>87</v>
      </c>
      <c r="L19" t="inlineStr">
        <is>
          <t>28 November 2026</t>
        </is>
      </c>
      <c r="M19" t="inlineStr">
        <is>
          <t>Konstruksi Bangunan Sipil Jalan</t>
        </is>
      </c>
      <c r="N19" t="inlineStr">
        <is>
          <t>K</t>
        </is>
      </c>
      <c r="O19" t="inlineStr">
        <is>
          <t>20231128</t>
        </is>
      </c>
      <c r="P19" t="inlineStr">
        <is>
          <t>Jawa Timur</t>
        </is>
      </c>
      <c r="Q19" t="inlineStr"/>
    </row>
    <row r="20">
      <c r="A20" t="inlineStr">
        <is>
          <t>ANUGRAH MANDIRI ABADI</t>
        </is>
      </c>
      <c r="B20" t="inlineStr">
        <is>
          <t>Kota Balikpapan</t>
        </is>
      </c>
      <c r="C20" t="inlineStr">
        <is>
          <t>081314003839</t>
        </is>
      </c>
      <c r="D20" t="inlineStr">
        <is>
          <t>cvanugrahmandiriabadi2019@gmail.com</t>
        </is>
      </c>
      <c r="E20" t="inlineStr">
        <is>
          <t>https://lpjk.pu.go.id/search-badan-usaha-detail/M2Q1Um5HRWpjbklaL3J6d09LVXpKUT09</t>
        </is>
      </c>
      <c r="F20" t="n">
        <v>6</v>
      </c>
      <c r="G20" t="inlineStr">
        <is>
          <t>BS001, BS002, BS004</t>
        </is>
      </c>
      <c r="H20" t="inlineStr">
        <is>
          <t>9 Februari 2019</t>
        </is>
      </c>
      <c r="I20" s="2" t="n">
        <v>46354</v>
      </c>
      <c r="J20" t="inlineStr">
        <is>
          <t>Disetujui</t>
        </is>
      </c>
      <c r="K20" t="n">
        <v>87</v>
      </c>
      <c r="L20" t="inlineStr">
        <is>
          <t>28 November 2026</t>
        </is>
      </c>
      <c r="M20" t="inlineStr">
        <is>
          <t>Bangunan Sipil Jembatan, Jalan Layang, Fly Over, dan Underpass, Konstruksi Bangunan Sipil Jalan, Konstruksi Jaringan Irigasi dan Drainase</t>
        </is>
      </c>
      <c r="N20" t="inlineStr">
        <is>
          <t>K</t>
        </is>
      </c>
      <c r="O20" t="inlineStr">
        <is>
          <t>20231121</t>
        </is>
      </c>
      <c r="P20" t="inlineStr">
        <is>
          <t>Kalimantan Timur</t>
        </is>
      </c>
      <c r="Q20" t="inlineStr"/>
    </row>
    <row r="21">
      <c r="A21" t="inlineStr">
        <is>
          <t>AQILA SUKSES</t>
        </is>
      </c>
      <c r="B21" t="inlineStr">
        <is>
          <t>Kab. Lombok Tengah</t>
        </is>
      </c>
      <c r="C21" t="inlineStr">
        <is>
          <t>087866154725</t>
        </is>
      </c>
      <c r="D21" t="inlineStr">
        <is>
          <t>aqilasukses5555@gmail.com</t>
        </is>
      </c>
      <c r="E21" t="inlineStr">
        <is>
          <t>https://lpjk.pu.go.id/search-badan-usaha-detail/N05aZGNuTllpQjhlak5HeTZROXc1dz09</t>
        </is>
      </c>
      <c r="F21" t="n">
        <v>3</v>
      </c>
      <c r="G21" t="inlineStr">
        <is>
          <t>BG005, BG006, BG009</t>
        </is>
      </c>
      <c r="H21" t="inlineStr">
        <is>
          <t>8 September 2023</t>
        </is>
      </c>
      <c r="I21" s="2" t="n">
        <v>46354</v>
      </c>
      <c r="J21" t="inlineStr">
        <is>
          <t>Disetujui</t>
        </is>
      </c>
      <c r="K21" t="n">
        <v>87</v>
      </c>
      <c r="L21" t="inlineStr">
        <is>
          <t>28 November 2026</t>
        </is>
      </c>
      <c r="M21" t="inlineStr">
        <is>
          <t>Konstruksi Gedung Kesehatan, Konstruksi Gedung Lainnya, Konstruksi Gedung Pendidikan</t>
        </is>
      </c>
      <c r="N21" t="inlineStr">
        <is>
          <t>K</t>
        </is>
      </c>
      <c r="O21" t="inlineStr">
        <is>
          <t>20231127, 20231128</t>
        </is>
      </c>
      <c r="P21" t="inlineStr">
        <is>
          <t>Nusa Tenggara Barat</t>
        </is>
      </c>
      <c r="Q21" t="inlineStr"/>
    </row>
    <row r="22">
      <c r="A22" t="inlineStr">
        <is>
          <t>ARYANA CAKASANA</t>
        </is>
      </c>
      <c r="B22" t="inlineStr">
        <is>
          <t>Kota Surabaya</t>
        </is>
      </c>
      <c r="C22" t="inlineStr">
        <is>
          <t>0315051010</t>
        </is>
      </c>
      <c r="D22" t="inlineStr">
        <is>
          <t>infoaryana23@gmail.com</t>
        </is>
      </c>
      <c r="E22" t="inlineStr">
        <is>
          <t>https://lpjk.pu.go.id/search-badan-usaha-detail/YjltMDN4TnZFWXFpU0dpUm1pL1pOdz09</t>
        </is>
      </c>
      <c r="F22" t="n">
        <v>2</v>
      </c>
      <c r="G22" t="inlineStr">
        <is>
          <t>BG004</t>
        </is>
      </c>
      <c r="H22" t="inlineStr">
        <is>
          <t>20 Maret 1991</t>
        </is>
      </c>
      <c r="I22" s="2" t="n">
        <v>46354</v>
      </c>
      <c r="J22" t="inlineStr">
        <is>
          <t>Pembekuan</t>
        </is>
      </c>
      <c r="K22" t="n">
        <v>87</v>
      </c>
      <c r="L22" t="inlineStr">
        <is>
          <t>28 November 2026</t>
        </is>
      </c>
      <c r="M22" t="inlineStr">
        <is>
          <t>Konstruksi Gedung Perbelanjaan</t>
        </is>
      </c>
      <c r="N22" t="inlineStr">
        <is>
          <t>M</t>
        </is>
      </c>
      <c r="O22" t="inlineStr">
        <is>
          <t>20231129</t>
        </is>
      </c>
      <c r="P22" t="inlineStr">
        <is>
          <t>Jawa Timur</t>
        </is>
      </c>
      <c r="Q22" t="inlineStr"/>
    </row>
    <row r="23">
      <c r="A23" t="inlineStr">
        <is>
          <t>ARYO DWIPUTRA</t>
        </is>
      </c>
      <c r="B23" t="inlineStr">
        <is>
          <t>Kota Adm. Jakarta Utara</t>
        </is>
      </c>
      <c r="C23" t="inlineStr">
        <is>
          <t>02143903700</t>
        </is>
      </c>
      <c r="D23" t="inlineStr">
        <is>
          <t>aryodwiputralandscape@gmail.com</t>
        </is>
      </c>
      <c r="E23" t="inlineStr">
        <is>
          <t>https://lpjk.pu.go.id/search-badan-usaha-detail/Z0N6REdVUWNMWkMra1pKR09ERzJvQT09</t>
        </is>
      </c>
      <c r="F23" t="n">
        <v>1</v>
      </c>
      <c r="G23" t="inlineStr">
        <is>
          <t>PB010</t>
        </is>
      </c>
      <c r="H23" t="inlineStr">
        <is>
          <t>11 Desember 1997</t>
        </is>
      </c>
      <c r="I23" s="2" t="n">
        <v>46354</v>
      </c>
      <c r="J23" t="inlineStr">
        <is>
          <t>Disetujui</t>
        </is>
      </c>
      <c r="K23" t="n">
        <v>87</v>
      </c>
      <c r="L23" t="inlineStr">
        <is>
          <t>28 November 2026</t>
        </is>
      </c>
      <c r="M23" t="inlineStr">
        <is>
          <t>Pekerjaan Lanskap, Pertamanan, dan Penanaman Vegetasi</t>
        </is>
      </c>
      <c r="N23" t="inlineStr">
        <is>
          <t>Spesialis</t>
        </is>
      </c>
      <c r="O23" t="inlineStr">
        <is>
          <t>20231123</t>
        </is>
      </c>
      <c r="P23" t="inlineStr">
        <is>
          <t>DKI Jakarta</t>
        </is>
      </c>
      <c r="Q23" t="inlineStr"/>
    </row>
    <row r="24">
      <c r="A24" t="inlineStr">
        <is>
          <t>ATA CEUNTER GRUP</t>
        </is>
      </c>
      <c r="B24" t="inlineStr">
        <is>
          <t>Kota Langsa</t>
        </is>
      </c>
      <c r="C24" t="inlineStr">
        <is>
          <t>0641</t>
        </is>
      </c>
      <c r="D24" t="inlineStr">
        <is>
          <t>ataceunter@gmail.com</t>
        </is>
      </c>
      <c r="E24" t="inlineStr">
        <is>
          <t>https://lpjk.pu.go.id/search-badan-usaha-detail/YnhvSld6bXF6U2VGNFJzTHNEMSs2QT09</t>
        </is>
      </c>
      <c r="F24" t="n">
        <v>1</v>
      </c>
      <c r="G24" t="inlineStr">
        <is>
          <t>BG005</t>
        </is>
      </c>
      <c r="H24" t="inlineStr">
        <is>
          <t>22 Desember 2022</t>
        </is>
      </c>
      <c r="I24" s="2" t="n">
        <v>46354</v>
      </c>
      <c r="J24" t="inlineStr">
        <is>
          <t>Disetujui</t>
        </is>
      </c>
      <c r="K24" t="n">
        <v>87</v>
      </c>
      <c r="L24" t="inlineStr">
        <is>
          <t>28 November 2026</t>
        </is>
      </c>
      <c r="M24" t="inlineStr">
        <is>
          <t>Konstruksi Gedung Kesehatan</t>
        </is>
      </c>
      <c r="N24" t="inlineStr">
        <is>
          <t>K</t>
        </is>
      </c>
      <c r="O24" t="inlineStr">
        <is>
          <t>20231120</t>
        </is>
      </c>
      <c r="P24" t="inlineStr">
        <is>
          <t>Aceh</t>
        </is>
      </c>
      <c r="Q24" t="inlineStr"/>
    </row>
    <row r="25">
      <c r="A25" t="inlineStr">
        <is>
          <t>BANDA BAHARI PERMAI</t>
        </is>
      </c>
      <c r="B25" t="inlineStr">
        <is>
          <t>Kota Ambon</t>
        </is>
      </c>
      <c r="C25" t="inlineStr">
        <is>
          <t>082115664663</t>
        </is>
      </c>
      <c r="D25" t="inlineStr">
        <is>
          <t>dewawattimury@gmail.com</t>
        </is>
      </c>
      <c r="E25" t="inlineStr">
        <is>
          <t>https://lpjk.pu.go.id/search-badan-usaha-detail/WlYzd09naUJ3RmNWOTlBMTkwZzF2dz09</t>
        </is>
      </c>
      <c r="F25" t="n">
        <v>9</v>
      </c>
      <c r="G25" t="inlineStr">
        <is>
          <t>BG001, BG002, BG004, BG006, BG008, BG009, BS001, BS002, BS004</t>
        </is>
      </c>
      <c r="H25" t="inlineStr">
        <is>
          <t>22 Juni 2012</t>
        </is>
      </c>
      <c r="I25" s="2" t="n">
        <v>46354</v>
      </c>
      <c r="J25" t="inlineStr">
        <is>
          <t>Disetujui</t>
        </is>
      </c>
      <c r="K25" t="n">
        <v>87</v>
      </c>
      <c r="L25" t="inlineStr">
        <is>
          <t>28 November 2026</t>
        </is>
      </c>
      <c r="M25" t="inlineStr">
        <is>
          <t>Bangunan Sipil Jembatan, Jalan Layang, Fly Over, dan Underpass, Konstruksi Bangunan Sipil Jalan, Konstruksi Gedung Hunian, Konstruksi Gedung Lainnya, Konstruksi Gedung Pendidikan, Konstruksi Gedung Perbelanjaan, Konstruksi Gedung Perkantoran, Konstruksi Gedung Tempat Hiburan dan Olahraga, Konstruksi Jaringan Irigasi dan Drainase</t>
        </is>
      </c>
      <c r="N25" t="inlineStr">
        <is>
          <t>K</t>
        </is>
      </c>
      <c r="O25" t="inlineStr">
        <is>
          <t>20231126, 20231127, 20231129, 20231130, 20231201</t>
        </is>
      </c>
      <c r="P25" t="inlineStr">
        <is>
          <t>Maluku</t>
        </is>
      </c>
      <c r="Q25" t="inlineStr"/>
    </row>
    <row r="26">
      <c r="A26" t="inlineStr">
        <is>
          <t>BANGUN TRIADI MANDIRI SUKSES</t>
        </is>
      </c>
      <c r="B26" t="inlineStr">
        <is>
          <t>Kota Tangerang</t>
        </is>
      </c>
      <c r="C26" t="inlineStr">
        <is>
          <t>083877516699</t>
        </is>
      </c>
      <c r="D26" t="inlineStr">
        <is>
          <t>banguntriadimandirisukses@gmail.com</t>
        </is>
      </c>
      <c r="E26" t="inlineStr">
        <is>
          <t>https://lpjk.pu.go.id/search-badan-usaha-detail/ZTByU1ZTdjZ0NXVIeWRKdVNKZHNFdz09</t>
        </is>
      </c>
      <c r="F26" t="n">
        <v>2</v>
      </c>
      <c r="G26" t="inlineStr">
        <is>
          <t>BG006, BG009</t>
        </is>
      </c>
      <c r="H26" t="inlineStr">
        <is>
          <t>5 Desember 2022</t>
        </is>
      </c>
      <c r="I26" s="2" t="n">
        <v>46354</v>
      </c>
      <c r="J26" t="inlineStr">
        <is>
          <t>Disetujui</t>
        </is>
      </c>
      <c r="K26" t="n">
        <v>87</v>
      </c>
      <c r="L26" t="inlineStr">
        <is>
          <t>28 November 2026</t>
        </is>
      </c>
      <c r="M26" t="inlineStr">
        <is>
          <t>Konstruksi Gedung Lainnya, Konstruksi Gedung Pendidikan</t>
        </is>
      </c>
      <c r="N26" t="inlineStr">
        <is>
          <t>K</t>
        </is>
      </c>
      <c r="O26" t="inlineStr">
        <is>
          <t>20231121, 20231128</t>
        </is>
      </c>
      <c r="P26" t="inlineStr">
        <is>
          <t>Banten</t>
        </is>
      </c>
      <c r="Q26" t="inlineStr"/>
    </row>
    <row r="27">
      <c r="A27" t="inlineStr">
        <is>
          <t>BAYU BROTHERS</t>
        </is>
      </c>
      <c r="B27" t="inlineStr">
        <is>
          <t>Kota Bandar Lampung</t>
        </is>
      </c>
      <c r="C27" t="inlineStr">
        <is>
          <t>085208552882</t>
        </is>
      </c>
      <c r="D27" t="inlineStr">
        <is>
          <t>cvbayubrother25@gmail.com</t>
        </is>
      </c>
      <c r="E27" t="inlineStr">
        <is>
          <t>https://lpjk.pu.go.id/search-badan-usaha-detail/YzVYQVBXc3h5RmIzYVVpQ1hUaDlBdz09</t>
        </is>
      </c>
      <c r="F27" t="n">
        <v>1</v>
      </c>
      <c r="G27" t="inlineStr">
        <is>
          <t>BG006</t>
        </is>
      </c>
      <c r="H27" t="inlineStr">
        <is>
          <t>11 Januari 2014</t>
        </is>
      </c>
      <c r="I27" s="2" t="n">
        <v>46354</v>
      </c>
      <c r="J27" t="inlineStr">
        <is>
          <t>Disetujui</t>
        </is>
      </c>
      <c r="K27" t="n">
        <v>87</v>
      </c>
      <c r="L27" t="inlineStr">
        <is>
          <t>28 November 2026</t>
        </is>
      </c>
      <c r="M27" t="inlineStr">
        <is>
          <t>Konstruksi Gedung Pendidikan</t>
        </is>
      </c>
      <c r="N27" t="inlineStr">
        <is>
          <t>K</t>
        </is>
      </c>
      <c r="O27" t="inlineStr">
        <is>
          <t>20231127</t>
        </is>
      </c>
      <c r="P27" t="inlineStr">
        <is>
          <t>Lampung</t>
        </is>
      </c>
      <c r="Q27" t="inlineStr"/>
    </row>
    <row r="28">
      <c r="A28" t="inlineStr">
        <is>
          <t>BERKAH AMELIA ANJANI</t>
        </is>
      </c>
      <c r="B28" t="inlineStr">
        <is>
          <t>Kota Tangerang Selatan</t>
        </is>
      </c>
      <c r="C28" t="inlineStr">
        <is>
          <t>082122402423</t>
        </is>
      </c>
      <c r="D28" t="inlineStr">
        <is>
          <t>berkahameliaanjani@gmail.com</t>
        </is>
      </c>
      <c r="E28" t="inlineStr">
        <is>
          <t>https://lpjk.pu.go.id/search-badan-usaha-detail/RjRXUHpGaHdQcmpiaU4zNUlwMldMUT09</t>
        </is>
      </c>
      <c r="F28" t="n">
        <v>8</v>
      </c>
      <c r="G28" t="inlineStr">
        <is>
          <t>BG005, BG006, BG009, BS001</t>
        </is>
      </c>
      <c r="H28" t="inlineStr">
        <is>
          <t>14 Januari 2009</t>
        </is>
      </c>
      <c r="I28" s="2" t="n">
        <v>46354</v>
      </c>
      <c r="J28" t="inlineStr">
        <is>
          <t>Disetujui</t>
        </is>
      </c>
      <c r="K28" t="n">
        <v>87</v>
      </c>
      <c r="L28" t="inlineStr">
        <is>
          <t>28 November 2026</t>
        </is>
      </c>
      <c r="M28" t="inlineStr">
        <is>
          <t>Konstruksi Bangunan Sipil Jalan, Konstruksi Gedung Kesehatan, Konstruksi Gedung Lainnya, Konstruksi Gedung Pendidikan</t>
        </is>
      </c>
      <c r="N28" t="inlineStr">
        <is>
          <t>K</t>
        </is>
      </c>
      <c r="O28" t="inlineStr">
        <is>
          <t>20231129</t>
        </is>
      </c>
      <c r="P28" t="inlineStr">
        <is>
          <t>Banten</t>
        </is>
      </c>
      <c r="Q28" t="inlineStr"/>
    </row>
    <row r="29">
      <c r="A29" t="inlineStr">
        <is>
          <t>BERLIAN</t>
        </is>
      </c>
      <c r="B29" t="inlineStr">
        <is>
          <t>Kab. Dharmasraya</t>
        </is>
      </c>
      <c r="C29" t="inlineStr">
        <is>
          <t>082386480080</t>
        </is>
      </c>
      <c r="D29" t="inlineStr">
        <is>
          <t>cv.berlianpajak@gmail.com</t>
        </is>
      </c>
      <c r="E29" t="inlineStr">
        <is>
          <t>https://lpjk.pu.go.id/search-badan-usaha-detail/MEdUNVM5blF3VGtDekJTYWsxdi95QT09</t>
        </is>
      </c>
      <c r="F29" t="n">
        <v>2</v>
      </c>
      <c r="G29" t="inlineStr">
        <is>
          <t>BS001, BS002</t>
        </is>
      </c>
      <c r="H29" t="inlineStr">
        <is>
          <t>21 Juni 2012</t>
        </is>
      </c>
      <c r="I29" s="2" t="n">
        <v>46354</v>
      </c>
      <c r="J29" t="inlineStr">
        <is>
          <t>Disetujui</t>
        </is>
      </c>
      <c r="K29" t="n">
        <v>87</v>
      </c>
      <c r="L29" t="inlineStr">
        <is>
          <t>28 November 2026</t>
        </is>
      </c>
      <c r="M29" t="inlineStr">
        <is>
          <t>Bangunan Sipil Jembatan, Jalan Layang, Fly Over, dan Underpass, Konstruksi Bangunan Sipil Jalan</t>
        </is>
      </c>
      <c r="N29" t="inlineStr">
        <is>
          <t>K</t>
        </is>
      </c>
      <c r="O29" t="inlineStr">
        <is>
          <t>20231128</t>
        </is>
      </c>
      <c r="P29" t="inlineStr">
        <is>
          <t>Sumatera Barat</t>
        </is>
      </c>
      <c r="Q29" t="inlineStr"/>
    </row>
    <row r="30">
      <c r="A30" t="inlineStr">
        <is>
          <t>BINA CIPTA SELARAS</t>
        </is>
      </c>
      <c r="B30" t="inlineStr">
        <is>
          <t>Kota Bandung</t>
        </is>
      </c>
      <c r="C30" t="inlineStr">
        <is>
          <t>08122357478</t>
        </is>
      </c>
      <c r="D30" t="inlineStr">
        <is>
          <t>bc.selaras77@gmail.com</t>
        </is>
      </c>
      <c r="E30" t="inlineStr">
        <is>
          <t>https://lpjk.pu.go.id/search-badan-usaha-detail/YVRrNlN5RWNHdHZQcm9TeTJFUHlJdz09</t>
        </is>
      </c>
      <c r="F30" t="n">
        <v>4</v>
      </c>
      <c r="G30" t="inlineStr">
        <is>
          <t>BG006, BG009, BS001, BS004</t>
        </is>
      </c>
      <c r="H30" t="inlineStr">
        <is>
          <t>18 Februari 2021</t>
        </is>
      </c>
      <c r="I30" s="2" t="n">
        <v>46354</v>
      </c>
      <c r="J30" t="inlineStr">
        <is>
          <t>Disetujui</t>
        </is>
      </c>
      <c r="K30" t="n">
        <v>87</v>
      </c>
      <c r="L30" t="inlineStr">
        <is>
          <t>28 November 2026</t>
        </is>
      </c>
      <c r="M30" t="inlineStr">
        <is>
          <t>Konstruksi Bangunan Sipil Jalan, Konstruksi Gedung Lainnya, Konstruksi Gedung Pendidikan, Konstruksi Jaringan Irigasi dan Drainase</t>
        </is>
      </c>
      <c r="N30" t="inlineStr">
        <is>
          <t>K</t>
        </is>
      </c>
      <c r="O30" t="inlineStr">
        <is>
          <t>20231127</t>
        </is>
      </c>
      <c r="P30" t="inlineStr">
        <is>
          <t>Jawa Barat</t>
        </is>
      </c>
      <c r="Q30" t="inlineStr"/>
    </row>
    <row r="31">
      <c r="A31" t="inlineStr">
        <is>
          <t>BINTANG MAS</t>
        </is>
      </c>
      <c r="B31" t="inlineStr">
        <is>
          <t>Kab. Majene</t>
        </is>
      </c>
      <c r="C31" t="inlineStr">
        <is>
          <t>0</t>
        </is>
      </c>
      <c r="D31" t="inlineStr">
        <is>
          <t>cvbintangmasmajene@yahoo.com</t>
        </is>
      </c>
      <c r="E31" t="inlineStr">
        <is>
          <t>https://lpjk.pu.go.id/search-badan-usaha-detail/a29zRG9WRlRDck5TeXl4U1gxa3kzQT09</t>
        </is>
      </c>
      <c r="F31" t="n">
        <v>2</v>
      </c>
      <c r="G31" t="inlineStr">
        <is>
          <t>BG005</t>
        </is>
      </c>
      <c r="H31" t="inlineStr">
        <is>
          <t>18 September 2000</t>
        </is>
      </c>
      <c r="I31" s="2" t="n">
        <v>46354</v>
      </c>
      <c r="J31" t="inlineStr">
        <is>
          <t>Disetujui</t>
        </is>
      </c>
      <c r="K31" t="n">
        <v>87</v>
      </c>
      <c r="L31" t="inlineStr">
        <is>
          <t>28 November 2026</t>
        </is>
      </c>
      <c r="M31" t="inlineStr">
        <is>
          <t>Konstruksi Gedung Kesehatan</t>
        </is>
      </c>
      <c r="N31" t="inlineStr">
        <is>
          <t>K</t>
        </is>
      </c>
      <c r="O31" t="inlineStr">
        <is>
          <t>20231128</t>
        </is>
      </c>
      <c r="P31" t="inlineStr">
        <is>
          <t>Sulawesi Barat</t>
        </is>
      </c>
      <c r="Q31" t="inlineStr"/>
    </row>
    <row r="32">
      <c r="A32" t="inlineStr">
        <is>
          <t>BINTANG SAMUDRA NUSANTARA</t>
        </is>
      </c>
      <c r="B32" t="inlineStr">
        <is>
          <t>Kab. Lombok Barat</t>
        </is>
      </c>
      <c r="C32" t="inlineStr">
        <is>
          <t>081907986718</t>
        </is>
      </c>
      <c r="D32" t="inlineStr">
        <is>
          <t>fiqri_matano@yahoo.com</t>
        </is>
      </c>
      <c r="E32" t="inlineStr">
        <is>
          <t>https://lpjk.pu.go.id/search-badan-usaha-detail/TUI2eEkvQXhabWY5cWVqZjVSclNpdz09</t>
        </is>
      </c>
      <c r="F32" t="n">
        <v>12</v>
      </c>
      <c r="G32" t="inlineStr">
        <is>
          <t>BG001, BG004, BG005, BG009, BS001, BS004</t>
        </is>
      </c>
      <c r="H32" t="inlineStr">
        <is>
          <t>11 Februari 2013</t>
        </is>
      </c>
      <c r="I32" s="2" t="n">
        <v>46354</v>
      </c>
      <c r="J32" t="inlineStr">
        <is>
          <t>Disetujui</t>
        </is>
      </c>
      <c r="K32" t="n">
        <v>87</v>
      </c>
      <c r="L32" t="inlineStr">
        <is>
          <t>28 November 2026</t>
        </is>
      </c>
      <c r="M32" t="inlineStr">
        <is>
          <t>Konstruksi Bangunan Sipil Jalan, Konstruksi Gedung Hunian, Konstruksi Gedung Kesehatan, Konstruksi Gedung Lainnya, Konstruksi Gedung Perbelanjaan, Konstruksi Jaringan Irigasi dan Drainase</t>
        </is>
      </c>
      <c r="N32" t="inlineStr">
        <is>
          <t>K</t>
        </is>
      </c>
      <c r="O32" t="inlineStr">
        <is>
          <t>20231117, 20231125, 20231201</t>
        </is>
      </c>
      <c r="P32" t="inlineStr">
        <is>
          <t>Nusa Tenggara Barat</t>
        </is>
      </c>
      <c r="Q32" t="inlineStr"/>
    </row>
    <row r="33">
      <c r="A33" t="inlineStr">
        <is>
          <t>BRAHMA ANANTA CONSULTANT</t>
        </is>
      </c>
      <c r="B33" t="inlineStr">
        <is>
          <t>Kab. Natuna</t>
        </is>
      </c>
      <c r="C33" t="inlineStr">
        <is>
          <t>082226846878</t>
        </is>
      </c>
      <c r="D33" t="inlineStr">
        <is>
          <t>brahmaanantaconsultant@gmail.com</t>
        </is>
      </c>
      <c r="E33" t="inlineStr">
        <is>
          <t>https://lpjk.pu.go.id/search-badan-usaha-detail/QVJaRk1BTDJmUFpodHBnQkZlN29Vdz09</t>
        </is>
      </c>
      <c r="F33" t="n">
        <v>3</v>
      </c>
      <c r="G33" t="inlineStr">
        <is>
          <t>RK002, RK003, RK005</t>
        </is>
      </c>
      <c r="H33" t="inlineStr">
        <is>
          <t>1 November 2023</t>
        </is>
      </c>
      <c r="I33" s="2" t="n">
        <v>46354</v>
      </c>
      <c r="J33" t="inlineStr">
        <is>
          <t>Disetujui</t>
        </is>
      </c>
      <c r="K33" t="n">
        <v>87</v>
      </c>
      <c r="L33" t="inlineStr">
        <is>
          <t>28 November 2026</t>
        </is>
      </c>
      <c r="M33" t="inlineStr">
        <is>
          <t>Jasa Rekayasa Lainnya, Jasa Rekayasa Pekerjaan Teknik Sipil Sumber Daya Air, Jasa Rekayasa Pekerjaan Teknik Sipil Transportasi</t>
        </is>
      </c>
      <c r="N33" t="inlineStr">
        <is>
          <t>K</t>
        </is>
      </c>
      <c r="O33" t="inlineStr">
        <is>
          <t>20231123</t>
        </is>
      </c>
      <c r="P33" t="inlineStr">
        <is>
          <t>Kepulauan Riau</t>
        </is>
      </c>
      <c r="Q33" t="inlineStr"/>
    </row>
    <row r="34">
      <c r="A34" t="inlineStr">
        <is>
          <t>BUNGA KARYA</t>
        </is>
      </c>
      <c r="B34" t="inlineStr">
        <is>
          <t>Kab. Pesisir Selatan</t>
        </is>
      </c>
      <c r="C34" t="inlineStr">
        <is>
          <t>082213133813</t>
        </is>
      </c>
      <c r="D34" t="inlineStr">
        <is>
          <t>cvbungakarya@gmail.com</t>
        </is>
      </c>
      <c r="E34" t="inlineStr">
        <is>
          <t>https://lpjk.pu.go.id/search-badan-usaha-detail/TWdTT1gvV0F6L2pkMytiTDFRMjZFQT09</t>
        </is>
      </c>
      <c r="F34" t="n">
        <v>5</v>
      </c>
      <c r="G34" t="inlineStr">
        <is>
          <t>BG002, BG004, BG005, BG006, BG009</t>
        </is>
      </c>
      <c r="H34" t="inlineStr">
        <is>
          <t>28 April 1993</t>
        </is>
      </c>
      <c r="I34" s="2" t="n">
        <v>46354</v>
      </c>
      <c r="J34" t="inlineStr">
        <is>
          <t>Disetujui</t>
        </is>
      </c>
      <c r="K34" t="n">
        <v>87</v>
      </c>
      <c r="L34" t="inlineStr">
        <is>
          <t>28 November 2026</t>
        </is>
      </c>
      <c r="M34" t="inlineStr">
        <is>
          <t>Konstruksi Gedung Kesehatan, Konstruksi Gedung Lainnya, Konstruksi Gedung Pendidikan, Konstruksi Gedung Perbelanjaan, Konstruksi Gedung Perkantoran</t>
        </is>
      </c>
      <c r="N34" t="inlineStr">
        <is>
          <t>K</t>
        </is>
      </c>
      <c r="O34" t="inlineStr">
        <is>
          <t>20231128</t>
        </is>
      </c>
      <c r="P34" t="inlineStr">
        <is>
          <t>Sumatera Barat</t>
        </is>
      </c>
      <c r="Q34" t="inlineStr"/>
    </row>
    <row r="35">
      <c r="A35" t="inlineStr">
        <is>
          <t>CHELSEA MITRA</t>
        </is>
      </c>
      <c r="B35" t="inlineStr">
        <is>
          <t>Kota Jayapura</t>
        </is>
      </c>
      <c r="C35" t="inlineStr">
        <is>
          <t>082110089855</t>
        </is>
      </c>
      <c r="D35" t="inlineStr">
        <is>
          <t>chelseamitracv@gmail.com</t>
        </is>
      </c>
      <c r="E35" t="inlineStr">
        <is>
          <t>https://lpjk.pu.go.id/search-badan-usaha-detail/WDE2ZXA2aWV5R0dGbXpzK3pEcmd6Zz09</t>
        </is>
      </c>
      <c r="F35" t="n">
        <v>2</v>
      </c>
      <c r="G35" t="inlineStr">
        <is>
          <t>BG009</t>
        </is>
      </c>
      <c r="H35" t="inlineStr">
        <is>
          <t>25 Februari 2014</t>
        </is>
      </c>
      <c r="I35" s="2" t="n">
        <v>46354</v>
      </c>
      <c r="J35" t="inlineStr">
        <is>
          <t>Disetujui</t>
        </is>
      </c>
      <c r="K35" t="n">
        <v>87</v>
      </c>
      <c r="L35" t="inlineStr">
        <is>
          <t>28 November 2026</t>
        </is>
      </c>
      <c r="M35" t="inlineStr">
        <is>
          <t>Konstruksi Gedung Lainnya</t>
        </is>
      </c>
      <c r="N35" t="inlineStr">
        <is>
          <t>K</t>
        </is>
      </c>
      <c r="O35" t="inlineStr">
        <is>
          <t>20231128</t>
        </is>
      </c>
      <c r="P35" t="inlineStr">
        <is>
          <t>Papua</t>
        </is>
      </c>
      <c r="Q35" t="inlineStr"/>
    </row>
    <row r="36">
      <c r="A36" t="inlineStr">
        <is>
          <t>CIPTA CASABIRU</t>
        </is>
      </c>
      <c r="B36" t="inlineStr">
        <is>
          <t>Kota Adm. Jakarta Selatan</t>
        </is>
      </c>
      <c r="C36" t="inlineStr">
        <is>
          <t>0217231680</t>
        </is>
      </c>
      <c r="D36" t="inlineStr">
        <is>
          <t>project@casadei.co.id</t>
        </is>
      </c>
      <c r="E36" t="inlineStr">
        <is>
          <t>https://lpjk.pu.go.id/search-badan-usaha-detail/TWQ5MWJPR3F0bWFZS1l0TlNrQXFzdz09</t>
        </is>
      </c>
      <c r="F36" t="n">
        <v>4</v>
      </c>
      <c r="G36" t="inlineStr">
        <is>
          <t>BG001, BG002</t>
        </is>
      </c>
      <c r="H36" t="inlineStr">
        <is>
          <t>23 April 2002</t>
        </is>
      </c>
      <c r="I36" s="2" t="n">
        <v>46354</v>
      </c>
      <c r="J36" t="inlineStr">
        <is>
          <t>Pencabutan</t>
        </is>
      </c>
      <c r="K36" t="n">
        <v>87</v>
      </c>
      <c r="L36" t="inlineStr">
        <is>
          <t>28 November 2026</t>
        </is>
      </c>
      <c r="M36" t="inlineStr">
        <is>
          <t>Konstruksi Gedung Hunian, Konstruksi Gedung Perkantoran</t>
        </is>
      </c>
      <c r="N36" t="inlineStr">
        <is>
          <t>K</t>
        </is>
      </c>
      <c r="O36" t="inlineStr">
        <is>
          <t>20231121</t>
        </is>
      </c>
      <c r="P36" t="inlineStr">
        <is>
          <t>DKI Jakarta</t>
        </is>
      </c>
      <c r="Q36" t="inlineStr"/>
    </row>
    <row r="37">
      <c r="A37" t="inlineStr">
        <is>
          <t>CIPTA PERDANA</t>
        </is>
      </c>
      <c r="B37" t="inlineStr">
        <is>
          <t>Kab. Banjar</t>
        </is>
      </c>
      <c r="C37" t="inlineStr">
        <is>
          <t>081251928583</t>
        </is>
      </c>
      <c r="D37" t="inlineStr">
        <is>
          <t>cipta_prdn@yahoo.co.id</t>
        </is>
      </c>
      <c r="E37" t="inlineStr">
        <is>
          <t>https://lpjk.pu.go.id/search-badan-usaha-detail/NzdvRFNKblRFb0t3RzllcnVzTHdTUT09</t>
        </is>
      </c>
      <c r="F37" t="n">
        <v>4</v>
      </c>
      <c r="G37" t="inlineStr">
        <is>
          <t>BS002, BS004</t>
        </is>
      </c>
      <c r="H37" t="inlineStr">
        <is>
          <t>24 Desember 2001</t>
        </is>
      </c>
      <c r="I37" s="2" t="n">
        <v>46354</v>
      </c>
      <c r="J37" t="inlineStr">
        <is>
          <t>Pencabutan</t>
        </is>
      </c>
      <c r="K37" t="n">
        <v>87</v>
      </c>
      <c r="L37" t="inlineStr">
        <is>
          <t>28 November 2026</t>
        </is>
      </c>
      <c r="M37" t="inlineStr">
        <is>
          <t>Bangunan Sipil Jembatan, Jalan Layang, Fly Over, dan Underpass, Konstruksi Jaringan Irigasi dan Drainase</t>
        </is>
      </c>
      <c r="N37" t="inlineStr">
        <is>
          <t>K</t>
        </is>
      </c>
      <c r="O37" t="inlineStr">
        <is>
          <t>20231121, 20231129</t>
        </is>
      </c>
      <c r="P37" t="inlineStr">
        <is>
          <t>Kalimantan Selatan</t>
        </is>
      </c>
      <c r="Q37" t="inlineStr"/>
    </row>
    <row r="38">
      <c r="A38" t="inlineStr">
        <is>
          <t>CITRA KARYA NAWASENA</t>
        </is>
      </c>
      <c r="B38" t="inlineStr">
        <is>
          <t>Kab. Boyolali</t>
        </is>
      </c>
      <c r="C38" t="inlineStr">
        <is>
          <t>081334439133</t>
        </is>
      </c>
      <c r="D38" t="inlineStr">
        <is>
          <t>cvcitrakaryanawasena@gmail.com</t>
        </is>
      </c>
      <c r="E38" t="inlineStr">
        <is>
          <t>https://lpjk.pu.go.id/search-badan-usaha-detail/UHlwY0pDVW1FUWx4QW9NZCtxdjZDZz09</t>
        </is>
      </c>
      <c r="F38" t="n">
        <v>1</v>
      </c>
      <c r="G38" t="inlineStr">
        <is>
          <t>RK001</t>
        </is>
      </c>
      <c r="H38" t="inlineStr">
        <is>
          <t>26 Oktober 2023</t>
        </is>
      </c>
      <c r="I38" s="2" t="n">
        <v>46354</v>
      </c>
      <c r="J38" t="inlineStr">
        <is>
          <t>Disetujui</t>
        </is>
      </c>
      <c r="K38" t="n">
        <v>87</v>
      </c>
      <c r="L38" t="inlineStr">
        <is>
          <t>28 November 2026</t>
        </is>
      </c>
      <c r="M38" t="inlineStr">
        <is>
          <t>Jasa Rekayasa Konstruksi Bangunan Gedung Hunian dan Non Hunian</t>
        </is>
      </c>
      <c r="N38" t="inlineStr">
        <is>
          <t>K</t>
        </is>
      </c>
      <c r="O38" t="inlineStr">
        <is>
          <t>20231118</t>
        </is>
      </c>
      <c r="P38" t="inlineStr">
        <is>
          <t>Jawa Tengah</t>
        </is>
      </c>
      <c r="Q38" t="inlineStr"/>
    </row>
    <row r="39">
      <c r="A39" t="inlineStr">
        <is>
          <t>CITRA SELARAS AGUNG ABADI</t>
        </is>
      </c>
      <c r="B39" t="inlineStr">
        <is>
          <t>Kota Adm. Jakarta Barat</t>
        </is>
      </c>
      <c r="C39" t="inlineStr">
        <is>
          <t>081325998578</t>
        </is>
      </c>
      <c r="D39" t="inlineStr">
        <is>
          <t>ptcsaa@gmail.com</t>
        </is>
      </c>
      <c r="E39" t="inlineStr">
        <is>
          <t>https://lpjk.pu.go.id/search-badan-usaha-detail/ZFI1TVVZMjd1bVFkQ1NqTVBKejg2bHQyUTFRcEdJRlc2MlNrMUVHV0FKST0</t>
        </is>
      </c>
      <c r="F39" t="n">
        <v>1</v>
      </c>
      <c r="G39" t="inlineStr">
        <is>
          <t>BG001</t>
        </is>
      </c>
      <c r="H39" t="inlineStr">
        <is>
          <t>5 Oktober 2020</t>
        </is>
      </c>
      <c r="I39" s="2" t="n">
        <v>46354</v>
      </c>
      <c r="J39" t="inlineStr">
        <is>
          <t>Disetujui</t>
        </is>
      </c>
      <c r="K39" t="n">
        <v>87</v>
      </c>
      <c r="L39" t="inlineStr">
        <is>
          <t>28 November 2026</t>
        </is>
      </c>
      <c r="M39" t="inlineStr">
        <is>
          <t>Konstruksi Gedung Hunian</t>
        </is>
      </c>
      <c r="N39" t="inlineStr">
        <is>
          <t>K</t>
        </is>
      </c>
      <c r="O39" t="inlineStr">
        <is>
          <t>20231127</t>
        </is>
      </c>
      <c r="P39" t="inlineStr">
        <is>
          <t>DKI Jakarta</t>
        </is>
      </c>
      <c r="Q39" t="inlineStr"/>
    </row>
    <row r="40">
      <c r="A40" t="inlineStr">
        <is>
          <t>CURUG KEMBARMAS</t>
        </is>
      </c>
      <c r="B40" t="inlineStr">
        <is>
          <t>Kota Bandung</t>
        </is>
      </c>
      <c r="C40" t="inlineStr">
        <is>
          <t>0227275887</t>
        </is>
      </c>
      <c r="D40" t="inlineStr">
        <is>
          <t>curugkembarpt@gmail.com</t>
        </is>
      </c>
      <c r="E40" t="inlineStr">
        <is>
          <t>https://lpjk.pu.go.id/search-badan-usaha-detail/R2JtNmpEZWlwVHdBMyt0V1FFZjJCUT09</t>
        </is>
      </c>
      <c r="F40" t="n">
        <v>1</v>
      </c>
      <c r="G40" t="inlineStr">
        <is>
          <t>BS001</t>
        </is>
      </c>
      <c r="H40" t="inlineStr">
        <is>
          <t>18 Januari 1993</t>
        </is>
      </c>
      <c r="I40" s="2" t="n">
        <v>46354</v>
      </c>
      <c r="J40" t="inlineStr">
        <is>
          <t>Disetujui</t>
        </is>
      </c>
      <c r="K40" t="n">
        <v>87</v>
      </c>
      <c r="L40" t="inlineStr">
        <is>
          <t>28 November 2026</t>
        </is>
      </c>
      <c r="M40" t="inlineStr">
        <is>
          <t>Konstruksi Bangunan Sipil Jalan</t>
        </is>
      </c>
      <c r="N40" t="inlineStr">
        <is>
          <t>K</t>
        </is>
      </c>
      <c r="O40" t="inlineStr">
        <is>
          <t>20231123</t>
        </is>
      </c>
      <c r="P40" t="inlineStr">
        <is>
          <t>Jawa Barat</t>
        </is>
      </c>
      <c r="Q40" t="inlineStr"/>
    </row>
    <row r="41">
      <c r="A41" t="inlineStr">
        <is>
          <t>DARMA PUTERA AGUNG</t>
        </is>
      </c>
      <c r="B41" t="inlineStr">
        <is>
          <t>Kab. Cilacap</t>
        </is>
      </c>
      <c r="C41" t="inlineStr">
        <is>
          <t>0282538197</t>
        </is>
      </c>
      <c r="D41" t="inlineStr">
        <is>
          <t>ptdarmaputeraagung@yahoo.co.od</t>
        </is>
      </c>
      <c r="E41" t="inlineStr">
        <is>
          <t>https://lpjk.pu.go.id/search-badan-usaha-detail/R1dSRHVZejRhbEZNYWxVb3FUTlY2UT09</t>
        </is>
      </c>
      <c r="F41" t="n">
        <v>2</v>
      </c>
      <c r="G41" t="inlineStr">
        <is>
          <t>BG002, BG009</t>
        </is>
      </c>
      <c r="H41" t="inlineStr">
        <is>
          <t>14 Januari 2004</t>
        </is>
      </c>
      <c r="I41" s="2" t="n">
        <v>46354</v>
      </c>
      <c r="J41" t="inlineStr">
        <is>
          <t>Disetujui</t>
        </is>
      </c>
      <c r="K41" t="n">
        <v>87</v>
      </c>
      <c r="L41" t="inlineStr">
        <is>
          <t>28 November 2026</t>
        </is>
      </c>
      <c r="M41" t="inlineStr">
        <is>
          <t>Konstruksi Gedung Lainnya, Konstruksi Gedung Perkantoran</t>
        </is>
      </c>
      <c r="N41" t="inlineStr">
        <is>
          <t>K</t>
        </is>
      </c>
      <c r="O41" t="inlineStr">
        <is>
          <t>20231128, 20231129</t>
        </is>
      </c>
      <c r="P41" t="inlineStr">
        <is>
          <t>Jawa Tengah</t>
        </is>
      </c>
      <c r="Q41" t="inlineStr"/>
    </row>
    <row r="42">
      <c r="A42" t="inlineStr">
        <is>
          <t>DINA TEHNIKA UTAMA</t>
        </is>
      </c>
      <c r="B42" t="inlineStr">
        <is>
          <t>Kab. Lombok Tengah</t>
        </is>
      </c>
      <c r="C42" t="inlineStr">
        <is>
          <t>087865370514</t>
        </is>
      </c>
      <c r="D42" t="inlineStr">
        <is>
          <t>dinatehnikautama@gmail.com</t>
        </is>
      </c>
      <c r="E42" t="inlineStr">
        <is>
          <t>https://lpjk.pu.go.id/search-badan-usaha-detail/bnE3a2xmaUJqOUdTalI0S0Y1RGxGdz09</t>
        </is>
      </c>
      <c r="F42" t="n">
        <v>6</v>
      </c>
      <c r="G42" t="inlineStr">
        <is>
          <t>BG006, BG009, BS001</t>
        </is>
      </c>
      <c r="H42" t="inlineStr">
        <is>
          <t>9 Juni 1995</t>
        </is>
      </c>
      <c r="I42" s="2" t="n">
        <v>46354</v>
      </c>
      <c r="J42" t="inlineStr">
        <is>
          <t>Disetujui</t>
        </is>
      </c>
      <c r="K42" t="n">
        <v>87</v>
      </c>
      <c r="L42" t="inlineStr">
        <is>
          <t>28 November 2026</t>
        </is>
      </c>
      <c r="M42" t="inlineStr">
        <is>
          <t>Konstruksi Bangunan Sipil Jalan, Konstruksi Gedung Lainnya, Konstruksi Gedung Pendidikan</t>
        </is>
      </c>
      <c r="N42" t="inlineStr">
        <is>
          <t>K</t>
        </is>
      </c>
      <c r="O42" t="inlineStr">
        <is>
          <t>20231128</t>
        </is>
      </c>
      <c r="P42" t="inlineStr">
        <is>
          <t>Nusa Tenggara Barat</t>
        </is>
      </c>
      <c r="Q42" t="inlineStr"/>
    </row>
    <row r="43">
      <c r="A43" t="inlineStr">
        <is>
          <t>FAEYZA JAYA PERKASA</t>
        </is>
      </c>
      <c r="B43" t="inlineStr">
        <is>
          <t>Kab. Pangkajene Kepulauan</t>
        </is>
      </c>
      <c r="C43" t="inlineStr">
        <is>
          <t>0811413111</t>
        </is>
      </c>
      <c r="D43" t="inlineStr">
        <is>
          <t>faeyzajp2023@gmail.com</t>
        </is>
      </c>
      <c r="E43" t="inlineStr">
        <is>
          <t>https://lpjk.pu.go.id/search-badan-usaha-detail/NlZYQ2ZwVWdDYmZGWE1DeWdRbjR2UT09</t>
        </is>
      </c>
      <c r="F43" t="n">
        <v>3</v>
      </c>
      <c r="G43" t="inlineStr">
        <is>
          <t>BG001, BG002, BG009</t>
        </is>
      </c>
      <c r="H43" t="inlineStr">
        <is>
          <t>2 Maret 2023</t>
        </is>
      </c>
      <c r="I43" s="2" t="n">
        <v>46354</v>
      </c>
      <c r="J43" t="inlineStr">
        <is>
          <t>Disetujui</t>
        </is>
      </c>
      <c r="K43" t="n">
        <v>87</v>
      </c>
      <c r="L43" t="inlineStr">
        <is>
          <t>28 November 2026</t>
        </is>
      </c>
      <c r="M43" t="inlineStr">
        <is>
          <t>Konstruksi Gedung Hunian, Konstruksi Gedung Lainnya, Konstruksi Gedung Perkantoran</t>
        </is>
      </c>
      <c r="N43" t="inlineStr">
        <is>
          <t>K</t>
        </is>
      </c>
      <c r="O43" t="inlineStr">
        <is>
          <t>20231030</t>
        </is>
      </c>
      <c r="P43" t="inlineStr">
        <is>
          <t>Sulawesi Selatan</t>
        </is>
      </c>
      <c r="Q43" t="inlineStr"/>
    </row>
    <row r="44">
      <c r="A44" t="inlineStr">
        <is>
          <t>GEMILANG</t>
        </is>
      </c>
      <c r="B44" t="inlineStr">
        <is>
          <t>Kab. Ponorogo</t>
        </is>
      </c>
      <c r="C44" t="inlineStr">
        <is>
          <t>085702819117</t>
        </is>
      </c>
      <c r="D44" t="inlineStr">
        <is>
          <t>gemilang.cv8@gmail.com</t>
        </is>
      </c>
      <c r="E44" t="inlineStr">
        <is>
          <t>https://lpjk.pu.go.id/search-badan-usaha-detail/V2FKSUhJMmRRZnh2WXFVQWpuSUZxUT09</t>
        </is>
      </c>
      <c r="F44" t="n">
        <v>2</v>
      </c>
      <c r="G44" t="inlineStr">
        <is>
          <t>BS001, BS004</t>
        </is>
      </c>
      <c r="H44" t="inlineStr">
        <is>
          <t>21 Agustus 1995</t>
        </is>
      </c>
      <c r="I44" s="2" t="n">
        <v>46354</v>
      </c>
      <c r="J44" t="inlineStr">
        <is>
          <t>Disetujui</t>
        </is>
      </c>
      <c r="K44" t="n">
        <v>87</v>
      </c>
      <c r="L44" t="inlineStr">
        <is>
          <t>28 November 2026</t>
        </is>
      </c>
      <c r="M44" t="inlineStr">
        <is>
          <t>Konstruksi Bangunan Sipil Jalan, Konstruksi Jaringan Irigasi dan Drainase</t>
        </is>
      </c>
      <c r="N44" t="inlineStr">
        <is>
          <t>K</t>
        </is>
      </c>
      <c r="O44" t="inlineStr">
        <is>
          <t>20231127, 20231129</t>
        </is>
      </c>
      <c r="P44" t="inlineStr">
        <is>
          <t>Jawa Timur</t>
        </is>
      </c>
      <c r="Q44" t="inlineStr"/>
    </row>
    <row r="45">
      <c r="A45" t="inlineStr">
        <is>
          <t>GENERASI PENERUS</t>
        </is>
      </c>
      <c r="B45" t="inlineStr">
        <is>
          <t>Kab. Lombok Barat</t>
        </is>
      </c>
      <c r="C45" t="inlineStr">
        <is>
          <t>0817364840</t>
        </is>
      </c>
      <c r="D45" t="inlineStr">
        <is>
          <t>penerusgenerasi05@gmail.com</t>
        </is>
      </c>
      <c r="E45" t="inlineStr">
        <is>
          <t>https://lpjk.pu.go.id/search-badan-usaha-detail/ZUhXVldLbi9ZeDZnU3kzL2p3TnRQZz09</t>
        </is>
      </c>
      <c r="F45" t="n">
        <v>4</v>
      </c>
      <c r="G45" t="inlineStr">
        <is>
          <t>BG002, BG006, BS001, BS004</t>
        </is>
      </c>
      <c r="H45" t="inlineStr">
        <is>
          <t>9 September 2019</t>
        </is>
      </c>
      <c r="I45" s="2" t="n">
        <v>46354</v>
      </c>
      <c r="J45" t="inlineStr">
        <is>
          <t>Disetujui, Pencabutan</t>
        </is>
      </c>
      <c r="K45" t="n">
        <v>87</v>
      </c>
      <c r="L45" t="inlineStr">
        <is>
          <t>28 November 2026</t>
        </is>
      </c>
      <c r="M45" t="inlineStr">
        <is>
          <t>Konstruksi Bangunan Sipil Jalan, Konstruksi Gedung Pendidikan, Konstruksi Gedung Perkantoran, Konstruksi Jaringan Irigasi dan Drainase</t>
        </is>
      </c>
      <c r="N45" t="inlineStr">
        <is>
          <t>K</t>
        </is>
      </c>
      <c r="O45" t="inlineStr">
        <is>
          <t>20231128, 20231129, 20231204</t>
        </is>
      </c>
      <c r="P45" t="inlineStr">
        <is>
          <t>Nusa Tenggara Barat</t>
        </is>
      </c>
      <c r="Q45" t="inlineStr"/>
    </row>
    <row r="46">
      <c r="A46" t="inlineStr">
        <is>
          <t>GIBRANAUREL PILAR PERKASA</t>
        </is>
      </c>
      <c r="B46" t="inlineStr">
        <is>
          <t>Kota Bandung</t>
        </is>
      </c>
      <c r="C46" t="inlineStr">
        <is>
          <t>02220505057</t>
        </is>
      </c>
      <c r="D46" t="inlineStr">
        <is>
          <t>ga.pilarperkasa@gmail.com</t>
        </is>
      </c>
      <c r="E46" t="inlineStr">
        <is>
          <t>https://lpjk.pu.go.id/search-badan-usaha-detail/SUdXU3IwVDdIaUFTUUYwWFhVZXQwdz09</t>
        </is>
      </c>
      <c r="F46" t="n">
        <v>10</v>
      </c>
      <c r="G46" t="inlineStr">
        <is>
          <t>BG002, BG003, BG005, BG006, BG009</t>
        </is>
      </c>
      <c r="H46" t="inlineStr">
        <is>
          <t>7 Februari 2019</t>
        </is>
      </c>
      <c r="I46" s="2" t="n">
        <v>46354</v>
      </c>
      <c r="J46" t="inlineStr">
        <is>
          <t>Disetujui</t>
        </is>
      </c>
      <c r="K46" t="n">
        <v>87</v>
      </c>
      <c r="L46" t="inlineStr">
        <is>
          <t>28 November 2026</t>
        </is>
      </c>
      <c r="M46" t="inlineStr">
        <is>
          <t>Konstruksi Gedung Industri, Konstruksi Gedung Kesehatan, Konstruksi Gedung Lainnya, Konstruksi Gedung Pendidikan, Konstruksi Gedung Perkantoran</t>
        </is>
      </c>
      <c r="N46" t="inlineStr">
        <is>
          <t>K</t>
        </is>
      </c>
      <c r="O46" t="inlineStr">
        <is>
          <t>20231128</t>
        </is>
      </c>
      <c r="P46" t="inlineStr">
        <is>
          <t>Jawa Barat</t>
        </is>
      </c>
      <c r="Q46" t="inlineStr"/>
    </row>
    <row r="47">
      <c r="A47" t="inlineStr">
        <is>
          <t>GLOBAL MUKTI BERKAH</t>
        </is>
      </c>
      <c r="B47" t="inlineStr">
        <is>
          <t>Kota Tangerang</t>
        </is>
      </c>
      <c r="C47" t="inlineStr">
        <is>
          <t>081283859774</t>
        </is>
      </c>
      <c r="D47" t="inlineStr">
        <is>
          <t>pt.globalmukti_berkah@yahoo.com</t>
        </is>
      </c>
      <c r="E47" t="inlineStr">
        <is>
          <t>https://lpjk.pu.go.id/search-badan-usaha-detail/RkNxYTJUaWtRRkFWdngxbDhzeXlLQT09</t>
        </is>
      </c>
      <c r="F47" t="n">
        <v>1</v>
      </c>
      <c r="G47" t="inlineStr">
        <is>
          <t>BG002</t>
        </is>
      </c>
      <c r="H47" t="inlineStr">
        <is>
          <t>12 Agustus 2021</t>
        </is>
      </c>
      <c r="I47" s="2" t="n">
        <v>46354</v>
      </c>
      <c r="J47" t="inlineStr">
        <is>
          <t>Disetujui</t>
        </is>
      </c>
      <c r="K47" t="n">
        <v>87</v>
      </c>
      <c r="L47" t="inlineStr">
        <is>
          <t>28 November 2026</t>
        </is>
      </c>
      <c r="M47" t="inlineStr">
        <is>
          <t>Konstruksi Gedung Perkantoran</t>
        </is>
      </c>
      <c r="N47" t="inlineStr">
        <is>
          <t>K</t>
        </is>
      </c>
      <c r="O47" t="inlineStr">
        <is>
          <t>20231123</t>
        </is>
      </c>
      <c r="P47" t="inlineStr">
        <is>
          <t>Banten</t>
        </is>
      </c>
      <c r="Q47" t="inlineStr"/>
    </row>
    <row r="48">
      <c r="A48" t="inlineStr">
        <is>
          <t>GUNUNG AGUNG KONTRAKTOR</t>
        </is>
      </c>
      <c r="B48" t="inlineStr">
        <is>
          <t>Kota Adm. Jakarta Pusat</t>
        </is>
      </c>
      <c r="C48" t="inlineStr">
        <is>
          <t>081315335078</t>
        </is>
      </c>
      <c r="D48" t="inlineStr">
        <is>
          <t>ptgunungagungkontraktor@gmail.com</t>
        </is>
      </c>
      <c r="E48" t="inlineStr">
        <is>
          <t>https://lpjk.pu.go.id/search-badan-usaha-detail/NVBkVml4b3lMK2pFbFJ5QzF6Rk9pQT09</t>
        </is>
      </c>
      <c r="F48" t="n">
        <v>1</v>
      </c>
      <c r="G48" t="inlineStr">
        <is>
          <t>BG003</t>
        </is>
      </c>
      <c r="H48" t="inlineStr">
        <is>
          <t>10 Juni 2022</t>
        </is>
      </c>
      <c r="I48" s="2" t="n">
        <v>46354</v>
      </c>
      <c r="J48" t="inlineStr">
        <is>
          <t>Disetujui</t>
        </is>
      </c>
      <c r="K48" t="n">
        <v>87</v>
      </c>
      <c r="L48" t="inlineStr">
        <is>
          <t>28 November 2026</t>
        </is>
      </c>
      <c r="M48" t="inlineStr">
        <is>
          <t>Konstruksi Gedung Industri</t>
        </is>
      </c>
      <c r="N48" t="inlineStr">
        <is>
          <t>B</t>
        </is>
      </c>
      <c r="O48" t="inlineStr">
        <is>
          <t>20231123</t>
        </is>
      </c>
      <c r="P48" t="inlineStr">
        <is>
          <t>DKI Jakarta</t>
        </is>
      </c>
      <c r="Q48" t="inlineStr"/>
    </row>
    <row r="49">
      <c r="A49" t="inlineStr">
        <is>
          <t>HARAPAN KITA</t>
        </is>
      </c>
      <c r="B49" t="inlineStr">
        <is>
          <t>Kota Adm. Jakarta Utara</t>
        </is>
      </c>
      <c r="C49" t="inlineStr">
        <is>
          <t>02146509064</t>
        </is>
      </c>
      <c r="D49" t="inlineStr">
        <is>
          <t>cvharapankita1981@gmail.com</t>
        </is>
      </c>
      <c r="E49" t="inlineStr">
        <is>
          <t>https://lpjk.pu.go.id/search-badan-usaha-detail/WE8zdHQyVFc1eTE3WHZzZkZKam05UT09</t>
        </is>
      </c>
      <c r="F49" t="n">
        <v>3</v>
      </c>
      <c r="G49" t="inlineStr">
        <is>
          <t>BG002, BG009, BS001</t>
        </is>
      </c>
      <c r="H49" t="inlineStr">
        <is>
          <t>14 Desember 2022</t>
        </is>
      </c>
      <c r="I49" s="2" t="n">
        <v>46354</v>
      </c>
      <c r="J49" t="inlineStr">
        <is>
          <t>Disetujui</t>
        </is>
      </c>
      <c r="K49" t="n">
        <v>87</v>
      </c>
      <c r="L49" t="inlineStr">
        <is>
          <t>28 November 2026</t>
        </is>
      </c>
      <c r="M49" t="inlineStr">
        <is>
          <t>Konstruksi Bangunan Sipil Jalan, Konstruksi Gedung Lainnya, Konstruksi Gedung Perkantoran</t>
        </is>
      </c>
      <c r="N49" t="inlineStr">
        <is>
          <t>K</t>
        </is>
      </c>
      <c r="O49" t="inlineStr">
        <is>
          <t>20231128</t>
        </is>
      </c>
      <c r="P49" t="inlineStr">
        <is>
          <t>DKI Jakarta</t>
        </is>
      </c>
      <c r="Q49" t="inlineStr"/>
    </row>
    <row r="50">
      <c r="A50" t="inlineStr">
        <is>
          <t>INDO PETANG NUSANTARA</t>
        </is>
      </c>
      <c r="B50" t="inlineStr">
        <is>
          <t>Kota Tangerang</t>
        </is>
      </c>
      <c r="C50" t="inlineStr">
        <is>
          <t>081211260866</t>
        </is>
      </c>
      <c r="D50" t="inlineStr">
        <is>
          <t>indopetangnusantara@gmail.com</t>
        </is>
      </c>
      <c r="E50" t="inlineStr">
        <is>
          <t>https://lpjk.pu.go.id/search-badan-usaha-detail/YkM2d1FCaEV5WGhQQWJPZjFWRWZLZz09</t>
        </is>
      </c>
      <c r="F50" t="n">
        <v>2</v>
      </c>
      <c r="G50" t="inlineStr">
        <is>
          <t>BG005, BG009</t>
        </is>
      </c>
      <c r="H50" t="inlineStr">
        <is>
          <t>25 Oktober 2023</t>
        </is>
      </c>
      <c r="I50" s="2" t="n">
        <v>46354</v>
      </c>
      <c r="J50" t="inlineStr">
        <is>
          <t>Disetujui</t>
        </is>
      </c>
      <c r="K50" t="n">
        <v>87</v>
      </c>
      <c r="L50" t="inlineStr">
        <is>
          <t>28 November 2026</t>
        </is>
      </c>
      <c r="M50" t="inlineStr">
        <is>
          <t>Konstruksi Gedung Kesehatan, Konstruksi Gedung Lainnya</t>
        </is>
      </c>
      <c r="N50" t="inlineStr">
        <is>
          <t>K</t>
        </is>
      </c>
      <c r="O50" t="inlineStr">
        <is>
          <t>20231125</t>
        </is>
      </c>
      <c r="P50" t="inlineStr">
        <is>
          <t>Banten</t>
        </is>
      </c>
      <c r="Q50" t="inlineStr"/>
    </row>
    <row r="51">
      <c r="A51" t="inlineStr">
        <is>
          <t>INTI KARYA ENGINEERING</t>
        </is>
      </c>
      <c r="B51" t="inlineStr">
        <is>
          <t>Kota Cilegon</t>
        </is>
      </c>
      <c r="C51" t="inlineStr">
        <is>
          <t>085281916395</t>
        </is>
      </c>
      <c r="D51" t="inlineStr">
        <is>
          <t>Inkae.banten@gmail.com</t>
        </is>
      </c>
      <c r="E51" t="inlineStr">
        <is>
          <t>https://lpjk.pu.go.id/search-badan-usaha-detail/RjJWcWdYOHJiMHZYZFp6THduQkw5Zz09</t>
        </is>
      </c>
      <c r="F51" t="n">
        <v>2</v>
      </c>
      <c r="G51" t="inlineStr">
        <is>
          <t>BG003, BG009</t>
        </is>
      </c>
      <c r="H51" t="inlineStr">
        <is>
          <t>2 April 2020</t>
        </is>
      </c>
      <c r="I51" s="2" t="n">
        <v>46354</v>
      </c>
      <c r="J51" t="inlineStr">
        <is>
          <t>Pencabutan</t>
        </is>
      </c>
      <c r="K51" t="n">
        <v>87</v>
      </c>
      <c r="L51" t="inlineStr">
        <is>
          <t>28 November 2026</t>
        </is>
      </c>
      <c r="M51" t="inlineStr">
        <is>
          <t>Konstruksi Gedung Industri, Konstruksi Gedung Lainnya</t>
        </is>
      </c>
      <c r="N51" t="inlineStr">
        <is>
          <t>K</t>
        </is>
      </c>
      <c r="O51" t="inlineStr">
        <is>
          <t>20231114</t>
        </is>
      </c>
      <c r="P51" t="inlineStr">
        <is>
          <t>Banten</t>
        </is>
      </c>
      <c r="Q51" t="inlineStr"/>
    </row>
    <row r="52">
      <c r="A52" t="inlineStr">
        <is>
          <t>JAGARNATAMA PUTRA MANDIRI</t>
        </is>
      </c>
      <c r="B52" t="inlineStr">
        <is>
          <t>Kota Padang</t>
        </is>
      </c>
      <c r="C52" t="inlineStr">
        <is>
          <t>085358618825</t>
        </is>
      </c>
      <c r="D52" t="inlineStr">
        <is>
          <t>jagarnatamaputram@gmail.com</t>
        </is>
      </c>
      <c r="E52" t="inlineStr">
        <is>
          <t>https://lpjk.pu.go.id/search-badan-usaha-detail/VkVqZllCSHVIUThRRkY3NkpBYmxMdz09</t>
        </is>
      </c>
      <c r="F52" t="n">
        <v>1</v>
      </c>
      <c r="G52" t="inlineStr">
        <is>
          <t>BS002</t>
        </is>
      </c>
      <c r="H52" t="inlineStr">
        <is>
          <t>14 Februari 2023</t>
        </is>
      </c>
      <c r="I52" s="2" t="n">
        <v>46354</v>
      </c>
      <c r="J52" t="inlineStr">
        <is>
          <t>Disetujui</t>
        </is>
      </c>
      <c r="K52" t="n">
        <v>87</v>
      </c>
      <c r="L52" t="inlineStr">
        <is>
          <t>28 November 2026</t>
        </is>
      </c>
      <c r="M52" t="inlineStr">
        <is>
          <t>Bangunan Sipil Jembatan, Jalan Layang, Fly Over, dan Underpass</t>
        </is>
      </c>
      <c r="N52" t="inlineStr">
        <is>
          <t>K</t>
        </is>
      </c>
      <c r="O52" t="inlineStr">
        <is>
          <t>20231110</t>
        </is>
      </c>
      <c r="P52" t="inlineStr">
        <is>
          <t>Sumatera Barat</t>
        </is>
      </c>
      <c r="Q52" t="inlineStr"/>
    </row>
    <row r="53">
      <c r="A53" t="inlineStr">
        <is>
          <t>JAYA MANTRA</t>
        </is>
      </c>
      <c r="B53" t="inlineStr">
        <is>
          <t>Kab. Jembrana</t>
        </is>
      </c>
      <c r="C53" t="inlineStr">
        <is>
          <t>036543754</t>
        </is>
      </c>
      <c r="D53" t="inlineStr">
        <is>
          <t>cvjayamantra@gmail.com</t>
        </is>
      </c>
      <c r="E53" t="inlineStr">
        <is>
          <t>https://lpjk.pu.go.id/search-badan-usaha-detail/NUY1R0xMYWRhTnJEVTVnVlh6MkI5UT09</t>
        </is>
      </c>
      <c r="F53" t="n">
        <v>4</v>
      </c>
      <c r="G53" t="inlineStr">
        <is>
          <t>BG002, BG005, BG006, BG009</t>
        </is>
      </c>
      <c r="H53" t="inlineStr">
        <is>
          <t>5 Mei 2011</t>
        </is>
      </c>
      <c r="I53" s="2" t="n">
        <v>46354</v>
      </c>
      <c r="J53" t="inlineStr">
        <is>
          <t>Disetujui</t>
        </is>
      </c>
      <c r="K53" t="n">
        <v>87</v>
      </c>
      <c r="L53" t="inlineStr">
        <is>
          <t>28 November 2026</t>
        </is>
      </c>
      <c r="M53" t="inlineStr">
        <is>
          <t>Konstruksi Gedung Kesehatan, Konstruksi Gedung Lainnya, Konstruksi Gedung Pendidikan, Konstruksi Gedung Perkantoran</t>
        </is>
      </c>
      <c r="N53" t="inlineStr">
        <is>
          <t>K</t>
        </is>
      </c>
      <c r="O53" t="inlineStr">
        <is>
          <t>20231122, 20231130</t>
        </is>
      </c>
      <c r="P53" t="inlineStr">
        <is>
          <t>Bali</t>
        </is>
      </c>
      <c r="Q53" t="inlineStr"/>
    </row>
    <row r="54">
      <c r="A54" t="inlineStr">
        <is>
          <t>JAYA MULYA GROUPS</t>
        </is>
      </c>
      <c r="B54" t="inlineStr">
        <is>
          <t>Kab. Gresik</t>
        </is>
      </c>
      <c r="C54" t="inlineStr">
        <is>
          <t>081217843546</t>
        </is>
      </c>
      <c r="D54" t="inlineStr">
        <is>
          <t>ptjayamulyagroups99@gmail.com</t>
        </is>
      </c>
      <c r="E54" t="inlineStr">
        <is>
          <t>https://lpjk.pu.go.id/search-badan-usaha-detail/WDJFZlBQK2d5emhwRWdPdWVqZjN2UT09</t>
        </is>
      </c>
      <c r="F54" t="n">
        <v>7</v>
      </c>
      <c r="G54" t="inlineStr">
        <is>
          <t>BG001, BG002, BG003, BG004, BG008, BS001, BS002</t>
        </is>
      </c>
      <c r="H54" t="inlineStr">
        <is>
          <t>26 Juli 2004</t>
        </is>
      </c>
      <c r="I54" s="2" t="n">
        <v>46354</v>
      </c>
      <c r="J54" t="inlineStr">
        <is>
          <t>Disetujui</t>
        </is>
      </c>
      <c r="K54" t="n">
        <v>87</v>
      </c>
      <c r="L54" t="inlineStr">
        <is>
          <t>28 November 2026</t>
        </is>
      </c>
      <c r="M54" t="inlineStr">
        <is>
          <t>Bangunan Sipil Jembatan, Jalan Layang, Fly Over, dan Underpass, Konstruksi Bangunan Sipil Jalan, Konstruksi Gedung Hunian, Konstruksi Gedung Industri, Konstruksi Gedung Perbelanjaan, Konstruksi Gedung Perkantoran, Konstruksi Gedung Tempat Hiburan dan Olahraga</t>
        </is>
      </c>
      <c r="N54" t="inlineStr">
        <is>
          <t>K</t>
        </is>
      </c>
      <c r="O54" t="inlineStr">
        <is>
          <t>20231127, 20231128</t>
        </is>
      </c>
      <c r="P54" t="inlineStr">
        <is>
          <t>Jawa Timur</t>
        </is>
      </c>
      <c r="Q54" t="inlineStr"/>
    </row>
    <row r="55">
      <c r="A55" t="inlineStr">
        <is>
          <t>JAYA SAKTI</t>
        </is>
      </c>
      <c r="B55" t="inlineStr">
        <is>
          <t>Kota Semarang</t>
        </is>
      </c>
      <c r="C55" t="inlineStr">
        <is>
          <t>081324882627</t>
        </is>
      </c>
      <c r="D55" t="inlineStr">
        <is>
          <t>jayasakti2017@gmail.com</t>
        </is>
      </c>
      <c r="E55" t="inlineStr">
        <is>
          <t>https://lpjk.pu.go.id/search-badan-usaha-detail/RlhuKy92Y0s5WldySmpNZWVsWUkxdz09</t>
        </is>
      </c>
      <c r="F55" t="n">
        <v>3</v>
      </c>
      <c r="G55" t="inlineStr">
        <is>
          <t>BG005, BG009, BS005</t>
        </is>
      </c>
      <c r="H55" t="inlineStr">
        <is>
          <t>30 November 2016</t>
        </is>
      </c>
      <c r="I55" s="2" t="n">
        <v>46354</v>
      </c>
      <c r="J55" t="inlineStr">
        <is>
          <t>Pencabutan</t>
        </is>
      </c>
      <c r="K55" t="n">
        <v>87</v>
      </c>
      <c r="L55" t="inlineStr">
        <is>
          <t>28 November 2026</t>
        </is>
      </c>
      <c r="M55" t="inlineStr">
        <is>
          <t>Konstruksi Bangunan Sipil Pengolahan Air Bersih, Konstruksi Gedung Kesehatan, Konstruksi Gedung Lainnya</t>
        </is>
      </c>
      <c r="N55" t="inlineStr">
        <is>
          <t>K</t>
        </is>
      </c>
      <c r="O55" t="inlineStr">
        <is>
          <t>20231128, 20231129</t>
        </is>
      </c>
      <c r="P55" t="inlineStr">
        <is>
          <t>Jawa Tengah</t>
        </is>
      </c>
      <c r="Q55" t="inlineStr"/>
    </row>
    <row r="56">
      <c r="A56" t="inlineStr">
        <is>
          <t>JAYO MAJU LAKSANA</t>
        </is>
      </c>
      <c r="B56" t="inlineStr">
        <is>
          <t>Kab. Sukabumi</t>
        </is>
      </c>
      <c r="C56" t="inlineStr">
        <is>
          <t>081211608088</t>
        </is>
      </c>
      <c r="D56" t="inlineStr">
        <is>
          <t>ptjayomajulaksana@gmail.com</t>
        </is>
      </c>
      <c r="E56" t="inlineStr">
        <is>
          <t>https://lpjk.pu.go.id/search-badan-usaha-detail/Tk5EZW1iNFJoR3lYY0RxdEdNOWVqUT09</t>
        </is>
      </c>
      <c r="F56" t="n">
        <v>1</v>
      </c>
      <c r="G56" t="inlineStr">
        <is>
          <t>AR001</t>
        </is>
      </c>
      <c r="H56" t="inlineStr">
        <is>
          <t>4 Agustus 2023</t>
        </is>
      </c>
      <c r="I56" s="2" t="n">
        <v>46354</v>
      </c>
      <c r="J56" t="inlineStr">
        <is>
          <t>Disetujui</t>
        </is>
      </c>
      <c r="K56" t="n">
        <v>87</v>
      </c>
      <c r="L56" t="inlineStr">
        <is>
          <t>28 November 2026</t>
        </is>
      </c>
      <c r="M56" t="inlineStr">
        <is>
          <t>Jasa Arsitektural Bangunan Gedung Hunian dan Non Hunian</t>
        </is>
      </c>
      <c r="N56" t="inlineStr">
        <is>
          <t>K</t>
        </is>
      </c>
      <c r="O56" t="inlineStr">
        <is>
          <t>20231116</t>
        </is>
      </c>
      <c r="P56" t="inlineStr">
        <is>
          <t>Jawa Barat</t>
        </is>
      </c>
      <c r="Q56" t="inlineStr"/>
    </row>
    <row r="57">
      <c r="A57" t="inlineStr">
        <is>
          <t>KARYA LIMA SEKAWAN</t>
        </is>
      </c>
      <c r="B57" t="inlineStr">
        <is>
          <t>Kota Cilegon</t>
        </is>
      </c>
      <c r="C57" t="inlineStr">
        <is>
          <t>02547814749</t>
        </is>
      </c>
      <c r="D57" t="inlineStr">
        <is>
          <t>pt.kalis54@gmail.com</t>
        </is>
      </c>
      <c r="E57" t="inlineStr">
        <is>
          <t>https://lpjk.pu.go.id/search-badan-usaha-detail/T0lERFhOSE9FSWRBUmFQb1lBNENKZz09</t>
        </is>
      </c>
      <c r="F57" t="n">
        <v>1</v>
      </c>
      <c r="G57" t="inlineStr">
        <is>
          <t>BS011</t>
        </is>
      </c>
      <c r="H57" t="inlineStr">
        <is>
          <t>14 Maret 2012</t>
        </is>
      </c>
      <c r="I57" s="2" t="n">
        <v>46354</v>
      </c>
      <c r="J57" t="inlineStr">
        <is>
          <t>Disetujui</t>
        </is>
      </c>
      <c r="K57" t="n">
        <v>87</v>
      </c>
      <c r="L57" t="inlineStr">
        <is>
          <t>28 November 2026</t>
        </is>
      </c>
      <c r="M57" t="inlineStr">
        <is>
          <t>Konstruksi Bangunan Pelabuhan Bukan Perikanan</t>
        </is>
      </c>
      <c r="N57" t="inlineStr">
        <is>
          <t>K</t>
        </is>
      </c>
      <c r="O57" t="inlineStr">
        <is>
          <t>20231124</t>
        </is>
      </c>
      <c r="P57" t="inlineStr">
        <is>
          <t>Banten</t>
        </is>
      </c>
      <c r="Q57" t="inlineStr"/>
    </row>
    <row r="58">
      <c r="A58" t="inlineStr">
        <is>
          <t>KARYAINDO CIPTANUSA</t>
        </is>
      </c>
      <c r="B58" t="inlineStr">
        <is>
          <t>Kota Adm. Jakarta Barat</t>
        </is>
      </c>
      <c r="C58" t="inlineStr">
        <is>
          <t>0215801105</t>
        </is>
      </c>
      <c r="D58" t="inlineStr">
        <is>
          <t>karyaindociptanusa@protonmail.com</t>
        </is>
      </c>
      <c r="E58" t="inlineStr">
        <is>
          <t>https://lpjk.pu.go.id/search-badan-usaha-detail/akM2ajBjRVUwQ3NTWU5oU0pUUnBJUT09</t>
        </is>
      </c>
      <c r="F58" t="n">
        <v>1</v>
      </c>
      <c r="G58" t="inlineStr">
        <is>
          <t>BS001</t>
        </is>
      </c>
      <c r="H58" t="inlineStr">
        <is>
          <t>1 September 2023</t>
        </is>
      </c>
      <c r="I58" s="2" t="n">
        <v>46354</v>
      </c>
      <c r="J58" t="inlineStr">
        <is>
          <t>Disetujui</t>
        </is>
      </c>
      <c r="K58" t="n">
        <v>87</v>
      </c>
      <c r="L58" t="inlineStr">
        <is>
          <t>28 November 2026</t>
        </is>
      </c>
      <c r="M58" t="inlineStr">
        <is>
          <t>Konstruksi Bangunan Sipil Jalan</t>
        </is>
      </c>
      <c r="N58" t="inlineStr">
        <is>
          <t>K</t>
        </is>
      </c>
      <c r="O58" t="inlineStr">
        <is>
          <t>20231116</t>
        </is>
      </c>
      <c r="P58" t="inlineStr">
        <is>
          <t>DKI Jakarta</t>
        </is>
      </c>
      <c r="Q58" t="inlineStr"/>
    </row>
    <row r="59">
      <c r="A59" t="inlineStr">
        <is>
          <t>KASTARA UTAMA KONSULTAN</t>
        </is>
      </c>
      <c r="B59" t="inlineStr">
        <is>
          <t>Kab. Bantul</t>
        </is>
      </c>
      <c r="C59" t="inlineStr">
        <is>
          <t>085866895069</t>
        </is>
      </c>
      <c r="D59" t="inlineStr">
        <is>
          <t>kastarautamakonsultan0222@gmail.com</t>
        </is>
      </c>
      <c r="E59" t="inlineStr">
        <is>
          <t>https://lpjk.pu.go.id/search-badan-usaha-detail/MjRua1JTeGE0Y284VjRhNzZUaUpjQT09</t>
        </is>
      </c>
      <c r="F59" t="n">
        <v>3</v>
      </c>
      <c r="G59" t="inlineStr">
        <is>
          <t>RK002, RK003, RK005</t>
        </is>
      </c>
      <c r="H59" t="inlineStr">
        <is>
          <t>2 Februari 2022</t>
        </is>
      </c>
      <c r="I59" s="2" t="n">
        <v>46354</v>
      </c>
      <c r="J59" t="inlineStr">
        <is>
          <t>Disetujui</t>
        </is>
      </c>
      <c r="K59" t="n">
        <v>87</v>
      </c>
      <c r="L59" t="inlineStr">
        <is>
          <t>28 November 2026</t>
        </is>
      </c>
      <c r="M59" t="inlineStr">
        <is>
          <t>Jasa Rekayasa Lainnya, Jasa Rekayasa Pekerjaan Teknik Sipil Sumber Daya Air, Jasa Rekayasa Pekerjaan Teknik Sipil Transportasi</t>
        </is>
      </c>
      <c r="N59" t="inlineStr">
        <is>
          <t>K</t>
        </is>
      </c>
      <c r="O59" t="inlineStr">
        <is>
          <t>20231109, 20231121</t>
        </is>
      </c>
      <c r="P59" t="inlineStr">
        <is>
          <t>DI Yogyakarta</t>
        </is>
      </c>
      <c r="Q59" t="inlineStr"/>
    </row>
    <row r="60">
      <c r="A60" t="inlineStr">
        <is>
          <t>KAYAN UTAMA</t>
        </is>
      </c>
      <c r="B60" t="inlineStr">
        <is>
          <t>Kota Tarakan</t>
        </is>
      </c>
      <c r="C60" t="inlineStr">
        <is>
          <t>081347822757</t>
        </is>
      </c>
      <c r="D60" t="inlineStr">
        <is>
          <t>kayanutama@gmail.com</t>
        </is>
      </c>
      <c r="E60" t="inlineStr">
        <is>
          <t>https://lpjk.pu.go.id/search-badan-usaha-detail/bDFaOUh5MHVQa1hsVWVMMU1QWlFadz09</t>
        </is>
      </c>
      <c r="F60" t="n">
        <v>1</v>
      </c>
      <c r="G60" t="inlineStr">
        <is>
          <t>BG006</t>
        </is>
      </c>
      <c r="H60" t="inlineStr">
        <is>
          <t>5 Januari 2022</t>
        </is>
      </c>
      <c r="I60" s="2" t="n">
        <v>46354</v>
      </c>
      <c r="J60" t="inlineStr">
        <is>
          <t>Disetujui</t>
        </is>
      </c>
      <c r="K60" t="n">
        <v>87</v>
      </c>
      <c r="L60" t="inlineStr">
        <is>
          <t>28 November 2026</t>
        </is>
      </c>
      <c r="M60" t="inlineStr">
        <is>
          <t>Konstruksi Gedung Pendidikan</t>
        </is>
      </c>
      <c r="N60" t="inlineStr">
        <is>
          <t>K</t>
        </is>
      </c>
      <c r="O60" t="inlineStr">
        <is>
          <t>20231122</t>
        </is>
      </c>
      <c r="P60" t="inlineStr">
        <is>
          <t>Kalimantan Utara</t>
        </is>
      </c>
      <c r="Q60" t="inlineStr"/>
    </row>
    <row r="61">
      <c r="A61" t="inlineStr">
        <is>
          <t>KILAT JAYA</t>
        </is>
      </c>
      <c r="B61" t="inlineStr">
        <is>
          <t>Kota Manado</t>
        </is>
      </c>
      <c r="C61" t="inlineStr">
        <is>
          <t>08114309181</t>
        </is>
      </c>
      <c r="D61" t="inlineStr">
        <is>
          <t>kilatjaya2016@gmail.com</t>
        </is>
      </c>
      <c r="E61" t="inlineStr">
        <is>
          <t>https://lpjk.pu.go.id/search-badan-usaha-detail/YWJld3dFNTRQcm8ydFRzelY1U3Y2QT09</t>
        </is>
      </c>
      <c r="F61" t="n">
        <v>1</v>
      </c>
      <c r="G61" t="inlineStr">
        <is>
          <t>BS007</t>
        </is>
      </c>
      <c r="H61" t="inlineStr">
        <is>
          <t>6 April 2016</t>
        </is>
      </c>
      <c r="I61" s="2" t="n">
        <v>46354</v>
      </c>
      <c r="J61" t="inlineStr">
        <is>
          <t>Disetujui</t>
        </is>
      </c>
      <c r="K61" t="n">
        <v>87</v>
      </c>
      <c r="L61" t="inlineStr">
        <is>
          <t>28 November 2026</t>
        </is>
      </c>
      <c r="M61" t="inlineStr">
        <is>
          <t>Konstruksi Bangunan Sipil Elektrikal</t>
        </is>
      </c>
      <c r="N61" t="inlineStr">
        <is>
          <t>K</t>
        </is>
      </c>
      <c r="O61" t="inlineStr">
        <is>
          <t>20231106</t>
        </is>
      </c>
      <c r="P61" t="inlineStr">
        <is>
          <t>Sulawesi Utara</t>
        </is>
      </c>
      <c r="Q61" t="inlineStr"/>
    </row>
    <row r="62">
      <c r="A62" t="inlineStr">
        <is>
          <t>KONARS RWX MISSION</t>
        </is>
      </c>
      <c r="B62" t="inlineStr">
        <is>
          <t>Kota Bandung</t>
        </is>
      </c>
      <c r="C62" t="inlineStr">
        <is>
          <t>087811007993</t>
        </is>
      </c>
      <c r="D62" t="inlineStr">
        <is>
          <t>ptkonarsrwxmission@gmail.com</t>
        </is>
      </c>
      <c r="E62" t="inlineStr">
        <is>
          <t>https://lpjk.pu.go.id/search-badan-usaha-detail/YjFKNW1XbmxaS2FYRXJRWURsbnhiQT09</t>
        </is>
      </c>
      <c r="F62" t="n">
        <v>1</v>
      </c>
      <c r="G62" t="inlineStr">
        <is>
          <t>AR001</t>
        </is>
      </c>
      <c r="H62" t="inlineStr">
        <is>
          <t>31 Oktober 2023</t>
        </is>
      </c>
      <c r="I62" s="2" t="n">
        <v>46354</v>
      </c>
      <c r="J62" t="inlineStr">
        <is>
          <t>Disetujui</t>
        </is>
      </c>
      <c r="K62" t="n">
        <v>87</v>
      </c>
      <c r="L62" t="inlineStr">
        <is>
          <t>28 November 2026</t>
        </is>
      </c>
      <c r="M62" t="inlineStr">
        <is>
          <t>Jasa Arsitektural Bangunan Gedung Hunian dan Non Hunian</t>
        </is>
      </c>
      <c r="N62" t="inlineStr">
        <is>
          <t>K</t>
        </is>
      </c>
      <c r="O62" t="inlineStr">
        <is>
          <t>20231116</t>
        </is>
      </c>
      <c r="P62" t="inlineStr">
        <is>
          <t>Jawa Barat</t>
        </is>
      </c>
      <c r="Q62" t="inlineStr"/>
    </row>
    <row r="63">
      <c r="A63" t="inlineStr">
        <is>
          <t>KONSTRUKSI ANTAPURA ABADI</t>
        </is>
      </c>
      <c r="B63" t="inlineStr">
        <is>
          <t>Kota Cirebon</t>
        </is>
      </c>
      <c r="C63" t="inlineStr">
        <is>
          <t>081333347137</t>
        </is>
      </c>
      <c r="D63" t="inlineStr">
        <is>
          <t>konstruksiantapuraabadi@gmail.com</t>
        </is>
      </c>
      <c r="E63" t="inlineStr">
        <is>
          <t>https://lpjk.pu.go.id/search-badan-usaha-detail/d3dBN3JXZlY4RVRMYUw1QllaS0p5Zz09</t>
        </is>
      </c>
      <c r="F63" t="n">
        <v>4</v>
      </c>
      <c r="G63" t="inlineStr">
        <is>
          <t>BS001, BS002, BS004, BS010</t>
        </is>
      </c>
      <c r="H63" t="inlineStr">
        <is>
          <t>19 September 2019</t>
        </is>
      </c>
      <c r="I63" s="2" t="n">
        <v>46354</v>
      </c>
      <c r="J63" t="inlineStr">
        <is>
          <t>Disetujui</t>
        </is>
      </c>
      <c r="K63" t="n">
        <v>87</v>
      </c>
      <c r="L63" t="inlineStr">
        <is>
          <t>28 November 2026</t>
        </is>
      </c>
      <c r="M63" t="inlineStr">
        <is>
          <t>Bangunan Sipil Jembatan, Jalan Layang, Fly Over, dan Underpass, Konstruksi Bangunan Prasarana Sumber Daya Air, Konstruksi Bangunan Sipil Jalan, Konstruksi Jaringan Irigasi dan Drainase</t>
        </is>
      </c>
      <c r="N63" t="inlineStr">
        <is>
          <t>K</t>
        </is>
      </c>
      <c r="O63" t="inlineStr">
        <is>
          <t>20231128, 20231129</t>
        </is>
      </c>
      <c r="P63" t="inlineStr">
        <is>
          <t>Jawa Barat</t>
        </is>
      </c>
      <c r="Q63" t="inlineStr"/>
    </row>
    <row r="64">
      <c r="A64" t="inlineStr">
        <is>
          <t>LANGIT BINTANG SUKSES</t>
        </is>
      </c>
      <c r="B64" t="inlineStr">
        <is>
          <t>Kab. Cirebon</t>
        </is>
      </c>
      <c r="C64" t="inlineStr">
        <is>
          <t>08111665595</t>
        </is>
      </c>
      <c r="D64" t="inlineStr">
        <is>
          <t>langitbintangsukses@gmail.com</t>
        </is>
      </c>
      <c r="E64" t="inlineStr">
        <is>
          <t>https://lpjk.pu.go.id/search-badan-usaha-detail/VklLQ2VuNHkzZjRCeW84L0xCMDladz09</t>
        </is>
      </c>
      <c r="F64" t="n">
        <v>1</v>
      </c>
      <c r="G64" t="inlineStr">
        <is>
          <t>BG003</t>
        </is>
      </c>
      <c r="H64" t="inlineStr"/>
      <c r="I64" s="2" t="n">
        <v>46354</v>
      </c>
      <c r="J64" t="inlineStr">
        <is>
          <t>Disetujui</t>
        </is>
      </c>
      <c r="K64" t="n">
        <v>87</v>
      </c>
      <c r="L64" t="inlineStr">
        <is>
          <t>28 November 2026</t>
        </is>
      </c>
      <c r="M64" t="inlineStr">
        <is>
          <t>Konstruksi Gedung Industri</t>
        </is>
      </c>
      <c r="N64" t="inlineStr">
        <is>
          <t>K</t>
        </is>
      </c>
      <c r="O64" t="inlineStr">
        <is>
          <t>20231128</t>
        </is>
      </c>
      <c r="P64" t="inlineStr">
        <is>
          <t>Jawa Barat</t>
        </is>
      </c>
      <c r="Q64" t="inlineStr"/>
    </row>
    <row r="65">
      <c r="A65" t="inlineStr">
        <is>
          <t>LEGAL AKSES PARTNER</t>
        </is>
      </c>
      <c r="B65" t="inlineStr">
        <is>
          <t>Kab. Lombok Tengah</t>
        </is>
      </c>
      <c r="C65" t="inlineStr">
        <is>
          <t>087854533885</t>
        </is>
      </c>
      <c r="D65" t="inlineStr">
        <is>
          <t>legalakses2017@gmail.com</t>
        </is>
      </c>
      <c r="E65" t="inlineStr">
        <is>
          <t>https://lpjk.pu.go.id/search-badan-usaha-detail/Z29KWUFKMnJPRFdkdWh3UXVQY2QzZz09</t>
        </is>
      </c>
      <c r="F65" t="n">
        <v>1</v>
      </c>
      <c r="G65" t="inlineStr">
        <is>
          <t>BG009</t>
        </is>
      </c>
      <c r="H65" t="inlineStr">
        <is>
          <t>10 Juli 2017</t>
        </is>
      </c>
      <c r="I65" s="2" t="n">
        <v>46354</v>
      </c>
      <c r="J65" t="inlineStr">
        <is>
          <t>Pencabutan</t>
        </is>
      </c>
      <c r="K65" t="n">
        <v>87</v>
      </c>
      <c r="L65" t="inlineStr">
        <is>
          <t>28 November 2026</t>
        </is>
      </c>
      <c r="M65" t="inlineStr">
        <is>
          <t>Konstruksi Gedung Lainnya</t>
        </is>
      </c>
      <c r="N65" t="inlineStr">
        <is>
          <t>K</t>
        </is>
      </c>
      <c r="O65" t="inlineStr">
        <is>
          <t>20231120</t>
        </is>
      </c>
      <c r="P65" t="inlineStr">
        <is>
          <t>Nusa Tenggara Barat</t>
        </is>
      </c>
      <c r="Q65" t="inlineStr"/>
    </row>
    <row r="66">
      <c r="A66" t="inlineStr">
        <is>
          <t>MAHA KARYA SEMESTA</t>
        </is>
      </c>
      <c r="B66" t="inlineStr">
        <is>
          <t>Kota Makassar</t>
        </is>
      </c>
      <c r="C66" t="inlineStr">
        <is>
          <t>085242054774</t>
        </is>
      </c>
      <c r="D66" t="inlineStr">
        <is>
          <t>mahakaryasemesta08@gmail.com</t>
        </is>
      </c>
      <c r="E66" t="inlineStr">
        <is>
          <t>https://lpjk.pu.go.id/search-badan-usaha-detail/ejNYNjBSOTl0ZmxJdDlMd0E5dmJQZz09</t>
        </is>
      </c>
      <c r="F66" t="n">
        <v>5</v>
      </c>
      <c r="G66" t="inlineStr">
        <is>
          <t>BG002, BG006, BG009, BS001, BS004</t>
        </is>
      </c>
      <c r="H66" t="inlineStr">
        <is>
          <t>18 Mei 2020</t>
        </is>
      </c>
      <c r="I66" s="2" t="n">
        <v>46354</v>
      </c>
      <c r="J66" t="inlineStr">
        <is>
          <t>Disetujui</t>
        </is>
      </c>
      <c r="K66" t="n">
        <v>87</v>
      </c>
      <c r="L66" t="inlineStr">
        <is>
          <t>28 November 2026</t>
        </is>
      </c>
      <c r="M66" t="inlineStr">
        <is>
          <t>Konstruksi Bangunan Sipil Jalan, Konstruksi Gedung Lainnya, Konstruksi Gedung Pendidikan, Konstruksi Gedung Perkantoran, Konstruksi Jaringan Irigasi dan Drainase</t>
        </is>
      </c>
      <c r="N66" t="inlineStr">
        <is>
          <t>K</t>
        </is>
      </c>
      <c r="O66" t="inlineStr">
        <is>
          <t>20231125, 20231127</t>
        </is>
      </c>
      <c r="P66" t="inlineStr">
        <is>
          <t>Sulawesi Selatan</t>
        </is>
      </c>
      <c r="Q66" t="inlineStr"/>
    </row>
    <row r="67">
      <c r="A67" t="inlineStr">
        <is>
          <t>MAJU BERSAMA</t>
        </is>
      </c>
      <c r="B67" t="inlineStr">
        <is>
          <t>Kota Semarang</t>
        </is>
      </c>
      <c r="C67" t="inlineStr">
        <is>
          <t>085865218318</t>
        </is>
      </c>
      <c r="D67" t="inlineStr">
        <is>
          <t>bersama.kitabisa888@gmail.com</t>
        </is>
      </c>
      <c r="E67" t="inlineStr">
        <is>
          <t>https://lpjk.pu.go.id/search-badan-usaha-detail/Y3BmdGR3eVdLVkRHcE1JMkF6QWdhUT09</t>
        </is>
      </c>
      <c r="F67" t="n">
        <v>5</v>
      </c>
      <c r="G67" t="inlineStr">
        <is>
          <t>BG001, BG002, BG005, BG006, BG009</t>
        </is>
      </c>
      <c r="H67" t="inlineStr">
        <is>
          <t>1 Januari 2018</t>
        </is>
      </c>
      <c r="I67" s="2" t="n">
        <v>46354</v>
      </c>
      <c r="J67" t="inlineStr">
        <is>
          <t>Disetujui</t>
        </is>
      </c>
      <c r="K67" t="n">
        <v>87</v>
      </c>
      <c r="L67" t="inlineStr">
        <is>
          <t>28 November 2026</t>
        </is>
      </c>
      <c r="M67" t="inlineStr">
        <is>
          <t>Konstruksi Gedung Hunian, Konstruksi Gedung Kesehatan, Konstruksi Gedung Lainnya, Konstruksi Gedung Pendidikan, Konstruksi Gedung Perkantoran</t>
        </is>
      </c>
      <c r="N67" t="inlineStr">
        <is>
          <t>K</t>
        </is>
      </c>
      <c r="O67" t="inlineStr">
        <is>
          <t>20231129, 20231130</t>
        </is>
      </c>
      <c r="P67" t="inlineStr">
        <is>
          <t>Jawa Tengah</t>
        </is>
      </c>
      <c r="Q67" t="inlineStr"/>
    </row>
    <row r="68">
      <c r="A68" t="inlineStr">
        <is>
          <t>MAKSUM PUTRA JAYA</t>
        </is>
      </c>
      <c r="B68" t="inlineStr">
        <is>
          <t>Kab. Pati</t>
        </is>
      </c>
      <c r="C68" t="inlineStr">
        <is>
          <t>082325529866</t>
        </is>
      </c>
      <c r="D68" t="inlineStr">
        <is>
          <t>cv.maksumputrajayapati@gmail.com</t>
        </is>
      </c>
      <c r="E68" t="inlineStr">
        <is>
          <t>https://lpjk.pu.go.id/search-badan-usaha-detail/SS9hY2IxMWtvWlVCR1pndUsva3ZIZz09</t>
        </is>
      </c>
      <c r="F68" t="n">
        <v>3</v>
      </c>
      <c r="G68" t="inlineStr">
        <is>
          <t>BS001, BS002, BS004</t>
        </is>
      </c>
      <c r="H68" t="inlineStr">
        <is>
          <t>13 Juli 2020</t>
        </is>
      </c>
      <c r="I68" s="2" t="n">
        <v>46354</v>
      </c>
      <c r="J68" t="inlineStr">
        <is>
          <t>Pencabutan</t>
        </is>
      </c>
      <c r="K68" t="n">
        <v>87</v>
      </c>
      <c r="L68" t="inlineStr">
        <is>
          <t>28 November 2026</t>
        </is>
      </c>
      <c r="M68" t="inlineStr">
        <is>
          <t>Bangunan Sipil Jembatan, Jalan Layang, Fly Over, dan Underpass, Konstruksi Bangunan Sipil Jalan, Konstruksi Jaringan Irigasi dan Drainase</t>
        </is>
      </c>
      <c r="N68" t="inlineStr">
        <is>
          <t>K</t>
        </is>
      </c>
      <c r="O68" t="inlineStr">
        <is>
          <t>20231005, 20231102</t>
        </is>
      </c>
      <c r="P68" t="inlineStr">
        <is>
          <t>Jawa Tengah</t>
        </is>
      </c>
      <c r="Q68" t="inlineStr"/>
    </row>
    <row r="69">
      <c r="A69" t="inlineStr">
        <is>
          <t>MANGARA PERMATA</t>
        </is>
      </c>
      <c r="B69" t="inlineStr">
        <is>
          <t>Kota Medan</t>
        </is>
      </c>
      <c r="C69" t="inlineStr">
        <is>
          <t>085360988556</t>
        </is>
      </c>
      <c r="D69" t="inlineStr">
        <is>
          <t>mangarapermata.cv@gmail.com</t>
        </is>
      </c>
      <c r="E69" t="inlineStr">
        <is>
          <t>https://lpjk.pu.go.id/search-badan-usaha-detail/V3h5VFFuNEtCYjdDREVmcXRrNE1sQT09</t>
        </is>
      </c>
      <c r="F69" t="n">
        <v>2</v>
      </c>
      <c r="G69" t="inlineStr">
        <is>
          <t>BG009, BS001</t>
        </is>
      </c>
      <c r="H69" t="inlineStr">
        <is>
          <t>28 Juni 2016</t>
        </is>
      </c>
      <c r="I69" s="2" t="n">
        <v>46354</v>
      </c>
      <c r="J69" t="inlineStr">
        <is>
          <t>Disetujui</t>
        </is>
      </c>
      <c r="K69" t="n">
        <v>87</v>
      </c>
      <c r="L69" t="inlineStr">
        <is>
          <t>28 November 2026</t>
        </is>
      </c>
      <c r="M69" t="inlineStr">
        <is>
          <t>Konstruksi Bangunan Sipil Jalan, Konstruksi Gedung Lainnya</t>
        </is>
      </c>
      <c r="N69" t="inlineStr">
        <is>
          <t>K</t>
        </is>
      </c>
      <c r="O69" t="inlineStr">
        <is>
          <t>20231127, 20231128</t>
        </is>
      </c>
      <c r="P69" t="inlineStr">
        <is>
          <t>Sumatera Utara</t>
        </is>
      </c>
      <c r="Q69" t="inlineStr"/>
    </row>
    <row r="70">
      <c r="A70" t="inlineStr">
        <is>
          <t>MANGGALA</t>
        </is>
      </c>
      <c r="B70" t="inlineStr">
        <is>
          <t>Kota Denpasar</t>
        </is>
      </c>
      <c r="C70" t="inlineStr">
        <is>
          <t>081337324272</t>
        </is>
      </c>
      <c r="D70" t="inlineStr">
        <is>
          <t>cv.manggala20@ymail.com</t>
        </is>
      </c>
      <c r="E70" t="inlineStr">
        <is>
          <t>https://lpjk.pu.go.id/search-badan-usaha-detail/b3BtdTFYRG1kR1JDeHdNMzQrK2p4QT09</t>
        </is>
      </c>
      <c r="F70" t="n">
        <v>1</v>
      </c>
      <c r="G70" t="inlineStr">
        <is>
          <t>BG002</t>
        </is>
      </c>
      <c r="H70" t="inlineStr">
        <is>
          <t>31 Agustus 1984</t>
        </is>
      </c>
      <c r="I70" s="2" t="n">
        <v>46354</v>
      </c>
      <c r="J70" t="inlineStr">
        <is>
          <t>Disetujui</t>
        </is>
      </c>
      <c r="K70" t="n">
        <v>87</v>
      </c>
      <c r="L70" t="inlineStr">
        <is>
          <t>28 November 2026</t>
        </is>
      </c>
      <c r="M70" t="inlineStr">
        <is>
          <t>Konstruksi Gedung Perkantoran</t>
        </is>
      </c>
      <c r="N70" t="inlineStr">
        <is>
          <t>K</t>
        </is>
      </c>
      <c r="O70" t="inlineStr">
        <is>
          <t>20231123</t>
        </is>
      </c>
      <c r="P70" t="inlineStr">
        <is>
          <t>Bali</t>
        </is>
      </c>
      <c r="Q70" t="inlineStr"/>
    </row>
    <row r="71">
      <c r="A71" t="inlineStr">
        <is>
          <t>MARGA GIRI SENTOSA</t>
        </is>
      </c>
      <c r="B71" t="inlineStr">
        <is>
          <t>Kab. Tangerang</t>
        </is>
      </c>
      <c r="C71" t="inlineStr">
        <is>
          <t>-</t>
        </is>
      </c>
      <c r="D71" t="inlineStr">
        <is>
          <t>kawagrahamas@gmail.com</t>
        </is>
      </c>
      <c r="E71" t="inlineStr">
        <is>
          <t>https://lpjk.pu.go.id/search-badan-usaha-detail/ZG9xYlBoWktoWlFYSTVuVUo4YXZRUT09</t>
        </is>
      </c>
      <c r="F71" t="n">
        <v>1</v>
      </c>
      <c r="G71" t="inlineStr">
        <is>
          <t>BG001</t>
        </is>
      </c>
      <c r="H71" t="inlineStr">
        <is>
          <t>1 Januari 2018</t>
        </is>
      </c>
      <c r="I71" s="2" t="n">
        <v>46354</v>
      </c>
      <c r="J71" t="inlineStr">
        <is>
          <t>Disetujui</t>
        </is>
      </c>
      <c r="K71" t="n">
        <v>87</v>
      </c>
      <c r="L71" t="inlineStr">
        <is>
          <t>28 November 2026</t>
        </is>
      </c>
      <c r="M71" t="inlineStr">
        <is>
          <t>Konstruksi Gedung Hunian</t>
        </is>
      </c>
      <c r="N71" t="inlineStr">
        <is>
          <t>K</t>
        </is>
      </c>
      <c r="O71" t="inlineStr">
        <is>
          <t>20231128</t>
        </is>
      </c>
      <c r="P71" t="inlineStr">
        <is>
          <t>Banten</t>
        </is>
      </c>
      <c r="Q71" t="inlineStr"/>
    </row>
    <row r="72">
      <c r="A72" t="inlineStr">
        <is>
          <t>MASA BAROKAH</t>
        </is>
      </c>
      <c r="B72" t="inlineStr">
        <is>
          <t>Kab. Gresik</t>
        </is>
      </c>
      <c r="C72" t="inlineStr">
        <is>
          <t>081375354354</t>
        </is>
      </c>
      <c r="D72" t="inlineStr">
        <is>
          <t>masabarokah@gmail.com</t>
        </is>
      </c>
      <c r="E72" t="inlineStr">
        <is>
          <t>https://lpjk.pu.go.id/search-badan-usaha-detail/UmRjb2xwQTRGTmVDY1RBeUVmZkRUZz09</t>
        </is>
      </c>
      <c r="F72" t="n">
        <v>1</v>
      </c>
      <c r="G72" t="inlineStr">
        <is>
          <t>BG009</t>
        </is>
      </c>
      <c r="H72" t="inlineStr">
        <is>
          <t>28 Desember 2017</t>
        </is>
      </c>
      <c r="I72" s="2" t="n">
        <v>46354</v>
      </c>
      <c r="J72" t="inlineStr">
        <is>
          <t>Pencabutan</t>
        </is>
      </c>
      <c r="K72" t="n">
        <v>87</v>
      </c>
      <c r="L72" t="inlineStr">
        <is>
          <t>28 November 2026</t>
        </is>
      </c>
      <c r="M72" t="inlineStr">
        <is>
          <t>Konstruksi Gedung Lainnya</t>
        </is>
      </c>
      <c r="N72" t="inlineStr">
        <is>
          <t>K</t>
        </is>
      </c>
      <c r="O72" t="inlineStr">
        <is>
          <t>20231128</t>
        </is>
      </c>
      <c r="P72" t="inlineStr">
        <is>
          <t>Jawa Timur</t>
        </is>
      </c>
      <c r="Q72" t="inlineStr"/>
    </row>
    <row r="73">
      <c r="A73" t="inlineStr">
        <is>
          <t>MASTER GEOTESFONDASI</t>
        </is>
      </c>
      <c r="B73" t="inlineStr">
        <is>
          <t>Kota Tangerang Selatan</t>
        </is>
      </c>
      <c r="C73" t="inlineStr">
        <is>
          <t>02153152968</t>
        </is>
      </c>
      <c r="D73" t="inlineStr">
        <is>
          <t>masgeotes@yahoo.com</t>
        </is>
      </c>
      <c r="E73" t="inlineStr">
        <is>
          <t>https://lpjk.pu.go.id/search-badan-usaha-detail/eFRpK1RTeVVzK0h3OTcyRGUwSk5LQT09</t>
        </is>
      </c>
      <c r="F73" t="n">
        <v>1</v>
      </c>
      <c r="G73" t="inlineStr">
        <is>
          <t>BG009</t>
        </is>
      </c>
      <c r="H73" t="inlineStr">
        <is>
          <t>14 November 2023</t>
        </is>
      </c>
      <c r="I73" s="2" t="n">
        <v>46354</v>
      </c>
      <c r="J73" t="inlineStr">
        <is>
          <t>Disetujui</t>
        </is>
      </c>
      <c r="K73" t="n">
        <v>87</v>
      </c>
      <c r="L73" t="inlineStr">
        <is>
          <t>28 November 2026</t>
        </is>
      </c>
      <c r="M73" t="inlineStr">
        <is>
          <t>Konstruksi Gedung Lainnya</t>
        </is>
      </c>
      <c r="N73" t="inlineStr">
        <is>
          <t>K</t>
        </is>
      </c>
      <c r="O73" t="inlineStr">
        <is>
          <t>20231128</t>
        </is>
      </c>
      <c r="P73" t="inlineStr">
        <is>
          <t>Banten</t>
        </is>
      </c>
      <c r="Q73" t="inlineStr"/>
    </row>
    <row r="74">
      <c r="A74" t="inlineStr">
        <is>
          <t>MEGA UTAMA</t>
        </is>
      </c>
      <c r="B74" t="inlineStr">
        <is>
          <t>Kota Batu</t>
        </is>
      </c>
      <c r="C74" t="inlineStr">
        <is>
          <t>082143174265</t>
        </is>
      </c>
      <c r="D74" t="inlineStr">
        <is>
          <t>utamamega007@gmail.com</t>
        </is>
      </c>
      <c r="E74" t="inlineStr">
        <is>
          <t>https://lpjk.pu.go.id/search-badan-usaha-detail/WUF0RzZoWHV3ZEJDU0IvUUVnNW4rUT09</t>
        </is>
      </c>
      <c r="F74" t="n">
        <v>1</v>
      </c>
      <c r="G74" t="inlineStr">
        <is>
          <t>BS004</t>
        </is>
      </c>
      <c r="H74" t="inlineStr">
        <is>
          <t>8 November 2008</t>
        </is>
      </c>
      <c r="I74" s="2" t="n">
        <v>46354</v>
      </c>
      <c r="J74" t="inlineStr">
        <is>
          <t>Disetujui</t>
        </is>
      </c>
      <c r="K74" t="n">
        <v>87</v>
      </c>
      <c r="L74" t="inlineStr">
        <is>
          <t>28 November 2026</t>
        </is>
      </c>
      <c r="M74" t="inlineStr">
        <is>
          <t>Konstruksi Jaringan Irigasi dan Drainase</t>
        </is>
      </c>
      <c r="N74" t="inlineStr">
        <is>
          <t>K</t>
        </is>
      </c>
      <c r="O74" t="inlineStr">
        <is>
          <t>20231123</t>
        </is>
      </c>
      <c r="P74" t="inlineStr">
        <is>
          <t>Jawa Timur</t>
        </is>
      </c>
      <c r="Q74" t="inlineStr"/>
    </row>
    <row r="75">
      <c r="A75" t="inlineStr">
        <is>
          <t>MITRA BONANZA</t>
        </is>
      </c>
      <c r="B75" t="inlineStr">
        <is>
          <t>Kota Banjarmasin</t>
        </is>
      </c>
      <c r="C75" t="inlineStr">
        <is>
          <t>081349667273</t>
        </is>
      </c>
      <c r="D75" t="inlineStr">
        <is>
          <t>mitrabonanza@gmail.com</t>
        </is>
      </c>
      <c r="E75" t="inlineStr">
        <is>
          <t>https://lpjk.pu.go.id/search-badan-usaha-detail/bERYY1pjZ0JmcjZhTnF0ZWhQY2VBdz09</t>
        </is>
      </c>
      <c r="F75" t="n">
        <v>4</v>
      </c>
      <c r="G75" t="inlineStr">
        <is>
          <t>BG005, BG006, BS002, BS004</t>
        </is>
      </c>
      <c r="H75" t="inlineStr">
        <is>
          <t>11 Mei 2001</t>
        </is>
      </c>
      <c r="I75" s="2" t="n">
        <v>46354</v>
      </c>
      <c r="J75" t="inlineStr">
        <is>
          <t>Pencabutan</t>
        </is>
      </c>
      <c r="K75" t="n">
        <v>87</v>
      </c>
      <c r="L75" t="inlineStr">
        <is>
          <t>28 November 2026</t>
        </is>
      </c>
      <c r="M75" t="inlineStr">
        <is>
          <t>Bangunan Sipil Jembatan, Jalan Layang, Fly Over, dan Underpass, Konstruksi Gedung Kesehatan, Konstruksi Gedung Pendidikan, Konstruksi Jaringan Irigasi dan Drainase</t>
        </is>
      </c>
      <c r="N75" t="inlineStr">
        <is>
          <t>K</t>
        </is>
      </c>
      <c r="O75" t="inlineStr">
        <is>
          <t>20231128, 20231129</t>
        </is>
      </c>
      <c r="P75" t="inlineStr">
        <is>
          <t>Kalimantan Selatan</t>
        </is>
      </c>
      <c r="Q75" t="inlineStr"/>
    </row>
    <row r="76">
      <c r="A76" t="inlineStr">
        <is>
          <t>MITRA UTAMA</t>
        </is>
      </c>
      <c r="B76" t="inlineStr">
        <is>
          <t>Kota Banjarbaru</t>
        </is>
      </c>
      <c r="C76" t="inlineStr">
        <is>
          <t>08115128117</t>
        </is>
      </c>
      <c r="D76" t="inlineStr">
        <is>
          <t>cvmitrautamabudhi@gmail.com</t>
        </is>
      </c>
      <c r="E76" t="inlineStr">
        <is>
          <t>https://lpjk.pu.go.id/search-badan-usaha-detail/bWd6cnF1N284MHgvY0dPYmZXUVVSdz09</t>
        </is>
      </c>
      <c r="F76" t="n">
        <v>1</v>
      </c>
      <c r="G76" t="inlineStr">
        <is>
          <t>BG005</t>
        </is>
      </c>
      <c r="H76" t="inlineStr">
        <is>
          <t>3 Maret 1999</t>
        </is>
      </c>
      <c r="I76" s="2" t="n">
        <v>46354</v>
      </c>
      <c r="J76" t="inlineStr">
        <is>
          <t>Disetujui</t>
        </is>
      </c>
      <c r="K76" t="n">
        <v>87</v>
      </c>
      <c r="L76" t="inlineStr">
        <is>
          <t>28 November 2026</t>
        </is>
      </c>
      <c r="M76" t="inlineStr">
        <is>
          <t>Konstruksi Gedung Kesehatan</t>
        </is>
      </c>
      <c r="N76" t="inlineStr">
        <is>
          <t>K</t>
        </is>
      </c>
      <c r="O76" t="inlineStr">
        <is>
          <t>20231122</t>
        </is>
      </c>
      <c r="P76" t="inlineStr">
        <is>
          <t>Kalimantan Selatan</t>
        </is>
      </c>
      <c r="Q76" t="inlineStr"/>
    </row>
    <row r="77">
      <c r="A77" t="inlineStr">
        <is>
          <t>MUTIARA ASKANA</t>
        </is>
      </c>
      <c r="B77" t="inlineStr">
        <is>
          <t>Kota Balikpapan</t>
        </is>
      </c>
      <c r="C77" t="inlineStr">
        <is>
          <t>082158889309</t>
        </is>
      </c>
      <c r="D77" t="inlineStr">
        <is>
          <t>cvmutiaraaskana17@gmail.com</t>
        </is>
      </c>
      <c r="E77" t="inlineStr">
        <is>
          <t>https://lpjk.pu.go.id/search-badan-usaha-detail/L3Bpb3ZIRUc3Zm91L1p4eG5iSCt6dz09</t>
        </is>
      </c>
      <c r="F77" t="n">
        <v>2</v>
      </c>
      <c r="G77" t="inlineStr">
        <is>
          <t>BS001</t>
        </is>
      </c>
      <c r="H77" t="inlineStr">
        <is>
          <t>5 Januari 2018</t>
        </is>
      </c>
      <c r="I77" s="2" t="n">
        <v>46354</v>
      </c>
      <c r="J77" t="inlineStr">
        <is>
          <t>Disetujui</t>
        </is>
      </c>
      <c r="K77" t="n">
        <v>87</v>
      </c>
      <c r="L77" t="inlineStr">
        <is>
          <t>28 November 2026</t>
        </is>
      </c>
      <c r="M77" t="inlineStr">
        <is>
          <t>Konstruksi Bangunan Sipil Jalan</t>
        </is>
      </c>
      <c r="N77" t="inlineStr">
        <is>
          <t>K</t>
        </is>
      </c>
      <c r="O77" t="inlineStr">
        <is>
          <t>20231123</t>
        </is>
      </c>
      <c r="P77" t="inlineStr">
        <is>
          <t>Kalimantan Timur</t>
        </is>
      </c>
      <c r="Q77" t="inlineStr"/>
    </row>
    <row r="78">
      <c r="A78" t="inlineStr">
        <is>
          <t>NADYA CITRA NIAGA</t>
        </is>
      </c>
      <c r="B78" t="inlineStr">
        <is>
          <t>Kab. Cianjur</t>
        </is>
      </c>
      <c r="C78" t="inlineStr">
        <is>
          <t>082126462653</t>
        </is>
      </c>
      <c r="D78" t="inlineStr">
        <is>
          <t>nadyacitra.niaga@gmail.com</t>
        </is>
      </c>
      <c r="E78" t="inlineStr">
        <is>
          <t>https://lpjk.pu.go.id/search-badan-usaha-detail/VW9LS2pEL0VzUWdud0xkQzVUR1RUQT09</t>
        </is>
      </c>
      <c r="F78" t="n">
        <v>3</v>
      </c>
      <c r="G78" t="inlineStr">
        <is>
          <t>BG009, BS001, BS004</t>
        </is>
      </c>
      <c r="H78" t="inlineStr">
        <is>
          <t>14 Januari 2016</t>
        </is>
      </c>
      <c r="I78" s="2" t="n">
        <v>46354</v>
      </c>
      <c r="J78" t="inlineStr">
        <is>
          <t>Disetujui</t>
        </is>
      </c>
      <c r="K78" t="n">
        <v>87</v>
      </c>
      <c r="L78" t="inlineStr">
        <is>
          <t>28 November 2026</t>
        </is>
      </c>
      <c r="M78" t="inlineStr">
        <is>
          <t>Konstruksi Bangunan Sipil Jalan, Konstruksi Gedung Lainnya, Konstruksi Jaringan Irigasi dan Drainase</t>
        </is>
      </c>
      <c r="N78" t="inlineStr">
        <is>
          <t>K</t>
        </is>
      </c>
      <c r="O78" t="inlineStr">
        <is>
          <t>20231125</t>
        </is>
      </c>
      <c r="P78" t="inlineStr">
        <is>
          <t>Jawa Barat</t>
        </is>
      </c>
      <c r="Q78" t="inlineStr"/>
    </row>
    <row r="79">
      <c r="A79" t="inlineStr">
        <is>
          <t>NITEKSINDO MULTITECH PERKASA</t>
        </is>
      </c>
      <c r="B79" t="inlineStr">
        <is>
          <t>Kota Surabaya</t>
        </is>
      </c>
      <c r="C79" t="inlineStr">
        <is>
          <t>0315477970</t>
        </is>
      </c>
      <c r="D79" t="inlineStr">
        <is>
          <t>niteksindo@yahoo.com</t>
        </is>
      </c>
      <c r="E79" t="inlineStr">
        <is>
          <t>https://lpjk.pu.go.id/search-badan-usaha-detail/alBJbEFOdDI1cHRvMHpJeG1xN1BDQT09</t>
        </is>
      </c>
      <c r="F79" t="n">
        <v>1</v>
      </c>
      <c r="G79" t="inlineStr">
        <is>
          <t>IN004</t>
        </is>
      </c>
      <c r="H79" t="inlineStr">
        <is>
          <t>13 Maret 2009</t>
        </is>
      </c>
      <c r="I79" s="2" t="n">
        <v>46354</v>
      </c>
      <c r="J79" t="inlineStr">
        <is>
          <t>Disetujui</t>
        </is>
      </c>
      <c r="K79" t="n">
        <v>87</v>
      </c>
      <c r="L79" t="inlineStr">
        <is>
          <t>28 November 2026</t>
        </is>
      </c>
      <c r="M79" t="inlineStr">
        <is>
          <t>Instalasi Minyak dan Gas</t>
        </is>
      </c>
      <c r="N79" t="inlineStr">
        <is>
          <t>Spesialis</t>
        </is>
      </c>
      <c r="O79" t="inlineStr">
        <is>
          <t>20231127</t>
        </is>
      </c>
      <c r="P79" t="inlineStr">
        <is>
          <t>Jawa Timur</t>
        </is>
      </c>
      <c r="Q79" t="inlineStr"/>
    </row>
    <row r="80">
      <c r="A80" t="inlineStr">
        <is>
          <t>NUSAENA TIMUR ABADI</t>
        </is>
      </c>
      <c r="B80" t="inlineStr">
        <is>
          <t>Kota Bandung</t>
        </is>
      </c>
      <c r="C80" t="inlineStr">
        <is>
          <t>083893124351</t>
        </is>
      </c>
      <c r="D80" t="inlineStr">
        <is>
          <t>nusaenatimurabadi@gmail.com</t>
        </is>
      </c>
      <c r="E80" t="inlineStr">
        <is>
          <t>https://lpjk.pu.go.id/search-badan-usaha-detail/S0g0eDgza3ltM0Z1TXpDdVVOc2RNZz09</t>
        </is>
      </c>
      <c r="F80" t="n">
        <v>4</v>
      </c>
      <c r="G80" t="inlineStr">
        <is>
          <t>BS001, BS004</t>
        </is>
      </c>
      <c r="H80" t="inlineStr">
        <is>
          <t>22 Agustus 2023</t>
        </is>
      </c>
      <c r="I80" s="2" t="n">
        <v>46354</v>
      </c>
      <c r="J80" t="inlineStr">
        <is>
          <t>Disetujui</t>
        </is>
      </c>
      <c r="K80" t="n">
        <v>87</v>
      </c>
      <c r="L80" t="inlineStr">
        <is>
          <t>28 November 2026</t>
        </is>
      </c>
      <c r="M80" t="inlineStr">
        <is>
          <t>Konstruksi Bangunan Sipil Jalan, Konstruksi Jaringan Irigasi dan Drainase</t>
        </is>
      </c>
      <c r="N80" t="inlineStr">
        <is>
          <t>K</t>
        </is>
      </c>
      <c r="O80" t="inlineStr">
        <is>
          <t>20231127</t>
        </is>
      </c>
      <c r="P80" t="inlineStr">
        <is>
          <t>Jawa Barat</t>
        </is>
      </c>
      <c r="Q80" t="inlineStr"/>
    </row>
    <row r="81">
      <c r="A81" t="inlineStr">
        <is>
          <t>NUSANTARA UTAMA ABADI</t>
        </is>
      </c>
      <c r="B81" t="inlineStr">
        <is>
          <t>Kab. Lumajang</t>
        </is>
      </c>
      <c r="C81" t="inlineStr">
        <is>
          <t>085259428798</t>
        </is>
      </c>
      <c r="D81" t="inlineStr">
        <is>
          <t>cvnusantarautamaabdi01@gmail.com</t>
        </is>
      </c>
      <c r="E81" t="inlineStr">
        <is>
          <t>https://lpjk.pu.go.id/search-badan-usaha-detail/dVA2WkM1ZC9TeHV2M29YTFJERHFWQT09</t>
        </is>
      </c>
      <c r="F81" t="n">
        <v>3</v>
      </c>
      <c r="G81" t="inlineStr">
        <is>
          <t>BG009, BS001, BS004</t>
        </is>
      </c>
      <c r="H81" t="inlineStr">
        <is>
          <t>9 Juni 2023</t>
        </is>
      </c>
      <c r="I81" s="2" t="n">
        <v>46354</v>
      </c>
      <c r="J81" t="inlineStr">
        <is>
          <t>Disetujui</t>
        </is>
      </c>
      <c r="K81" t="n">
        <v>87</v>
      </c>
      <c r="L81" t="inlineStr">
        <is>
          <t>28 November 2026</t>
        </is>
      </c>
      <c r="M81" t="inlineStr">
        <is>
          <t>Konstruksi Bangunan Sipil Jalan, Konstruksi Gedung Lainnya, Konstruksi Jaringan Irigasi dan Drainase</t>
        </is>
      </c>
      <c r="N81" t="inlineStr">
        <is>
          <t>K</t>
        </is>
      </c>
      <c r="O81" t="inlineStr">
        <is>
          <t>20231123, 20231124</t>
        </is>
      </c>
      <c r="P81" t="inlineStr">
        <is>
          <t>Jawa Timur</t>
        </is>
      </c>
      <c r="Q81" t="inlineStr"/>
    </row>
    <row r="82">
      <c r="A82" t="inlineStr">
        <is>
          <t>PEMUDA MEMBANGUN NEGERI</t>
        </is>
      </c>
      <c r="B82" t="inlineStr">
        <is>
          <t>Kab. Wakatobi</t>
        </is>
      </c>
      <c r="C82" t="inlineStr">
        <is>
          <t>082194696196</t>
        </is>
      </c>
      <c r="D82" t="inlineStr">
        <is>
          <t>cv.pemudamembangunnegeri@gmail.com</t>
        </is>
      </c>
      <c r="E82" t="inlineStr">
        <is>
          <t>https://lpjk.pu.go.id/search-badan-usaha-detail/eXhtR0cybjRId0IrbVV6MGhEYS9BQT09</t>
        </is>
      </c>
      <c r="F82" t="n">
        <v>2</v>
      </c>
      <c r="G82" t="inlineStr">
        <is>
          <t>BG005, BG009</t>
        </is>
      </c>
      <c r="H82" t="inlineStr">
        <is>
          <t>24 Juli 2019</t>
        </is>
      </c>
      <c r="I82" s="2" t="n">
        <v>46354</v>
      </c>
      <c r="J82" t="inlineStr">
        <is>
          <t>Disetujui</t>
        </is>
      </c>
      <c r="K82" t="n">
        <v>87</v>
      </c>
      <c r="L82" t="inlineStr">
        <is>
          <t>28 November 2026</t>
        </is>
      </c>
      <c r="M82" t="inlineStr">
        <is>
          <t>Konstruksi Gedung Kesehatan, Konstruksi Gedung Lainnya</t>
        </is>
      </c>
      <c r="N82" t="inlineStr">
        <is>
          <t>K</t>
        </is>
      </c>
      <c r="O82" t="inlineStr">
        <is>
          <t>20231128</t>
        </is>
      </c>
      <c r="P82" t="inlineStr">
        <is>
          <t>Sulawesi Tenggara</t>
        </is>
      </c>
      <c r="Q82" t="inlineStr"/>
    </row>
    <row r="83">
      <c r="A83" t="inlineStr">
        <is>
          <t>PENDIL WESI</t>
        </is>
      </c>
      <c r="B83" t="inlineStr">
        <is>
          <t>Kab. Indramayu</t>
        </is>
      </c>
      <c r="C83" t="inlineStr">
        <is>
          <t>081382000580</t>
        </is>
      </c>
      <c r="D83" t="inlineStr">
        <is>
          <t>ptpendilwesi@gmail.com</t>
        </is>
      </c>
      <c r="E83" t="inlineStr">
        <is>
          <t>https://lpjk.pu.go.id/search-badan-usaha-detail/RzRpNDFEQmNxSTJyVkNGdDZRdVFCQT09</t>
        </is>
      </c>
      <c r="F83" t="n">
        <v>5</v>
      </c>
      <c r="G83" t="inlineStr">
        <is>
          <t>BG001, BG003, BS001, IN001, IN004</t>
        </is>
      </c>
      <c r="H83" t="inlineStr">
        <is>
          <t>4 Januari 2008</t>
        </is>
      </c>
      <c r="I83" s="2" t="n">
        <v>46354</v>
      </c>
      <c r="J83" t="inlineStr">
        <is>
          <t>Disetujui, Pembekuan</t>
        </is>
      </c>
      <c r="K83" t="n">
        <v>87</v>
      </c>
      <c r="L83" t="inlineStr">
        <is>
          <t>28 November 2026</t>
        </is>
      </c>
      <c r="M83" t="inlineStr">
        <is>
          <t>Instalasi Mekanikal, Instalasi Minyak dan Gas, Konstruksi Bangunan Sipil Jalan, Konstruksi Gedung Hunian, Konstruksi Gedung Industri</t>
        </is>
      </c>
      <c r="N83" t="inlineStr">
        <is>
          <t>K, Spesialis</t>
        </is>
      </c>
      <c r="O83" t="inlineStr">
        <is>
          <t>20231128, 20231129</t>
        </is>
      </c>
      <c r="P83" t="inlineStr">
        <is>
          <t>Jawa Barat</t>
        </is>
      </c>
      <c r="Q83" t="inlineStr"/>
    </row>
    <row r="84">
      <c r="A84" t="inlineStr">
        <is>
          <t>PILAR TRITAMA</t>
        </is>
      </c>
      <c r="B84" t="inlineStr">
        <is>
          <t>Kota Magelang</t>
        </is>
      </c>
      <c r="C84" t="inlineStr">
        <is>
          <t>08121579648</t>
        </is>
      </c>
      <c r="D84" t="inlineStr">
        <is>
          <t>pilartritamakonsultan@yahoo.co.id</t>
        </is>
      </c>
      <c r="E84" t="inlineStr">
        <is>
          <t>https://lpjk.pu.go.id/search-badan-usaha-detail/TUtxOXJQejUvTzNCRXFjN0dWdVlIdz09</t>
        </is>
      </c>
      <c r="F84" t="n">
        <v>1</v>
      </c>
      <c r="G84" t="inlineStr">
        <is>
          <t>RK003</t>
        </is>
      </c>
      <c r="H84" t="inlineStr">
        <is>
          <t>17 Oktober 2002</t>
        </is>
      </c>
      <c r="I84" s="2" t="n">
        <v>46354</v>
      </c>
      <c r="J84" t="inlineStr">
        <is>
          <t>Disetujui</t>
        </is>
      </c>
      <c r="K84" t="n">
        <v>87</v>
      </c>
      <c r="L84" t="inlineStr">
        <is>
          <t>28 November 2026</t>
        </is>
      </c>
      <c r="M84" t="inlineStr">
        <is>
          <t>Jasa Rekayasa Pekerjaan Teknik Sipil Transportasi</t>
        </is>
      </c>
      <c r="N84" t="inlineStr">
        <is>
          <t>K</t>
        </is>
      </c>
      <c r="O84" t="inlineStr">
        <is>
          <t>20231122</t>
        </is>
      </c>
      <c r="P84" t="inlineStr">
        <is>
          <t>Jawa Tengah</t>
        </is>
      </c>
      <c r="Q84" t="inlineStr"/>
    </row>
    <row r="85">
      <c r="A85" t="inlineStr">
        <is>
          <t>PRIMA ANUGRAH</t>
        </is>
      </c>
      <c r="B85" t="inlineStr">
        <is>
          <t>Kab. Temanggung</t>
        </is>
      </c>
      <c r="C85" t="inlineStr">
        <is>
          <t>081328629425</t>
        </is>
      </c>
      <c r="D85" t="inlineStr">
        <is>
          <t>cv.primaanugrah@ymail.com</t>
        </is>
      </c>
      <c r="E85" t="inlineStr">
        <is>
          <t>https://lpjk.pu.go.id/search-badan-usaha-detail/UFd6ZzlhQXpkallkQk9GUVIxMVE2QT09</t>
        </is>
      </c>
      <c r="F85" t="n">
        <v>6</v>
      </c>
      <c r="G85" t="inlineStr">
        <is>
          <t>BG002, BG004, BG005, BG006, BG009, BS004</t>
        </is>
      </c>
      <c r="H85" t="inlineStr">
        <is>
          <t>22 Mei 1999</t>
        </is>
      </c>
      <c r="I85" s="2" t="n">
        <v>46354</v>
      </c>
      <c r="J85" t="inlineStr">
        <is>
          <t>Disetujui</t>
        </is>
      </c>
      <c r="K85" t="n">
        <v>87</v>
      </c>
      <c r="L85" t="inlineStr">
        <is>
          <t>28 November 2026</t>
        </is>
      </c>
      <c r="M85" t="inlineStr">
        <is>
          <t>Konstruksi Gedung Kesehatan, Konstruksi Gedung Lainnya, Konstruksi Gedung Pendidikan, Konstruksi Gedung Perbelanjaan, Konstruksi Gedung Perkantoran, Konstruksi Jaringan Irigasi dan Drainase</t>
        </is>
      </c>
      <c r="N85" t="inlineStr">
        <is>
          <t>K</t>
        </is>
      </c>
      <c r="O85" t="inlineStr">
        <is>
          <t>20231124, 20231127</t>
        </is>
      </c>
      <c r="P85" t="inlineStr">
        <is>
          <t>Jawa Tengah</t>
        </is>
      </c>
      <c r="Q85" t="inlineStr"/>
    </row>
    <row r="86">
      <c r="A86" t="inlineStr">
        <is>
          <t>PRIMA KARYA MANUNGGAL</t>
        </is>
      </c>
      <c r="B86" t="inlineStr">
        <is>
          <t>Kab. Pangkajene Kepulauan</t>
        </is>
      </c>
      <c r="C86" t="inlineStr">
        <is>
          <t>0811464465</t>
        </is>
      </c>
      <c r="D86" t="inlineStr">
        <is>
          <t>pkmpt@yahoo.com</t>
        </is>
      </c>
      <c r="E86" t="inlineStr">
        <is>
          <t>https://lpjk.pu.go.id/search-badan-usaha-detail/RTh1c05sUVMxSEpvWHd4YXNGZmdaUT09</t>
        </is>
      </c>
      <c r="F86" t="n">
        <v>2</v>
      </c>
      <c r="G86" t="inlineStr">
        <is>
          <t>BS001, BS004</t>
        </is>
      </c>
      <c r="H86" t="inlineStr">
        <is>
          <t>19 April 1982</t>
        </is>
      </c>
      <c r="I86" s="2" t="n">
        <v>46354</v>
      </c>
      <c r="J86" t="inlineStr">
        <is>
          <t>Pencabutan</t>
        </is>
      </c>
      <c r="K86" t="n">
        <v>87</v>
      </c>
      <c r="L86" t="inlineStr">
        <is>
          <t>28 November 2026</t>
        </is>
      </c>
      <c r="M86" t="inlineStr">
        <is>
          <t>Konstruksi Bangunan Sipil Jalan, Konstruksi Jaringan Irigasi dan Drainase</t>
        </is>
      </c>
      <c r="N86" t="inlineStr">
        <is>
          <t>K</t>
        </is>
      </c>
      <c r="O86" t="inlineStr">
        <is>
          <t>20231124</t>
        </is>
      </c>
      <c r="P86" t="inlineStr">
        <is>
          <t>Sulawesi Selatan</t>
        </is>
      </c>
      <c r="Q86" t="inlineStr"/>
    </row>
    <row r="87">
      <c r="A87" t="inlineStr">
        <is>
          <t>PUTRA BELANTI MEMBANGUN</t>
        </is>
      </c>
      <c r="B87" t="inlineStr">
        <is>
          <t>Kab. Tapin</t>
        </is>
      </c>
      <c r="C87" t="inlineStr">
        <is>
          <t>082350212679</t>
        </is>
      </c>
      <c r="D87" t="inlineStr">
        <is>
          <t>pmb.binuang77@gmail.com</t>
        </is>
      </c>
      <c r="E87" t="inlineStr">
        <is>
          <t>https://lpjk.pu.go.id/search-badan-usaha-detail/NGFZNjZNZS84VGhIRnNjRlVHMnBJdz09</t>
        </is>
      </c>
      <c r="F87" t="n">
        <v>1</v>
      </c>
      <c r="G87" t="inlineStr">
        <is>
          <t>BS005</t>
        </is>
      </c>
      <c r="H87" t="inlineStr">
        <is>
          <t>26 Oktober 2022</t>
        </is>
      </c>
      <c r="I87" s="2" t="n">
        <v>46354</v>
      </c>
      <c r="J87" t="inlineStr">
        <is>
          <t>Disetujui</t>
        </is>
      </c>
      <c r="K87" t="n">
        <v>87</v>
      </c>
      <c r="L87" t="inlineStr">
        <is>
          <t>28 November 2026</t>
        </is>
      </c>
      <c r="M87" t="inlineStr">
        <is>
          <t>Konstruksi Bangunan Sipil Pengolahan Air Bersih</t>
        </is>
      </c>
      <c r="N87" t="inlineStr">
        <is>
          <t>K</t>
        </is>
      </c>
      <c r="O87" t="inlineStr">
        <is>
          <t>20231128</t>
        </is>
      </c>
      <c r="P87" t="inlineStr">
        <is>
          <t>Kalimantan Selatan</t>
        </is>
      </c>
      <c r="Q87" t="inlineStr"/>
    </row>
    <row r="88">
      <c r="A88" t="inlineStr">
        <is>
          <t>PUTRA CAPRIA PRATAMA</t>
        </is>
      </c>
      <c r="B88" t="inlineStr">
        <is>
          <t>Kota Surabaya</t>
        </is>
      </c>
      <c r="C88" t="inlineStr">
        <is>
          <t>081234806763</t>
        </is>
      </c>
      <c r="D88" t="inlineStr">
        <is>
          <t>putracapriapratama@gmail.com</t>
        </is>
      </c>
      <c r="E88" t="inlineStr">
        <is>
          <t>https://lpjk.pu.go.id/search-badan-usaha-detail/L21URW5NNXBDV2lFZ1ZpUTNWMUpLZz09</t>
        </is>
      </c>
      <c r="F88" t="n">
        <v>1</v>
      </c>
      <c r="G88" t="inlineStr">
        <is>
          <t>BS001</t>
        </is>
      </c>
      <c r="H88" t="inlineStr">
        <is>
          <t>26 Januari 2023</t>
        </is>
      </c>
      <c r="I88" s="2" t="n">
        <v>46354</v>
      </c>
      <c r="J88" t="inlineStr">
        <is>
          <t>Disetujui</t>
        </is>
      </c>
      <c r="K88" t="n">
        <v>87</v>
      </c>
      <c r="L88" t="inlineStr">
        <is>
          <t>28 November 2026</t>
        </is>
      </c>
      <c r="M88" t="inlineStr">
        <is>
          <t>Konstruksi Bangunan Sipil Jalan</t>
        </is>
      </c>
      <c r="N88" t="inlineStr">
        <is>
          <t>K</t>
        </is>
      </c>
      <c r="O88" t="inlineStr">
        <is>
          <t>20231109</t>
        </is>
      </c>
      <c r="P88" t="inlineStr">
        <is>
          <t>Jawa Timur</t>
        </is>
      </c>
      <c r="Q88" t="inlineStr"/>
    </row>
    <row r="89">
      <c r="A89" t="inlineStr">
        <is>
          <t>PUTRA KALUARRANG PERKASA</t>
        </is>
      </c>
      <c r="B89" t="inlineStr">
        <is>
          <t>Kab. Sidenreng Rappang</t>
        </is>
      </c>
      <c r="C89" t="inlineStr">
        <is>
          <t>082343330983</t>
        </is>
      </c>
      <c r="D89" t="inlineStr">
        <is>
          <t>ptputrakaluarrangperkasa1@gmail.com</t>
        </is>
      </c>
      <c r="E89" t="inlineStr">
        <is>
          <t>https://lpjk.pu.go.id/search-badan-usaha-detail/Ym9GN3pOaVczeWFkWFltdVdsdFdPQT09</t>
        </is>
      </c>
      <c r="F89" t="n">
        <v>1</v>
      </c>
      <c r="G89" t="inlineStr">
        <is>
          <t>BG009</t>
        </is>
      </c>
      <c r="H89" t="inlineStr">
        <is>
          <t>24 Agustus 2023</t>
        </is>
      </c>
      <c r="I89" s="2" t="n">
        <v>46354</v>
      </c>
      <c r="J89" t="inlineStr">
        <is>
          <t>Disetujui</t>
        </is>
      </c>
      <c r="K89" t="n">
        <v>87</v>
      </c>
      <c r="L89" t="inlineStr">
        <is>
          <t>28 November 2026</t>
        </is>
      </c>
      <c r="M89" t="inlineStr">
        <is>
          <t>Konstruksi Gedung Lainnya</t>
        </is>
      </c>
      <c r="N89" t="inlineStr">
        <is>
          <t>K</t>
        </is>
      </c>
      <c r="O89" t="inlineStr">
        <is>
          <t>20231129</t>
        </is>
      </c>
      <c r="P89" t="inlineStr">
        <is>
          <t>Sulawesi Selatan</t>
        </is>
      </c>
      <c r="Q89" t="inlineStr"/>
    </row>
    <row r="90">
      <c r="A90" t="inlineStr">
        <is>
          <t>PUTRA MIHOU</t>
        </is>
      </c>
      <c r="B90" t="inlineStr">
        <is>
          <t>Kab. Pegunungan Arfak</t>
        </is>
      </c>
      <c r="C90" t="inlineStr">
        <is>
          <t>085335038945</t>
        </is>
      </c>
      <c r="D90" t="inlineStr">
        <is>
          <t>cvputramihou@gmail.com</t>
        </is>
      </c>
      <c r="E90" t="inlineStr">
        <is>
          <t>https://lpjk.pu.go.id/search-badan-usaha-detail/ZEdLTTVNQlB5OXI0YzgxMVlUaWNWUT09</t>
        </is>
      </c>
      <c r="F90" t="n">
        <v>2</v>
      </c>
      <c r="G90" t="inlineStr">
        <is>
          <t>BG001, BS001</t>
        </is>
      </c>
      <c r="H90" t="inlineStr">
        <is>
          <t>24 November 2023</t>
        </is>
      </c>
      <c r="I90" s="2" t="n">
        <v>46354</v>
      </c>
      <c r="J90" t="inlineStr">
        <is>
          <t>Disetujui, Pencabutan</t>
        </is>
      </c>
      <c r="K90" t="n">
        <v>87</v>
      </c>
      <c r="L90" t="inlineStr">
        <is>
          <t>28 November 2026</t>
        </is>
      </c>
      <c r="M90" t="inlineStr">
        <is>
          <t>Konstruksi Bangunan Sipil Jalan, Konstruksi Gedung Hunian</t>
        </is>
      </c>
      <c r="N90" t="inlineStr">
        <is>
          <t>K</t>
        </is>
      </c>
      <c r="O90" t="inlineStr">
        <is>
          <t>20231129, 20231130</t>
        </is>
      </c>
      <c r="P90" t="inlineStr">
        <is>
          <t>Papua Barat</t>
        </is>
      </c>
      <c r="Q90" t="inlineStr"/>
    </row>
    <row r="91">
      <c r="A91" t="inlineStr">
        <is>
          <t>PUTRA MULYO MANDIRI</t>
        </is>
      </c>
      <c r="B91" t="inlineStr">
        <is>
          <t>Kota Semarang</t>
        </is>
      </c>
      <c r="C91" t="inlineStr">
        <is>
          <t>081382467638</t>
        </is>
      </c>
      <c r="D91" t="inlineStr">
        <is>
          <t>putramulyomandiri.pmm@gmail.com</t>
        </is>
      </c>
      <c r="E91" t="inlineStr">
        <is>
          <t>https://lpjk.pu.go.id/search-badan-usaha-detail/d1gwR3Fud2ErWFhtNDUzRXNiZWFjZz09</t>
        </is>
      </c>
      <c r="F91" t="n">
        <v>1</v>
      </c>
      <c r="G91" t="inlineStr">
        <is>
          <t>BG009</t>
        </is>
      </c>
      <c r="H91" t="inlineStr">
        <is>
          <t>24 Oktober 2023</t>
        </is>
      </c>
      <c r="I91" s="2" t="n">
        <v>46354</v>
      </c>
      <c r="J91" t="inlineStr">
        <is>
          <t>Disetujui</t>
        </is>
      </c>
      <c r="K91" t="n">
        <v>87</v>
      </c>
      <c r="L91" t="inlineStr">
        <is>
          <t>28 November 2026</t>
        </is>
      </c>
      <c r="M91" t="inlineStr">
        <is>
          <t>Konstruksi Gedung Lainnya</t>
        </is>
      </c>
      <c r="N91" t="inlineStr">
        <is>
          <t>K</t>
        </is>
      </c>
      <c r="O91" t="inlineStr">
        <is>
          <t>20231128</t>
        </is>
      </c>
      <c r="P91" t="inlineStr">
        <is>
          <t>Jawa Tengah</t>
        </is>
      </c>
      <c r="Q91" t="inlineStr"/>
    </row>
    <row r="92">
      <c r="A92" t="inlineStr">
        <is>
          <t>PUTRA UTAMA PERKASA</t>
        </is>
      </c>
      <c r="B92" t="inlineStr">
        <is>
          <t>Kab. Malang</t>
        </is>
      </c>
      <c r="C92" t="inlineStr">
        <is>
          <t>082334046644</t>
        </is>
      </c>
      <c r="D92" t="inlineStr">
        <is>
          <t>putrautamaperkasa.cv@gmail.com</t>
        </is>
      </c>
      <c r="E92" t="inlineStr">
        <is>
          <t>https://lpjk.pu.go.id/search-badan-usaha-detail/Rng3bkx5OWZ3UXJKWTZTYjdHb1E2QT09</t>
        </is>
      </c>
      <c r="F92" t="n">
        <v>1</v>
      </c>
      <c r="G92" t="inlineStr">
        <is>
          <t>BS004</t>
        </is>
      </c>
      <c r="H92" t="inlineStr">
        <is>
          <t>4 Juni 1998</t>
        </is>
      </c>
      <c r="I92" s="2" t="n">
        <v>46354</v>
      </c>
      <c r="J92" t="inlineStr">
        <is>
          <t>Disetujui</t>
        </is>
      </c>
      <c r="K92" t="n">
        <v>87</v>
      </c>
      <c r="L92" t="inlineStr">
        <is>
          <t>28 November 2026</t>
        </is>
      </c>
      <c r="M92" t="inlineStr">
        <is>
          <t>Konstruksi Jaringan Irigasi dan Drainase</t>
        </is>
      </c>
      <c r="N92" t="inlineStr">
        <is>
          <t>K</t>
        </is>
      </c>
      <c r="O92" t="inlineStr">
        <is>
          <t>20231124</t>
        </is>
      </c>
      <c r="P92" t="inlineStr">
        <is>
          <t>Jawa Timur</t>
        </is>
      </c>
      <c r="Q92" t="inlineStr"/>
    </row>
    <row r="93">
      <c r="A93" t="inlineStr">
        <is>
          <t>PUTRI PINILIH</t>
        </is>
      </c>
      <c r="B93" t="inlineStr">
        <is>
          <t>Kota Cimahi</t>
        </is>
      </c>
      <c r="C93" t="inlineStr">
        <is>
          <t>082317583370</t>
        </is>
      </c>
      <c r="D93" t="inlineStr">
        <is>
          <t>cv.putripinilih@gmail.com</t>
        </is>
      </c>
      <c r="E93" t="inlineStr">
        <is>
          <t>https://lpjk.pu.go.id/search-badan-usaha-detail/b2dEWk5OMzF3WHBQY2x5blVuQzRudz09</t>
        </is>
      </c>
      <c r="F93" t="n">
        <v>3</v>
      </c>
      <c r="G93" t="inlineStr">
        <is>
          <t>BG005, BG006, BG009</t>
        </is>
      </c>
      <c r="H93" t="inlineStr">
        <is>
          <t>14 November 2023</t>
        </is>
      </c>
      <c r="I93" s="2" t="n">
        <v>46354</v>
      </c>
      <c r="J93" t="inlineStr">
        <is>
          <t>Disetujui</t>
        </is>
      </c>
      <c r="K93" t="n">
        <v>87</v>
      </c>
      <c r="L93" t="inlineStr">
        <is>
          <t>28 November 2026</t>
        </is>
      </c>
      <c r="M93" t="inlineStr">
        <is>
          <t>Konstruksi Gedung Kesehatan, Konstruksi Gedung Lainnya, Konstruksi Gedung Pendidikan</t>
        </is>
      </c>
      <c r="N93" t="inlineStr">
        <is>
          <t>K</t>
        </is>
      </c>
      <c r="O93" t="inlineStr">
        <is>
          <t>20231124</t>
        </is>
      </c>
      <c r="P93" t="inlineStr">
        <is>
          <t>Jawa Barat</t>
        </is>
      </c>
      <c r="Q93" t="inlineStr"/>
    </row>
    <row r="94">
      <c r="A94" t="inlineStr">
        <is>
          <t>PUTRI YALI MANDIRI</t>
        </is>
      </c>
      <c r="B94" t="inlineStr">
        <is>
          <t>Kab. Yalimo</t>
        </is>
      </c>
      <c r="C94" t="inlineStr">
        <is>
          <t>081344784841</t>
        </is>
      </c>
      <c r="D94" t="inlineStr">
        <is>
          <t>putriyalimandiri@gmail.com</t>
        </is>
      </c>
      <c r="E94" t="inlineStr">
        <is>
          <t>https://lpjk.pu.go.id/search-badan-usaha-detail/Nm45aHpCZkZ5VUZpcVlRenA0UUhTZz09</t>
        </is>
      </c>
      <c r="F94" t="n">
        <v>1</v>
      </c>
      <c r="G94" t="inlineStr">
        <is>
          <t>BG009</t>
        </is>
      </c>
      <c r="H94" t="inlineStr">
        <is>
          <t>17 Juli 2014</t>
        </is>
      </c>
      <c r="I94" s="2" t="n">
        <v>46354</v>
      </c>
      <c r="J94" t="inlineStr">
        <is>
          <t>Disetujui</t>
        </is>
      </c>
      <c r="K94" t="n">
        <v>87</v>
      </c>
      <c r="L94" t="inlineStr">
        <is>
          <t>28 November 2026</t>
        </is>
      </c>
      <c r="M94" t="inlineStr">
        <is>
          <t>Konstruksi Gedung Lainnya</t>
        </is>
      </c>
      <c r="N94" t="inlineStr">
        <is>
          <t>K</t>
        </is>
      </c>
      <c r="O94" t="inlineStr">
        <is>
          <t>20231115</t>
        </is>
      </c>
      <c r="P94" t="inlineStr">
        <is>
          <t>Papua Pegunungan</t>
        </is>
      </c>
      <c r="Q94" t="inlineStr"/>
    </row>
    <row r="95">
      <c r="A95" t="inlineStr">
        <is>
          <t>RAJA BELIDO SUKSES</t>
        </is>
      </c>
      <c r="B95" t="inlineStr">
        <is>
          <t>Kota Batam</t>
        </is>
      </c>
      <c r="C95" t="inlineStr">
        <is>
          <t>085208597888</t>
        </is>
      </c>
      <c r="D95" t="inlineStr">
        <is>
          <t>raja.belido@yahoo.com</t>
        </is>
      </c>
      <c r="E95" t="inlineStr">
        <is>
          <t>https://lpjk.pu.go.id/search-badan-usaha-detail/R3BhelVBUkVwVkFWeDlNQmxWR2Y4UT09</t>
        </is>
      </c>
      <c r="F95" t="n">
        <v>1</v>
      </c>
      <c r="G95" t="inlineStr">
        <is>
          <t>BS005</t>
        </is>
      </c>
      <c r="H95" t="inlineStr">
        <is>
          <t>23 Mei 2017</t>
        </is>
      </c>
      <c r="I95" s="2" t="n">
        <v>46354</v>
      </c>
      <c r="J95" t="inlineStr">
        <is>
          <t>Disetujui</t>
        </is>
      </c>
      <c r="K95" t="n">
        <v>87</v>
      </c>
      <c r="L95" t="inlineStr">
        <is>
          <t>28 November 2026</t>
        </is>
      </c>
      <c r="M95" t="inlineStr">
        <is>
          <t>Konstruksi Bangunan Sipil Pengolahan Air Bersih</t>
        </is>
      </c>
      <c r="N95" t="inlineStr">
        <is>
          <t>K</t>
        </is>
      </c>
      <c r="O95" t="inlineStr">
        <is>
          <t>20231123</t>
        </is>
      </c>
      <c r="P95" t="inlineStr">
        <is>
          <t>Kepulauan Riau</t>
        </is>
      </c>
      <c r="Q95" t="inlineStr"/>
    </row>
    <row r="96">
      <c r="A96" t="inlineStr">
        <is>
          <t>RAJAWALI PARAMA KONSTRUKSI</t>
        </is>
      </c>
      <c r="B96" t="inlineStr">
        <is>
          <t>Kota Tangerang Selatan</t>
        </is>
      </c>
      <c r="C96" t="inlineStr">
        <is>
          <t>02153128888</t>
        </is>
      </c>
      <c r="D96" t="inlineStr">
        <is>
          <t>bong_parnoto@rajawaliparama.com</t>
        </is>
      </c>
      <c r="E96" t="inlineStr">
        <is>
          <t>https://lpjk.pu.go.id/search-badan-usaha-detail/c0tkVTVTY1lVajMvaE94V2J6RGswUT09</t>
        </is>
      </c>
      <c r="F96" t="n">
        <v>2</v>
      </c>
      <c r="G96" t="inlineStr">
        <is>
          <t>IN001</t>
        </is>
      </c>
      <c r="H96" t="inlineStr">
        <is>
          <t>8 Februari 2011</t>
        </is>
      </c>
      <c r="I96" s="2" t="n">
        <v>46354</v>
      </c>
      <c r="J96" t="inlineStr">
        <is>
          <t>Disetujui</t>
        </is>
      </c>
      <c r="K96" t="n">
        <v>87</v>
      </c>
      <c r="L96" t="inlineStr">
        <is>
          <t>28 November 2026</t>
        </is>
      </c>
      <c r="M96" t="inlineStr">
        <is>
          <t>Instalasi Mekanikal</t>
        </is>
      </c>
      <c r="N96" t="inlineStr">
        <is>
          <t>Spesialis</t>
        </is>
      </c>
      <c r="O96" t="inlineStr">
        <is>
          <t>20231120</t>
        </is>
      </c>
      <c r="P96" t="inlineStr">
        <is>
          <t>Banten</t>
        </is>
      </c>
      <c r="Q96" t="inlineStr"/>
    </row>
    <row r="97">
      <c r="A97" t="inlineStr">
        <is>
          <t>RAKSA ARIA KENCANA</t>
        </is>
      </c>
      <c r="B97" t="inlineStr">
        <is>
          <t>Kota Sukabumi</t>
        </is>
      </c>
      <c r="C97" t="inlineStr">
        <is>
          <t>081381364610</t>
        </is>
      </c>
      <c r="D97" t="inlineStr">
        <is>
          <t>rak.sukabumi@gmail.com</t>
        </is>
      </c>
      <c r="E97" t="inlineStr">
        <is>
          <t>https://lpjk.pu.go.id/search-badan-usaha-detail/MFFuRFYxbjA1ZHNuemdwMDJoc0prQT09</t>
        </is>
      </c>
      <c r="F97" t="n">
        <v>1</v>
      </c>
      <c r="G97" t="inlineStr">
        <is>
          <t>BG005</t>
        </is>
      </c>
      <c r="H97" t="inlineStr">
        <is>
          <t>6 Januari 2020</t>
        </is>
      </c>
      <c r="I97" s="2" t="n">
        <v>46354</v>
      </c>
      <c r="J97" t="inlineStr">
        <is>
          <t>Disetujui</t>
        </is>
      </c>
      <c r="K97" t="n">
        <v>87</v>
      </c>
      <c r="L97" t="inlineStr">
        <is>
          <t>28 November 2026</t>
        </is>
      </c>
      <c r="M97" t="inlineStr">
        <is>
          <t>Konstruksi Gedung Kesehatan</t>
        </is>
      </c>
      <c r="N97" t="inlineStr">
        <is>
          <t>K</t>
        </is>
      </c>
      <c r="O97" t="inlineStr">
        <is>
          <t>20231114</t>
        </is>
      </c>
      <c r="P97" t="inlineStr">
        <is>
          <t>Jawa Barat</t>
        </is>
      </c>
      <c r="Q97" t="inlineStr"/>
    </row>
    <row r="98">
      <c r="A98" t="inlineStr">
        <is>
          <t>RAMADHAN</t>
        </is>
      </c>
      <c r="B98" t="inlineStr">
        <is>
          <t>Kab. Bone</t>
        </is>
      </c>
      <c r="C98" t="inlineStr">
        <is>
          <t>085145175678</t>
        </is>
      </c>
      <c r="D98" t="inlineStr">
        <is>
          <t>cv.ramadhanbone@gmail.com</t>
        </is>
      </c>
      <c r="E98" t="inlineStr">
        <is>
          <t>https://lpjk.pu.go.id/search-badan-usaha-detail/NUV0WXZSdXEvK3kxQkdEcTl6R1hsdz09</t>
        </is>
      </c>
      <c r="F98" t="n">
        <v>12</v>
      </c>
      <c r="G98" t="inlineStr">
        <is>
          <t>BG005, BG006, BG009, BS001, BS002, BS005</t>
        </is>
      </c>
      <c r="H98" t="inlineStr">
        <is>
          <t>10 Januari 2015</t>
        </is>
      </c>
      <c r="I98" s="2" t="n">
        <v>46354</v>
      </c>
      <c r="J98" t="inlineStr">
        <is>
          <t>Disetujui</t>
        </is>
      </c>
      <c r="K98" t="n">
        <v>87</v>
      </c>
      <c r="L98" t="inlineStr">
        <is>
          <t>28 November 2026</t>
        </is>
      </c>
      <c r="M98" t="inlineStr">
        <is>
          <t>Bangunan Sipil Jembatan, Jalan Layang, Fly Over, dan Underpass, Konstruksi Bangunan Sipil Jalan, Konstruksi Bangunan Sipil Pengolahan Air Bersih, Konstruksi Gedung Kesehatan, Konstruksi Gedung Lainnya, Konstruksi Gedung Pendidikan</t>
        </is>
      </c>
      <c r="N98" t="inlineStr">
        <is>
          <t>K</t>
        </is>
      </c>
      <c r="O98" t="inlineStr">
        <is>
          <t>20231115, 20231116, 20231119</t>
        </is>
      </c>
      <c r="P98" t="inlineStr">
        <is>
          <t>Sulawesi Selatan</t>
        </is>
      </c>
      <c r="Q98" t="inlineStr"/>
    </row>
    <row r="99">
      <c r="A99" t="inlineStr">
        <is>
          <t>SARANAMUKTI PUTERASEJATI</t>
        </is>
      </c>
      <c r="B99" t="inlineStr">
        <is>
          <t>Kab. Banggai</t>
        </is>
      </c>
      <c r="C99" t="inlineStr">
        <is>
          <t>046121575</t>
        </is>
      </c>
      <c r="D99" t="inlineStr">
        <is>
          <t>saranamuktiputerasejati@yahoo.com</t>
        </is>
      </c>
      <c r="E99" t="inlineStr">
        <is>
          <t>https://lpjk.pu.go.id/search-badan-usaha-detail/WkdlRmg4b2Z2a1prZTU3Qjk2Q0s4Zz09</t>
        </is>
      </c>
      <c r="F99" t="n">
        <v>1</v>
      </c>
      <c r="G99" t="inlineStr">
        <is>
          <t>BS001</t>
        </is>
      </c>
      <c r="H99" t="inlineStr">
        <is>
          <t>15 Desember 1993</t>
        </is>
      </c>
      <c r="I99" s="2" t="n">
        <v>46354</v>
      </c>
      <c r="J99" t="inlineStr">
        <is>
          <t>Pencabutan</t>
        </is>
      </c>
      <c r="K99" t="n">
        <v>87</v>
      </c>
      <c r="L99" t="inlineStr">
        <is>
          <t>28 November 2026</t>
        </is>
      </c>
      <c r="M99" t="inlineStr">
        <is>
          <t>Konstruksi Bangunan Sipil Jalan</t>
        </is>
      </c>
      <c r="N99" t="inlineStr">
        <is>
          <t>B</t>
        </is>
      </c>
      <c r="O99" t="inlineStr">
        <is>
          <t>20231121</t>
        </is>
      </c>
      <c r="P99" t="inlineStr">
        <is>
          <t>Sulawesi Tengah</t>
        </is>
      </c>
      <c r="Q99" t="inlineStr"/>
    </row>
    <row r="100">
      <c r="A100" t="inlineStr">
        <is>
          <t>SATRIA MITRA MUDA</t>
        </is>
      </c>
      <c r="B100" t="inlineStr">
        <is>
          <t>Kota Jambi</t>
        </is>
      </c>
      <c r="C100" t="inlineStr">
        <is>
          <t>083190579389</t>
        </is>
      </c>
      <c r="D100" t="inlineStr">
        <is>
          <t>satriamitramudacv@yahoo.com</t>
        </is>
      </c>
      <c r="E100" t="inlineStr">
        <is>
          <t>https://lpjk.pu.go.id/search-badan-usaha-detail/aFVsdDZpMXdDYXNLMWtPTnlRdENOZz09</t>
        </is>
      </c>
      <c r="F100" t="n">
        <v>3</v>
      </c>
      <c r="G100" t="inlineStr">
        <is>
          <t>BG002, BG005, BG006</t>
        </is>
      </c>
      <c r="H100" t="inlineStr">
        <is>
          <t>15 Mei 2016</t>
        </is>
      </c>
      <c r="I100" s="2" t="n">
        <v>46354</v>
      </c>
      <c r="J100" t="inlineStr">
        <is>
          <t>Disetujui</t>
        </is>
      </c>
      <c r="K100" t="n">
        <v>87</v>
      </c>
      <c r="L100" t="inlineStr">
        <is>
          <t>28 November 2026</t>
        </is>
      </c>
      <c r="M100" t="inlineStr">
        <is>
          <t>Konstruksi Gedung Kesehatan, Konstruksi Gedung Pendidikan, Konstruksi Gedung Perkantoran</t>
        </is>
      </c>
      <c r="N100" t="inlineStr">
        <is>
          <t>K</t>
        </is>
      </c>
      <c r="O100" t="inlineStr">
        <is>
          <t>20231127</t>
        </is>
      </c>
      <c r="P100" t="inlineStr">
        <is>
          <t>Jambi</t>
        </is>
      </c>
      <c r="Q100" t="inlineStr"/>
    </row>
    <row r="101">
      <c r="A101" t="inlineStr">
        <is>
          <t>SEMARAK KONSTRUKSI BATAM</t>
        </is>
      </c>
      <c r="B101" t="inlineStr">
        <is>
          <t>Kota Batam</t>
        </is>
      </c>
      <c r="C101" t="inlineStr">
        <is>
          <t>082257777888</t>
        </is>
      </c>
      <c r="D101" t="inlineStr">
        <is>
          <t>pt.semarakkb@gmail.com</t>
        </is>
      </c>
      <c r="E101" t="inlineStr">
        <is>
          <t>https://lpjk.pu.go.id/search-badan-usaha-detail/WG83K0NqSW4rdzVLdXVrSGxReVZBdz09</t>
        </is>
      </c>
      <c r="F101" t="n">
        <v>2</v>
      </c>
      <c r="G101" t="inlineStr">
        <is>
          <t>BG001</t>
        </is>
      </c>
      <c r="H101" t="inlineStr">
        <is>
          <t>4 Maret 2010</t>
        </is>
      </c>
      <c r="I101" s="2" t="n">
        <v>46354</v>
      </c>
      <c r="J101" t="inlineStr">
        <is>
          <t>Disetujui</t>
        </is>
      </c>
      <c r="K101" t="n">
        <v>87</v>
      </c>
      <c r="L101" t="inlineStr">
        <is>
          <t>28 November 2026</t>
        </is>
      </c>
      <c r="M101" t="inlineStr">
        <is>
          <t>Konstruksi Gedung Hunian</t>
        </is>
      </c>
      <c r="N101" t="inlineStr">
        <is>
          <t>K</t>
        </is>
      </c>
      <c r="O101" t="inlineStr">
        <is>
          <t>20231128</t>
        </is>
      </c>
      <c r="P101" t="inlineStr">
        <is>
          <t>Kepulauan Riau</t>
        </is>
      </c>
      <c r="Q101" t="inlineStr"/>
    </row>
    <row r="102">
      <c r="A102" t="inlineStr">
        <is>
          <t>SETIAWAN BUNDA</t>
        </is>
      </c>
      <c r="B102" t="inlineStr">
        <is>
          <t>Kota Surabaya</t>
        </is>
      </c>
      <c r="C102" t="inlineStr">
        <is>
          <t>082230140708</t>
        </is>
      </c>
      <c r="D102" t="inlineStr">
        <is>
          <t>setiawan.bunda@yahoo.com</t>
        </is>
      </c>
      <c r="E102" t="inlineStr">
        <is>
          <t>https://lpjk.pu.go.id/search-badan-usaha-detail/bXdHcUNFMlJRalltaG5qVEJpTVpvdz09</t>
        </is>
      </c>
      <c r="F102" t="n">
        <v>1</v>
      </c>
      <c r="G102" t="inlineStr">
        <is>
          <t>BS001</t>
        </is>
      </c>
      <c r="H102" t="inlineStr">
        <is>
          <t>22 Juni 2012</t>
        </is>
      </c>
      <c r="I102" s="2" t="n">
        <v>46354</v>
      </c>
      <c r="J102" t="inlineStr">
        <is>
          <t>Disetujui</t>
        </is>
      </c>
      <c r="K102" t="n">
        <v>87</v>
      </c>
      <c r="L102" t="inlineStr">
        <is>
          <t>28 November 2026</t>
        </is>
      </c>
      <c r="M102" t="inlineStr">
        <is>
          <t>Konstruksi Bangunan Sipil Jalan</t>
        </is>
      </c>
      <c r="N102" t="inlineStr">
        <is>
          <t>K</t>
        </is>
      </c>
      <c r="O102" t="inlineStr">
        <is>
          <t>20231123</t>
        </is>
      </c>
      <c r="P102" t="inlineStr">
        <is>
          <t>Jawa Timur</t>
        </is>
      </c>
      <c r="Q102" t="inlineStr"/>
    </row>
    <row r="103">
      <c r="A103" t="inlineStr">
        <is>
          <t>SINAR ESTETIKA DJAYA</t>
        </is>
      </c>
      <c r="B103" t="inlineStr">
        <is>
          <t>Kab. Serang</t>
        </is>
      </c>
      <c r="C103" t="inlineStr">
        <is>
          <t>081388067707</t>
        </is>
      </c>
      <c r="D103" t="inlineStr">
        <is>
          <t>sedjaya88@gmail.com</t>
        </is>
      </c>
      <c r="E103" t="inlineStr">
        <is>
          <t>https://lpjk.pu.go.id/search-badan-usaha-detail/TmpVS1g5NDcwWEhpcFZiUHZaV3Q3Zz09</t>
        </is>
      </c>
      <c r="F103" t="n">
        <v>1</v>
      </c>
      <c r="G103" t="inlineStr">
        <is>
          <t>BS001</t>
        </is>
      </c>
      <c r="H103" t="inlineStr">
        <is>
          <t>14 Februari 2023</t>
        </is>
      </c>
      <c r="I103" s="2" t="n">
        <v>46354</v>
      </c>
      <c r="J103" t="inlineStr">
        <is>
          <t>Disetujui</t>
        </is>
      </c>
      <c r="K103" t="n">
        <v>87</v>
      </c>
      <c r="L103" t="inlineStr">
        <is>
          <t>28 November 2026</t>
        </is>
      </c>
      <c r="M103" t="inlineStr">
        <is>
          <t>Konstruksi Bangunan Sipil Jalan</t>
        </is>
      </c>
      <c r="N103" t="inlineStr">
        <is>
          <t>K</t>
        </is>
      </c>
      <c r="O103" t="inlineStr">
        <is>
          <t>20231122</t>
        </is>
      </c>
      <c r="P103" t="inlineStr">
        <is>
          <t>Banten</t>
        </is>
      </c>
      <c r="Q103" t="inlineStr"/>
    </row>
    <row r="104">
      <c r="A104" t="inlineStr">
        <is>
          <t>SINAR MUTIA</t>
        </is>
      </c>
      <c r="B104" t="inlineStr">
        <is>
          <t>Kota Lhokseumawe</t>
        </is>
      </c>
      <c r="C104" t="inlineStr">
        <is>
          <t>085260852997</t>
        </is>
      </c>
      <c r="D104" t="inlineStr">
        <is>
          <t>cv.sinarmutia18@gmail.com</t>
        </is>
      </c>
      <c r="E104" t="inlineStr">
        <is>
          <t>https://lpjk.pu.go.id/search-badan-usaha-detail/M0hEVWNuQ09XdERka0RZUlZqSnNRUT09</t>
        </is>
      </c>
      <c r="F104" t="n">
        <v>4</v>
      </c>
      <c r="G104" t="inlineStr">
        <is>
          <t>BG001, BG002, BG006, BG008</t>
        </is>
      </c>
      <c r="H104" t="inlineStr">
        <is>
          <t>5 Januari 2018</t>
        </is>
      </c>
      <c r="I104" s="2" t="n">
        <v>46354</v>
      </c>
      <c r="J104" t="inlineStr">
        <is>
          <t>Disetujui</t>
        </is>
      </c>
      <c r="K104" t="n">
        <v>87</v>
      </c>
      <c r="L104" t="inlineStr">
        <is>
          <t>28 November 2026</t>
        </is>
      </c>
      <c r="M104" t="inlineStr">
        <is>
          <t>Konstruksi Gedung Hunian, Konstruksi Gedung Pendidikan, Konstruksi Gedung Perkantoran, Konstruksi Gedung Tempat Hiburan dan Olahraga</t>
        </is>
      </c>
      <c r="N104" t="inlineStr">
        <is>
          <t>K</t>
        </is>
      </c>
      <c r="O104" t="inlineStr">
        <is>
          <t>20231122</t>
        </is>
      </c>
      <c r="P104" t="inlineStr">
        <is>
          <t>Aceh</t>
        </is>
      </c>
      <c r="Q104" t="inlineStr"/>
    </row>
    <row r="105">
      <c r="A105" t="inlineStr">
        <is>
          <t>SOKOJATI BUMI SERASI</t>
        </is>
      </c>
      <c r="B105" t="inlineStr">
        <is>
          <t>Kab. Cilacap</t>
        </is>
      </c>
      <c r="C105" t="inlineStr">
        <is>
          <t>08122773546</t>
        </is>
      </c>
      <c r="D105" t="inlineStr">
        <is>
          <t>ptsbs@ymail.com</t>
        </is>
      </c>
      <c r="E105" t="inlineStr">
        <is>
          <t>https://lpjk.pu.go.id/search-badan-usaha-detail/ajBJZEdWc3RHNnhidWxRejk3Q3diQT09</t>
        </is>
      </c>
      <c r="F105" t="n">
        <v>2</v>
      </c>
      <c r="G105" t="inlineStr">
        <is>
          <t>BG003, IN004</t>
        </is>
      </c>
      <c r="H105" t="inlineStr">
        <is>
          <t>13 April 2004</t>
        </is>
      </c>
      <c r="I105" s="2" t="n">
        <v>46354</v>
      </c>
      <c r="J105" t="inlineStr">
        <is>
          <t>Disetujui</t>
        </is>
      </c>
      <c r="K105" t="n">
        <v>87</v>
      </c>
      <c r="L105" t="inlineStr">
        <is>
          <t>28 November 2026</t>
        </is>
      </c>
      <c r="M105" t="inlineStr">
        <is>
          <t>Instalasi Minyak dan Gas, Konstruksi Gedung Industri</t>
        </is>
      </c>
      <c r="N105" t="inlineStr">
        <is>
          <t>K, Spesialis</t>
        </is>
      </c>
      <c r="O105" t="inlineStr">
        <is>
          <t>20231124</t>
        </is>
      </c>
      <c r="P105" t="inlineStr">
        <is>
          <t>Jawa Tengah</t>
        </is>
      </c>
      <c r="Q105" t="inlineStr"/>
    </row>
    <row r="106">
      <c r="A106" t="inlineStr">
        <is>
          <t>SUMBER BERKAH MUTIARA</t>
        </is>
      </c>
      <c r="B106" t="inlineStr">
        <is>
          <t>Kab. Tuban</t>
        </is>
      </c>
      <c r="C106" t="inlineStr">
        <is>
          <t>085732453166</t>
        </is>
      </c>
      <c r="D106" t="inlineStr">
        <is>
          <t>cv.sumberberkahmutiara@gmail.com</t>
        </is>
      </c>
      <c r="E106" t="inlineStr">
        <is>
          <t>https://lpjk.pu.go.id/search-badan-usaha-detail/YkJkWlNzVXNnbk5nRURsWmdLOHc1Zz09</t>
        </is>
      </c>
      <c r="F106" t="n">
        <v>1</v>
      </c>
      <c r="G106" t="inlineStr">
        <is>
          <t>BS001</t>
        </is>
      </c>
      <c r="H106" t="inlineStr">
        <is>
          <t>10 Oktober 2023</t>
        </is>
      </c>
      <c r="I106" s="2" t="n">
        <v>46354</v>
      </c>
      <c r="J106" t="inlineStr">
        <is>
          <t>Disetujui</t>
        </is>
      </c>
      <c r="K106" t="n">
        <v>87</v>
      </c>
      <c r="L106" t="inlineStr">
        <is>
          <t>28 November 2026</t>
        </is>
      </c>
      <c r="M106" t="inlineStr">
        <is>
          <t>Konstruksi Bangunan Sipil Jalan</t>
        </is>
      </c>
      <c r="N106" t="inlineStr">
        <is>
          <t>K</t>
        </is>
      </c>
      <c r="O106" t="inlineStr">
        <is>
          <t>20231128</t>
        </is>
      </c>
      <c r="P106" t="inlineStr">
        <is>
          <t>Jawa Timur</t>
        </is>
      </c>
      <c r="Q106" t="inlineStr"/>
    </row>
    <row r="107">
      <c r="A107" t="inlineStr">
        <is>
          <t>TATA KARYA KONSULTAN</t>
        </is>
      </c>
      <c r="B107" t="inlineStr">
        <is>
          <t>Kota Tangerang</t>
        </is>
      </c>
      <c r="C107" t="inlineStr">
        <is>
          <t>081294632437</t>
        </is>
      </c>
      <c r="D107" t="inlineStr">
        <is>
          <t>tatakaryakonsultan@gmail.com</t>
        </is>
      </c>
      <c r="E107" t="inlineStr">
        <is>
          <t>https://lpjk.pu.go.id/search-badan-usaha-detail/MWxJdHQ1cW1FeE00ZStFcjhBRm5Edz09</t>
        </is>
      </c>
      <c r="F107" t="n">
        <v>1</v>
      </c>
      <c r="G107" t="inlineStr">
        <is>
          <t>RK002</t>
        </is>
      </c>
      <c r="H107" t="inlineStr">
        <is>
          <t>21 Juli 2023</t>
        </is>
      </c>
      <c r="I107" s="2" t="n">
        <v>46354</v>
      </c>
      <c r="J107" t="inlineStr">
        <is>
          <t>Disetujui</t>
        </is>
      </c>
      <c r="K107" t="n">
        <v>87</v>
      </c>
      <c r="L107" t="inlineStr">
        <is>
          <t>28 November 2026</t>
        </is>
      </c>
      <c r="M107" t="inlineStr">
        <is>
          <t>Jasa Rekayasa Pekerjaan Teknik Sipil Sumber Daya Air</t>
        </is>
      </c>
      <c r="N107" t="inlineStr">
        <is>
          <t>K</t>
        </is>
      </c>
      <c r="O107" t="inlineStr">
        <is>
          <t>20231123</t>
        </is>
      </c>
      <c r="P107" t="inlineStr">
        <is>
          <t>Banten</t>
        </is>
      </c>
      <c r="Q107" t="inlineStr"/>
    </row>
    <row r="108">
      <c r="A108" t="inlineStr">
        <is>
          <t>TATA KARYA PRATAMA</t>
        </is>
      </c>
      <c r="B108" t="inlineStr">
        <is>
          <t>Kota Padang</t>
        </is>
      </c>
      <c r="C108" t="inlineStr">
        <is>
          <t>082381956101</t>
        </is>
      </c>
      <c r="D108" t="inlineStr">
        <is>
          <t>tatakaryapratama@gmail.com</t>
        </is>
      </c>
      <c r="E108" t="inlineStr">
        <is>
          <t>https://lpjk.pu.go.id/search-badan-usaha-detail/YzJkbXk1bnM0Sk5xdzNMb0FOTzFrdz09</t>
        </is>
      </c>
      <c r="F108" t="n">
        <v>6</v>
      </c>
      <c r="G108" t="inlineStr">
        <is>
          <t>BG005, BG006, BG008, BG009, BS001, BS004</t>
        </is>
      </c>
      <c r="H108" t="inlineStr">
        <is>
          <t>31 Maret 2016</t>
        </is>
      </c>
      <c r="I108" s="2" t="n">
        <v>46354</v>
      </c>
      <c r="J108" t="inlineStr">
        <is>
          <t>Disetujui</t>
        </is>
      </c>
      <c r="K108" t="n">
        <v>87</v>
      </c>
      <c r="L108" t="inlineStr">
        <is>
          <t>28 November 2026</t>
        </is>
      </c>
      <c r="M108" t="inlineStr">
        <is>
          <t>Konstruksi Bangunan Sipil Jalan, Konstruksi Gedung Kesehatan, Konstruksi Gedung Lainnya, Konstruksi Gedung Pendidikan, Konstruksi Gedung Tempat Hiburan dan Olahraga, Konstruksi Jaringan Irigasi dan Drainase</t>
        </is>
      </c>
      <c r="N108" t="inlineStr">
        <is>
          <t>K</t>
        </is>
      </c>
      <c r="O108" t="inlineStr">
        <is>
          <t>20231128, 20231130</t>
        </is>
      </c>
      <c r="P108" t="inlineStr">
        <is>
          <t>Sumatera Barat</t>
        </is>
      </c>
      <c r="Q108" t="inlineStr"/>
    </row>
    <row r="109">
      <c r="A109" t="inlineStr">
        <is>
          <t>TETRAWAHYU KENCANA</t>
        </is>
      </c>
      <c r="B109" t="inlineStr">
        <is>
          <t>Kota Surabaya</t>
        </is>
      </c>
      <c r="C109" t="inlineStr">
        <is>
          <t>0318288414</t>
        </is>
      </c>
      <c r="D109" t="inlineStr">
        <is>
          <t>tetrawahyuk@yahoo.co.id</t>
        </is>
      </c>
      <c r="E109" t="inlineStr">
        <is>
          <t>https://lpjk.pu.go.id/search-badan-usaha-detail/S3RRY2ovUmJGeUNlR2U5SElRTnYrUT09</t>
        </is>
      </c>
      <c r="F109" t="n">
        <v>6</v>
      </c>
      <c r="G109" t="inlineStr">
        <is>
          <t>BG002, BG003, BG004, BG006, BG009, BS001</t>
        </is>
      </c>
      <c r="H109" t="inlineStr">
        <is>
          <t>21 Oktober 1991</t>
        </is>
      </c>
      <c r="I109" s="2" t="n">
        <v>46354</v>
      </c>
      <c r="J109" t="inlineStr">
        <is>
          <t>Disetujui</t>
        </is>
      </c>
      <c r="K109" t="n">
        <v>87</v>
      </c>
      <c r="L109" t="inlineStr">
        <is>
          <t>28 November 2026</t>
        </is>
      </c>
      <c r="M109" t="inlineStr">
        <is>
          <t>Konstruksi Bangunan Sipil Jalan, Konstruksi Gedung Industri, Konstruksi Gedung Lainnya, Konstruksi Gedung Pendidikan, Konstruksi Gedung Perbelanjaan, Konstruksi Gedung Perkantoran</t>
        </is>
      </c>
      <c r="N109" t="inlineStr">
        <is>
          <t>K</t>
        </is>
      </c>
      <c r="O109" t="inlineStr">
        <is>
          <t>20231123</t>
        </is>
      </c>
      <c r="P109" t="inlineStr">
        <is>
          <t>Jawa Timur</t>
        </is>
      </c>
      <c r="Q109" t="inlineStr"/>
    </row>
    <row r="110">
      <c r="A110" t="inlineStr">
        <is>
          <t>TIMURJAYA TUNGGAL</t>
        </is>
      </c>
      <c r="B110" t="inlineStr">
        <is>
          <t>Kota Balikpapan</t>
        </is>
      </c>
      <c r="C110" t="inlineStr">
        <is>
          <t>0542733522</t>
        </is>
      </c>
      <c r="D110" t="inlineStr">
        <is>
          <t>tuffahatii@kotaminyak.co.id</t>
        </is>
      </c>
      <c r="E110" t="inlineStr">
        <is>
          <t>https://lpjk.pu.go.id/search-badan-usaha-detail/QTVJYVZORTh2SG41U3hDcWx4elRjZz09</t>
        </is>
      </c>
      <c r="F110" t="n">
        <v>2</v>
      </c>
      <c r="G110" t="inlineStr">
        <is>
          <t>IN004, IN007</t>
        </is>
      </c>
      <c r="H110" t="inlineStr">
        <is>
          <t>23 Agustus 1991</t>
        </is>
      </c>
      <c r="I110" s="2" t="n">
        <v>46354</v>
      </c>
      <c r="J110" t="inlineStr">
        <is>
          <t>Disetujui</t>
        </is>
      </c>
      <c r="K110" t="n">
        <v>87</v>
      </c>
      <c r="L110" t="inlineStr">
        <is>
          <t>28 November 2026</t>
        </is>
      </c>
      <c r="M110" t="inlineStr">
        <is>
          <t>Instalasi Minyak dan Gas, Instalasi Saluran Air (Plambing)</t>
        </is>
      </c>
      <c r="N110" t="inlineStr">
        <is>
          <t>Spesialis</t>
        </is>
      </c>
      <c r="O110" t="inlineStr">
        <is>
          <t>20231115</t>
        </is>
      </c>
      <c r="P110" t="inlineStr">
        <is>
          <t>Kalimantan Timur</t>
        </is>
      </c>
      <c r="Q110" t="inlineStr"/>
    </row>
    <row r="111">
      <c r="A111" t="inlineStr">
        <is>
          <t>TRACON INDUSTRI</t>
        </is>
      </c>
      <c r="B111" t="inlineStr">
        <is>
          <t>Kota Adm. Jakarta Selatan</t>
        </is>
      </c>
      <c r="C111" t="inlineStr">
        <is>
          <t>0217974367</t>
        </is>
      </c>
      <c r="D111" t="inlineStr">
        <is>
          <t>cslia@tracon.rekayasa.co.id</t>
        </is>
      </c>
      <c r="E111" t="inlineStr">
        <is>
          <t>https://lpjk.pu.go.id/search-badan-usaha-detail/UklzUGJSanVIdjRJa0lVU2ZnWjRDUT09</t>
        </is>
      </c>
      <c r="F111" t="n">
        <v>2</v>
      </c>
      <c r="G111" t="inlineStr">
        <is>
          <t>BS005, BS013</t>
        </is>
      </c>
      <c r="H111" t="inlineStr">
        <is>
          <t>27 Agustus 2001</t>
        </is>
      </c>
      <c r="I111" s="2" t="n">
        <v>46354</v>
      </c>
      <c r="J111" t="inlineStr">
        <is>
          <t>Disetujui, Pembekuan</t>
        </is>
      </c>
      <c r="K111" t="n">
        <v>87</v>
      </c>
      <c r="L111" t="inlineStr">
        <is>
          <t>28 November 2026</t>
        </is>
      </c>
      <c r="M111" t="inlineStr">
        <is>
          <t>Konstruksi Bangunan Sipil Minyak dan Gas Bumi, Konstruksi Bangunan Sipil Pengolahan Air Bersih</t>
        </is>
      </c>
      <c r="N111" t="inlineStr">
        <is>
          <t>B, M</t>
        </is>
      </c>
      <c r="O111" t="inlineStr">
        <is>
          <t>20231128, 20231201</t>
        </is>
      </c>
      <c r="P111" t="inlineStr">
        <is>
          <t>DKI Jakarta</t>
        </is>
      </c>
      <c r="Q111" t="inlineStr"/>
    </row>
    <row r="112">
      <c r="A112" t="inlineStr">
        <is>
          <t>TRIKARYA VISI BERSAMA</t>
        </is>
      </c>
      <c r="B112" t="inlineStr">
        <is>
          <t>Kota Semarang</t>
        </is>
      </c>
      <c r="C112" t="inlineStr">
        <is>
          <t>081390039785</t>
        </is>
      </c>
      <c r="D112" t="inlineStr">
        <is>
          <t>cvtrikaryavisibersama@gmail.com</t>
        </is>
      </c>
      <c r="E112" t="inlineStr">
        <is>
          <t>https://lpjk.pu.go.id/search-badan-usaha-detail/WlJsdW81YUN2VlE4cjZVaSszNi92dz09</t>
        </is>
      </c>
      <c r="F112" t="n">
        <v>1</v>
      </c>
      <c r="G112" t="inlineStr">
        <is>
          <t>BG009</t>
        </is>
      </c>
      <c r="H112" t="inlineStr">
        <is>
          <t>21 Desember 2022</t>
        </is>
      </c>
      <c r="I112" s="2" t="n">
        <v>46354</v>
      </c>
      <c r="J112" t="inlineStr">
        <is>
          <t>Disetujui</t>
        </is>
      </c>
      <c r="K112" t="n">
        <v>87</v>
      </c>
      <c r="L112" t="inlineStr">
        <is>
          <t>28 November 2026</t>
        </is>
      </c>
      <c r="M112" t="inlineStr">
        <is>
          <t>Konstruksi Gedung Lainnya</t>
        </is>
      </c>
      <c r="N112" t="inlineStr">
        <is>
          <t>K</t>
        </is>
      </c>
      <c r="O112" t="inlineStr">
        <is>
          <t>20231125</t>
        </is>
      </c>
      <c r="P112" t="inlineStr">
        <is>
          <t>Jawa Tengah</t>
        </is>
      </c>
      <c r="Q112" t="inlineStr"/>
    </row>
    <row r="113">
      <c r="A113" t="inlineStr">
        <is>
          <t>TUNAS KREATIF SEJAHTERA</t>
        </is>
      </c>
      <c r="B113" t="inlineStr">
        <is>
          <t>Kab. Majalengka</t>
        </is>
      </c>
      <c r="C113" t="inlineStr">
        <is>
          <t>081221038380</t>
        </is>
      </c>
      <c r="D113" t="inlineStr">
        <is>
          <t>cvtunaskreatifsejahteraizin@gmail.com</t>
        </is>
      </c>
      <c r="E113" t="inlineStr">
        <is>
          <t>https://lpjk.pu.go.id/search-badan-usaha-detail/aDJYbTJUeU02a0szaWhmbE5NZVZSQT09</t>
        </is>
      </c>
      <c r="F113" t="n">
        <v>2</v>
      </c>
      <c r="G113" t="inlineStr">
        <is>
          <t>BG006, BS004</t>
        </is>
      </c>
      <c r="H113" t="inlineStr">
        <is>
          <t>26 Juli 2010</t>
        </is>
      </c>
      <c r="I113" s="2" t="n">
        <v>46354</v>
      </c>
      <c r="J113" t="inlineStr">
        <is>
          <t>Disetujui</t>
        </is>
      </c>
      <c r="K113" t="n">
        <v>87</v>
      </c>
      <c r="L113" t="inlineStr">
        <is>
          <t>28 November 2026</t>
        </is>
      </c>
      <c r="M113" t="inlineStr">
        <is>
          <t>Konstruksi Gedung Pendidikan, Konstruksi Jaringan Irigasi dan Drainase</t>
        </is>
      </c>
      <c r="N113" t="inlineStr">
        <is>
          <t>K</t>
        </is>
      </c>
      <c r="O113" t="inlineStr">
        <is>
          <t>20220923, 20231109</t>
        </is>
      </c>
      <c r="P113" t="inlineStr">
        <is>
          <t>Jawa Barat</t>
        </is>
      </c>
      <c r="Q113" t="inlineStr"/>
    </row>
    <row r="114">
      <c r="A114" t="inlineStr">
        <is>
          <t>WIDYA PARMA WICAKSANA</t>
        </is>
      </c>
      <c r="B114" t="inlineStr">
        <is>
          <t>Kab. Klaten</t>
        </is>
      </c>
      <c r="C114" t="inlineStr">
        <is>
          <t>0857421270000</t>
        </is>
      </c>
      <c r="D114" t="inlineStr">
        <is>
          <t>widyaparmawicaksana8@gmail.com</t>
        </is>
      </c>
      <c r="E114" t="inlineStr">
        <is>
          <t>https://lpjk.pu.go.id/search-badan-usaha-detail/VC9Rc01xTGkydisxdU4zU2ZidUQwdz09</t>
        </is>
      </c>
      <c r="F114" t="n">
        <v>3</v>
      </c>
      <c r="G114" t="inlineStr">
        <is>
          <t>BG002, BG005, BG009</t>
        </is>
      </c>
      <c r="H114" t="inlineStr">
        <is>
          <t>10 November 2023</t>
        </is>
      </c>
      <c r="I114" s="2" t="n">
        <v>46354</v>
      </c>
      <c r="J114" t="inlineStr">
        <is>
          <t>Disetujui</t>
        </is>
      </c>
      <c r="K114" t="n">
        <v>87</v>
      </c>
      <c r="L114" t="inlineStr">
        <is>
          <t>28 November 2026</t>
        </is>
      </c>
      <c r="M114" t="inlineStr">
        <is>
          <t>Konstruksi Gedung Kesehatan, Konstruksi Gedung Lainnya, Konstruksi Gedung Perkantoran</t>
        </is>
      </c>
      <c r="N114" t="inlineStr">
        <is>
          <t>K</t>
        </is>
      </c>
      <c r="O114" t="inlineStr">
        <is>
          <t>20231116, 20231120</t>
        </is>
      </c>
      <c r="P114" t="inlineStr">
        <is>
          <t>Jawa Tengah</t>
        </is>
      </c>
      <c r="Q1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22"/>
  <sheetViews>
    <sheetView workbookViewId="0">
      <selection activeCell="A1" sqref="A1"/>
    </sheetView>
  </sheetViews>
  <sheetFormatPr baseColWidth="8" defaultRowHeight="15"/>
  <cols>
    <col width="32" customWidth="1" min="1" max="1"/>
    <col width="30" customWidth="1" min="2" max="2"/>
    <col width="18" customWidth="1" min="3" max="3"/>
    <col width="37"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ARMACO</t>
        </is>
      </c>
      <c r="B2" t="inlineStr">
        <is>
          <t>Kota Adm. Jakarta Timur</t>
        </is>
      </c>
      <c r="C2" t="inlineStr">
        <is>
          <t>02185915513</t>
        </is>
      </c>
      <c r="D2" t="inlineStr">
        <is>
          <t>armaco1977@gmail.com</t>
        </is>
      </c>
      <c r="E2" t="inlineStr">
        <is>
          <t>https://lpjk.pu.go.id/search-badan-usaha-detail/Z2l5cTdncnFFSThuZ1Jjb3RqQmhsUT09</t>
        </is>
      </c>
      <c r="F2" t="n">
        <v>2</v>
      </c>
      <c r="G2" t="inlineStr">
        <is>
          <t>BG002, BG009</t>
        </is>
      </c>
      <c r="H2" t="inlineStr">
        <is>
          <t>10 Juli 2017</t>
        </is>
      </c>
      <c r="I2" s="2" t="n">
        <v>46327</v>
      </c>
      <c r="J2" t="inlineStr">
        <is>
          <t>Disetujui</t>
        </is>
      </c>
      <c r="K2" t="n">
        <v>60</v>
      </c>
      <c r="L2" t="inlineStr">
        <is>
          <t>1 November 2026</t>
        </is>
      </c>
      <c r="M2" t="inlineStr">
        <is>
          <t>Konstruksi Gedung Lainnya, Konstruksi Gedung Perkantoran</t>
        </is>
      </c>
      <c r="N2" t="inlineStr">
        <is>
          <t>K</t>
        </is>
      </c>
      <c r="O2" t="inlineStr">
        <is>
          <t>20231027, 20231031</t>
        </is>
      </c>
      <c r="P2" t="inlineStr">
        <is>
          <t>DKI Jakarta</t>
        </is>
      </c>
      <c r="Q2" t="inlineStr"/>
    </row>
    <row r="3">
      <c r="A3" t="inlineStr">
        <is>
          <t>DIMAS AQNI PUTRA</t>
        </is>
      </c>
      <c r="B3" t="inlineStr">
        <is>
          <t>Kota Bekasi</t>
        </is>
      </c>
      <c r="C3" t="inlineStr">
        <is>
          <t>081283780827</t>
        </is>
      </c>
      <c r="D3" t="inlineStr">
        <is>
          <t>dimasaqniputra@gmail.com</t>
        </is>
      </c>
      <c r="E3" t="inlineStr">
        <is>
          <t>https://lpjk.pu.go.id/search-badan-usaha-detail/aWMwQjdOOFZaZ3FpRWEyVlRLVU1KUT09</t>
        </is>
      </c>
      <c r="F3" t="n">
        <v>2</v>
      </c>
      <c r="G3" t="inlineStr">
        <is>
          <t>BG009, BS002</t>
        </is>
      </c>
      <c r="H3" t="inlineStr">
        <is>
          <t>29 Oktober 2015</t>
        </is>
      </c>
      <c r="I3" s="2" t="n">
        <v>46327</v>
      </c>
      <c r="J3" t="inlineStr">
        <is>
          <t>Disetujui, Pencabutan</t>
        </is>
      </c>
      <c r="K3" t="n">
        <v>60</v>
      </c>
      <c r="L3" t="inlineStr">
        <is>
          <t>1 November 2026</t>
        </is>
      </c>
      <c r="M3" t="inlineStr">
        <is>
          <t>Bangunan Sipil Jembatan, Jalan Layang, Fly Over, dan Underpass, Konstruksi Gedung Lainnya</t>
        </is>
      </c>
      <c r="N3" t="inlineStr">
        <is>
          <t>K</t>
        </is>
      </c>
      <c r="O3" t="inlineStr">
        <is>
          <t>20231019</t>
        </is>
      </c>
      <c r="P3" t="inlineStr">
        <is>
          <t>Jawa Barat</t>
        </is>
      </c>
      <c r="Q3" s="3">
        <f>HYPERLINK("https://wa.me/6281283780827?text=*[PENGINGAT MASA BERLAKU SBU DIMAS AQNI PUTRA]*%0A%0AYth. Pimpinan DIMAS AQNI PUTRA,%0AMohon izin menginformasikan status SBU Anda di sistem LPJK:%0A%0A📄 SBU: BG009, BS002%0A📅 Expired: 1 November 2026 (60 Hari Lagi)%0A%0AKami tim PT. ESDEA Assistance Management siap men-support proses perpanjangan segera agar administrasi proyek tidak terhambat%0A%0AApakah boleh saya bantu siapkan estimasi biaya dan waktu pengerjaannya?.", "Hubungi")</f>
        <v/>
      </c>
    </row>
    <row r="4">
      <c r="A4" t="inlineStr">
        <is>
          <t>DZAKY KUSUMA</t>
        </is>
      </c>
      <c r="B4" t="inlineStr">
        <is>
          <t>Kab. Bekasi</t>
        </is>
      </c>
      <c r="C4" t="inlineStr">
        <is>
          <t>081399055222</t>
        </is>
      </c>
      <c r="D4" t="inlineStr">
        <is>
          <t>dzakykusuma2019@gmail.com</t>
        </is>
      </c>
      <c r="E4" t="inlineStr">
        <is>
          <t>https://lpjk.pu.go.id/search-badan-usaha-detail/QWloVEYwL29nZmhGV2NQaEt6RGJBUT09</t>
        </is>
      </c>
      <c r="F4" t="n">
        <v>2</v>
      </c>
      <c r="G4" t="inlineStr">
        <is>
          <t>BG009, BS001</t>
        </is>
      </c>
      <c r="H4" t="inlineStr">
        <is>
          <t>8 Januari 2016</t>
        </is>
      </c>
      <c r="I4" s="2" t="n">
        <v>46327</v>
      </c>
      <c r="J4" t="inlineStr">
        <is>
          <t>Disetujui</t>
        </is>
      </c>
      <c r="K4" t="n">
        <v>60</v>
      </c>
      <c r="L4" t="inlineStr">
        <is>
          <t>1 November 2026</t>
        </is>
      </c>
      <c r="M4" t="inlineStr">
        <is>
          <t>Konstruksi Bangunan Sipil Jalan, Konstruksi Gedung Lainnya</t>
        </is>
      </c>
      <c r="N4" t="inlineStr">
        <is>
          <t>K</t>
        </is>
      </c>
      <c r="O4" t="inlineStr">
        <is>
          <t>20231020, 20231021</t>
        </is>
      </c>
      <c r="P4" t="inlineStr">
        <is>
          <t>Jawa Barat</t>
        </is>
      </c>
      <c r="Q4" s="3">
        <f>HYPERLINK("https://wa.me/6281399055222?text=*[PENGINGAT MASA BERLAKU SBU DZAKY KUSUMA]*%0A%0AYth. Pimpinan DZAKY KUSUMA,%0AMohon izin menginformasikan status SBU Anda di sistem LPJK:%0A%0A📄 SBU: BG009, BS001%0A📅 Expired: 1 November 2026 (60 Hari Lagi)%0A%0AKami tim PT. ESDEA Assistance Management siap men-support proses perpanjangan segera agar administrasi proyek tidak terhambat%0A%0AApakah boleh saya bantu siapkan estimasi biaya dan waktu pengerjaannya?.", "Hubungi")</f>
        <v/>
      </c>
    </row>
    <row r="5">
      <c r="A5" t="inlineStr">
        <is>
          <t>HOBASHITA MEGA IMPOLA</t>
        </is>
      </c>
      <c r="B5" t="inlineStr">
        <is>
          <t>Kota Bekasi</t>
        </is>
      </c>
      <c r="C5" t="inlineStr">
        <is>
          <t>02138711021</t>
        </is>
      </c>
      <c r="D5" t="inlineStr">
        <is>
          <t>pt.megaimpola@yahoo.com</t>
        </is>
      </c>
      <c r="E5" t="inlineStr">
        <is>
          <t>https://lpjk.pu.go.id/search-badan-usaha-detail/MG5PWFVtZGFVSWk0bElQYmZTYkFJUT09</t>
        </is>
      </c>
      <c r="F5" t="n">
        <v>1</v>
      </c>
      <c r="G5" t="inlineStr">
        <is>
          <t>IN004</t>
        </is>
      </c>
      <c r="H5" t="inlineStr">
        <is>
          <t>15 April 2014</t>
        </is>
      </c>
      <c r="I5" s="2" t="n">
        <v>46327</v>
      </c>
      <c r="J5" t="inlineStr">
        <is>
          <t>Pencabutan</t>
        </is>
      </c>
      <c r="K5" t="n">
        <v>60</v>
      </c>
      <c r="L5" t="inlineStr">
        <is>
          <t>1 November 2026</t>
        </is>
      </c>
      <c r="M5" t="inlineStr">
        <is>
          <t>Instalasi Minyak dan Gas</t>
        </is>
      </c>
      <c r="N5" t="inlineStr">
        <is>
          <t>Spesialis</t>
        </is>
      </c>
      <c r="O5" t="inlineStr">
        <is>
          <t>20231101</t>
        </is>
      </c>
      <c r="P5" t="inlineStr">
        <is>
          <t>Jawa Barat</t>
        </is>
      </c>
      <c r="Q5" t="inlineStr"/>
    </row>
    <row r="6">
      <c r="A6" t="inlineStr">
        <is>
          <t>MADYATHIKA</t>
        </is>
      </c>
      <c r="B6" t="inlineStr">
        <is>
          <t>Kab. Bogor</t>
        </is>
      </c>
      <c r="C6" t="inlineStr">
        <is>
          <t>085371328454</t>
        </is>
      </c>
      <c r="D6" t="inlineStr">
        <is>
          <t>madyathika@yahoo.com</t>
        </is>
      </c>
      <c r="E6" t="inlineStr">
        <is>
          <t>https://lpjk.pu.go.id/search-badan-usaha-detail/OUl6c29mRzYxN2N2NndnSUhsV1B1aTZoSjQ2ZXdNVnU0YklQTnAxcDhzMD0</t>
        </is>
      </c>
      <c r="F6" t="n">
        <v>3</v>
      </c>
      <c r="G6" t="inlineStr">
        <is>
          <t>BG002, BG009, BS001</t>
        </is>
      </c>
      <c r="H6" t="inlineStr">
        <is>
          <t>9 Januari 2026</t>
        </is>
      </c>
      <c r="I6" s="2" t="n">
        <v>46327</v>
      </c>
      <c r="J6" t="inlineStr">
        <is>
          <t>Disetujui</t>
        </is>
      </c>
      <c r="K6" t="n">
        <v>60</v>
      </c>
      <c r="L6" t="inlineStr">
        <is>
          <t>1 November 2026</t>
        </is>
      </c>
      <c r="M6" t="inlineStr">
        <is>
          <t>Konstruksi Bangunan Sipil Jalan, Konstruksi Gedung Lainnya, Konstruksi Gedung Perkantoran</t>
        </is>
      </c>
      <c r="N6" t="inlineStr">
        <is>
          <t>M</t>
        </is>
      </c>
      <c r="O6" t="inlineStr">
        <is>
          <t>20231029, 20231030, 20231101</t>
        </is>
      </c>
      <c r="P6" t="inlineStr">
        <is>
          <t>Jawa Barat</t>
        </is>
      </c>
      <c r="Q6" s="3">
        <f>HYPERLINK("https://wa.me/6285371328454?text=*[PENGINGAT MASA BERLAKU SBU MADYATHIKA]*%0A%0AYth. Pimpinan MADYATHIKA,%0AMohon izin menginformasikan status SBU Anda di sistem LPJK:%0A%0A📄 SBU: BG002, BG009, BS001%0A📅 Expired: 1 November 2026 (60 Hari Lagi)%0A%0AKami tim PT. ESDEA Assistance Management siap men-support proses perpanjangan segera agar administrasi proyek tidak terhambat%0A%0AApakah boleh saya bantu siapkan estimasi biaya dan waktu pengerjaannya?.", "Hubungi")</f>
        <v/>
      </c>
    </row>
    <row r="7">
      <c r="A7" t="inlineStr">
        <is>
          <t>MANUNGGAL JASA KONTRUKSI</t>
        </is>
      </c>
      <c r="B7" t="inlineStr">
        <is>
          <t>Kota Bekasi</t>
        </is>
      </c>
      <c r="C7" t="inlineStr">
        <is>
          <t>081287259186</t>
        </is>
      </c>
      <c r="D7" t="inlineStr">
        <is>
          <t>manunggaljasa@yahoo.com</t>
        </is>
      </c>
      <c r="E7" t="inlineStr">
        <is>
          <t>https://lpjk.pu.go.id/search-badan-usaha-detail/SFFWdFlSYnpaalVSbnhEREduSDhHZz09</t>
        </is>
      </c>
      <c r="F7" t="n">
        <v>2</v>
      </c>
      <c r="G7" t="inlineStr">
        <is>
          <t>BS001</t>
        </is>
      </c>
      <c r="H7" t="inlineStr">
        <is>
          <t>8 Januari 2007</t>
        </is>
      </c>
      <c r="I7" s="2" t="n">
        <v>46327</v>
      </c>
      <c r="J7" t="inlineStr">
        <is>
          <t>Disetujui</t>
        </is>
      </c>
      <c r="K7" t="n">
        <v>60</v>
      </c>
      <c r="L7" t="inlineStr">
        <is>
          <t>1 November 2026</t>
        </is>
      </c>
      <c r="M7" t="inlineStr">
        <is>
          <t>Konstruksi Bangunan Sipil Jalan</t>
        </is>
      </c>
      <c r="N7" t="inlineStr">
        <is>
          <t>M</t>
        </is>
      </c>
      <c r="O7" t="inlineStr">
        <is>
          <t>20231010</t>
        </is>
      </c>
      <c r="P7" t="inlineStr">
        <is>
          <t>Jawa Barat</t>
        </is>
      </c>
      <c r="Q7" s="3">
        <f>HYPERLINK("https://wa.me/6281287259186?text=*[PENGINGAT MASA BERLAKU SBU MANUNGGAL JASA KONTRUKSI]*%0A%0AYth. Pimpinan MANUNGGAL JASA KONTRUKSI,%0AMohon izin menginformasikan status SBU Anda di sistem LPJK:%0A%0A📄 SBU: BS001%0A📅 Expired: 1 November 2026 (60 Hari Lagi)%0A%0AKami tim PT. ESDEA Assistance Management siap men-support proses perpanjangan segera agar administrasi proyek tidak terhambat%0A%0AApakah boleh saya bantu siapkan estimasi biaya dan waktu pengerjaannya?.", "Hubungi")</f>
        <v/>
      </c>
    </row>
    <row r="8">
      <c r="A8" t="inlineStr">
        <is>
          <t>MUKTI WIJAYA FIBRETECH</t>
        </is>
      </c>
      <c r="B8" t="inlineStr">
        <is>
          <t>Kota Bekasi</t>
        </is>
      </c>
      <c r="C8" t="inlineStr">
        <is>
          <t>081381252715</t>
        </is>
      </c>
      <c r="D8" t="inlineStr">
        <is>
          <t>muktiwijayafibretech@gmail.com</t>
        </is>
      </c>
      <c r="E8" t="inlineStr">
        <is>
          <t>https://lpjk.pu.go.id/search-badan-usaha-detail/S1ZJNmVpZHQ0K1FrQzVXWHNNaDdpQT09</t>
        </is>
      </c>
      <c r="F8" t="n">
        <v>2</v>
      </c>
      <c r="G8" t="inlineStr">
        <is>
          <t>BG009, BS005</t>
        </is>
      </c>
      <c r="H8" t="inlineStr">
        <is>
          <t>26 Januari 2019</t>
        </is>
      </c>
      <c r="I8" s="2" t="n">
        <v>46327</v>
      </c>
      <c r="J8" t="inlineStr">
        <is>
          <t>Disetujui</t>
        </is>
      </c>
      <c r="K8" t="n">
        <v>60</v>
      </c>
      <c r="L8" t="inlineStr">
        <is>
          <t>1 November 2026</t>
        </is>
      </c>
      <c r="M8" t="inlineStr">
        <is>
          <t>Konstruksi Bangunan Sipil Pengolahan Air Bersih, Konstruksi Gedung Lainnya</t>
        </is>
      </c>
      <c r="N8" t="inlineStr">
        <is>
          <t>K</t>
        </is>
      </c>
      <c r="O8" t="inlineStr">
        <is>
          <t>20231102</t>
        </is>
      </c>
      <c r="P8" t="inlineStr">
        <is>
          <t>Jawa Barat</t>
        </is>
      </c>
      <c r="Q8" s="3">
        <f>HYPERLINK("https://wa.me/6281381252715?text=*[PENGINGAT MASA BERLAKU SBU MUKTI WIJAYA FIBRETECH]*%0A%0AYth. Pimpinan MUKTI WIJAYA FIBRETECH,%0AMohon izin menginformasikan status SBU Anda di sistem LPJK:%0A%0A📄 SBU: BG009, BS005%0A📅 Expired: 1 November 2026 (60 Hari Lagi)%0A%0AKami tim PT. ESDEA Assistance Management siap men-support proses perpanjangan segera agar administrasi proyek tidak terhambat%0A%0AApakah boleh saya bantu siapkan estimasi biaya dan waktu pengerjaannya?.", "Hubungi")</f>
        <v/>
      </c>
    </row>
    <row r="9">
      <c r="A9" t="inlineStr">
        <is>
          <t>PESONA GLOBAL TEKNOLOGI</t>
        </is>
      </c>
      <c r="B9" t="inlineStr">
        <is>
          <t>Kota Bekasi</t>
        </is>
      </c>
      <c r="C9" t="inlineStr">
        <is>
          <t>082123244255</t>
        </is>
      </c>
      <c r="D9" t="inlineStr">
        <is>
          <t>pesonaglobalteknologi@gmail.com</t>
        </is>
      </c>
      <c r="E9" t="inlineStr">
        <is>
          <t>https://lpjk.pu.go.id/search-badan-usaha-detail/ZGRyZFZhbXZoUDh6SGV5OXl5UnZGZz09</t>
        </is>
      </c>
      <c r="F9" t="n">
        <v>1</v>
      </c>
      <c r="G9" t="inlineStr">
        <is>
          <t>BS008</t>
        </is>
      </c>
      <c r="H9" t="inlineStr">
        <is>
          <t>15 Juli 2014</t>
        </is>
      </c>
      <c r="I9" s="2" t="n">
        <v>46327</v>
      </c>
      <c r="J9" t="inlineStr">
        <is>
          <t>Disetujui</t>
        </is>
      </c>
      <c r="K9" t="n">
        <v>60</v>
      </c>
      <c r="L9" t="inlineStr">
        <is>
          <t>1 November 2026</t>
        </is>
      </c>
      <c r="M9" t="inlineStr">
        <is>
          <t>Konstruksi Bangunan Sipil Telekomunikasi untuk Prasarana Transportasi</t>
        </is>
      </c>
      <c r="N9" t="inlineStr">
        <is>
          <t>M</t>
        </is>
      </c>
      <c r="O9" t="inlineStr">
        <is>
          <t>20231026</t>
        </is>
      </c>
      <c r="P9" t="inlineStr">
        <is>
          <t>Jawa Barat</t>
        </is>
      </c>
      <c r="Q9" s="3">
        <f>HYPERLINK("https://wa.me/6282123244255?text=*[PENGINGAT MASA BERLAKU SBU PESONA GLOBAL TEKNOLOGI]*%0A%0AYth. Pimpinan PESONA GLOBAL TEKNOLOGI,%0AMohon izin menginformasikan status SBU Anda di sistem LPJK:%0A%0A📄 SBU: BS008%0A📅 Expired: 1 November 2026 (60 Hari Lagi)%0A%0AKami tim PT. ESDEA Assistance Management siap men-support proses perpanjangan segera agar administrasi proyek tidak terhambat%0A%0AApakah boleh saya bantu siapkan estimasi biaya dan waktu pengerjaannya?.", "Hubungi")</f>
        <v/>
      </c>
    </row>
    <row r="10">
      <c r="A10" t="inlineStr">
        <is>
          <t>REKA YASA DINAMIKA</t>
        </is>
      </c>
      <c r="B10" t="inlineStr">
        <is>
          <t>Kota Bekasi</t>
        </is>
      </c>
      <c r="C10" t="inlineStr">
        <is>
          <t>0218457836</t>
        </is>
      </c>
      <c r="D10" t="inlineStr">
        <is>
          <t>pt_rekayasa_dinamika@yahoo.com</t>
        </is>
      </c>
      <c r="E10" t="inlineStr">
        <is>
          <t>https://lpjk.pu.go.id/search-badan-usaha-detail/WWNCZkNVQkd5UEdGa0h3dmZQMXg2dz09</t>
        </is>
      </c>
      <c r="F10" t="n">
        <v>2</v>
      </c>
      <c r="G10" t="inlineStr">
        <is>
          <t>AR001, AR002</t>
        </is>
      </c>
      <c r="H10" t="inlineStr">
        <is>
          <t>2 Juni 2021</t>
        </is>
      </c>
      <c r="I10" s="2" t="n">
        <v>46327</v>
      </c>
      <c r="J10" t="inlineStr">
        <is>
          <t>Disetujui</t>
        </is>
      </c>
      <c r="K10" t="n">
        <v>60</v>
      </c>
      <c r="L10" t="inlineStr">
        <is>
          <t>1 November 2026</t>
        </is>
      </c>
      <c r="M10" t="inlineStr">
        <is>
          <t>Jasa Arsitektural Bangunan Gedung Hunian dan Non Hunian, Jasa Arsitektural Lainnya</t>
        </is>
      </c>
      <c r="N10" t="inlineStr">
        <is>
          <t>K</t>
        </is>
      </c>
      <c r="O10" t="inlineStr">
        <is>
          <t>20231006, 20231028</t>
        </is>
      </c>
      <c r="P10" t="inlineStr">
        <is>
          <t>Jawa Barat</t>
        </is>
      </c>
      <c r="Q10" t="inlineStr"/>
    </row>
    <row r="11">
      <c r="A11" t="inlineStr">
        <is>
          <t>ABHISAR NAWASENA</t>
        </is>
      </c>
      <c r="B11" t="inlineStr">
        <is>
          <t>Kab. Kediri</t>
        </is>
      </c>
      <c r="C11" t="inlineStr">
        <is>
          <t>081325887877</t>
        </is>
      </c>
      <c r="D11" t="inlineStr">
        <is>
          <t>cv.abhisarnawasena@gmail.com</t>
        </is>
      </c>
      <c r="E11" t="inlineStr">
        <is>
          <t>https://lpjk.pu.go.id/search-badan-usaha-detail/ZUFZalV6MHZlaGt5OUZlcUN1aDlwZz09</t>
        </is>
      </c>
      <c r="F11" t="n">
        <v>1</v>
      </c>
      <c r="G11" t="inlineStr">
        <is>
          <t>RK001</t>
        </is>
      </c>
      <c r="H11" t="inlineStr">
        <is>
          <t>23 Mei 2023</t>
        </is>
      </c>
      <c r="I11" s="2" t="n">
        <v>46327</v>
      </c>
      <c r="J11" t="inlineStr">
        <is>
          <t>Disetujui</t>
        </is>
      </c>
      <c r="K11" t="n">
        <v>60</v>
      </c>
      <c r="L11" t="inlineStr">
        <is>
          <t>1 November 2026</t>
        </is>
      </c>
      <c r="M11" t="inlineStr">
        <is>
          <t>Jasa Rekayasa Konstruksi Bangunan Gedung Hunian dan Non Hunian</t>
        </is>
      </c>
      <c r="N11" t="inlineStr">
        <is>
          <t>K</t>
        </is>
      </c>
      <c r="O11" t="inlineStr">
        <is>
          <t>20231030</t>
        </is>
      </c>
      <c r="P11" t="inlineStr">
        <is>
          <t>Jawa Timur</t>
        </is>
      </c>
      <c r="Q11" t="inlineStr"/>
    </row>
    <row r="12">
      <c r="A12" t="inlineStr">
        <is>
          <t>ADHIPATI</t>
        </is>
      </c>
      <c r="B12" t="inlineStr">
        <is>
          <t>Kab. Kuningan</t>
        </is>
      </c>
      <c r="C12" t="inlineStr">
        <is>
          <t>08112341238</t>
        </is>
      </c>
      <c r="D12" t="inlineStr">
        <is>
          <t>adhipaticv@gmail.com95</t>
        </is>
      </c>
      <c r="E12" t="inlineStr">
        <is>
          <t>https://lpjk.pu.go.id/search-badan-usaha-detail/Uzd4YW5mbWtrU005VTFTVi9Nd2pFZz09</t>
        </is>
      </c>
      <c r="F12" t="n">
        <v>2</v>
      </c>
      <c r="G12" t="inlineStr">
        <is>
          <t>BS005</t>
        </is>
      </c>
      <c r="H12" t="inlineStr">
        <is>
          <t>10 Agustus 2020</t>
        </is>
      </c>
      <c r="I12" s="2" t="n">
        <v>46327</v>
      </c>
      <c r="J12" t="inlineStr">
        <is>
          <t>Disetujui</t>
        </is>
      </c>
      <c r="K12" t="n">
        <v>60</v>
      </c>
      <c r="L12" t="inlineStr">
        <is>
          <t>1 November 2026</t>
        </is>
      </c>
      <c r="M12" t="inlineStr">
        <is>
          <t>Konstruksi Bangunan Sipil Pengolahan Air Bersih</t>
        </is>
      </c>
      <c r="N12" t="inlineStr">
        <is>
          <t>K</t>
        </is>
      </c>
      <c r="O12" t="inlineStr">
        <is>
          <t>20231101</t>
        </is>
      </c>
      <c r="P12" t="inlineStr">
        <is>
          <t>Jawa Barat</t>
        </is>
      </c>
      <c r="Q12" t="inlineStr"/>
    </row>
    <row r="13">
      <c r="A13" t="inlineStr">
        <is>
          <t>ADIDAYA GLOBAL ABADI</t>
        </is>
      </c>
      <c r="B13" t="inlineStr">
        <is>
          <t>Kab. Majalengka</t>
        </is>
      </c>
      <c r="C13" t="inlineStr">
        <is>
          <t>085523553526</t>
        </is>
      </c>
      <c r="D13" t="inlineStr">
        <is>
          <t>adidayaglobalabadi@gmail.com</t>
        </is>
      </c>
      <c r="E13" t="inlineStr">
        <is>
          <t>https://lpjk.pu.go.id/search-badan-usaha-detail/d0RWOGVNVDFGY2lERzZ4VnhKcVpDQT09</t>
        </is>
      </c>
      <c r="F13" t="n">
        <v>1</v>
      </c>
      <c r="G13" t="inlineStr">
        <is>
          <t>BG009</t>
        </is>
      </c>
      <c r="H13" t="inlineStr">
        <is>
          <t>3 Oktober 2019</t>
        </is>
      </c>
      <c r="I13" s="2" t="n">
        <v>46327</v>
      </c>
      <c r="J13" t="inlineStr">
        <is>
          <t>Disetujui</t>
        </is>
      </c>
      <c r="K13" t="n">
        <v>60</v>
      </c>
      <c r="L13" t="inlineStr">
        <is>
          <t>1 November 2026</t>
        </is>
      </c>
      <c r="M13" t="inlineStr">
        <is>
          <t>Konstruksi Gedung Lainnya</t>
        </is>
      </c>
      <c r="N13" t="inlineStr">
        <is>
          <t>K</t>
        </is>
      </c>
      <c r="O13" t="inlineStr">
        <is>
          <t>20231101</t>
        </is>
      </c>
      <c r="P13" t="inlineStr">
        <is>
          <t>Jawa Barat</t>
        </is>
      </c>
      <c r="Q13" t="inlineStr"/>
    </row>
    <row r="14">
      <c r="A14" t="inlineStr">
        <is>
          <t>AGAM ANAK NEGERI</t>
        </is>
      </c>
      <c r="B14" t="inlineStr">
        <is>
          <t>Kab. Trenggalek</t>
        </is>
      </c>
      <c r="C14" t="inlineStr">
        <is>
          <t>082137624395</t>
        </is>
      </c>
      <c r="D14" t="inlineStr">
        <is>
          <t>cvagamanaknegeri@gmail.com</t>
        </is>
      </c>
      <c r="E14" t="inlineStr">
        <is>
          <t>https://lpjk.pu.go.id/search-badan-usaha-detail/MmxXTDVsMy9ab3dkVnhBRXpnNTlrQT09</t>
        </is>
      </c>
      <c r="F14" t="n">
        <v>3</v>
      </c>
      <c r="G14" t="inlineStr">
        <is>
          <t>BG006, BG009, BS001</t>
        </is>
      </c>
      <c r="H14" t="inlineStr">
        <is>
          <t>13 Oktober 2023</t>
        </is>
      </c>
      <c r="I14" s="2" t="n">
        <v>46327</v>
      </c>
      <c r="J14" t="inlineStr">
        <is>
          <t>Disetujui</t>
        </is>
      </c>
      <c r="K14" t="n">
        <v>60</v>
      </c>
      <c r="L14" t="inlineStr">
        <is>
          <t>1 November 2026</t>
        </is>
      </c>
      <c r="M14" t="inlineStr">
        <is>
          <t>Konstruksi Bangunan Sipil Jalan, Konstruksi Gedung Lainnya, Konstruksi Gedung Pendidikan</t>
        </is>
      </c>
      <c r="N14" t="inlineStr">
        <is>
          <t>K</t>
        </is>
      </c>
      <c r="O14" t="inlineStr">
        <is>
          <t>20231102</t>
        </is>
      </c>
      <c r="P14" t="inlineStr">
        <is>
          <t>Jawa Timur</t>
        </is>
      </c>
      <c r="Q14" t="inlineStr"/>
    </row>
    <row r="15">
      <c r="A15" t="inlineStr">
        <is>
          <t>AJI PILAR PERKASA</t>
        </is>
      </c>
      <c r="B15" t="inlineStr">
        <is>
          <t>Kota Semarang</t>
        </is>
      </c>
      <c r="C15" t="inlineStr">
        <is>
          <t>085747284799</t>
        </is>
      </c>
      <c r="D15" t="inlineStr">
        <is>
          <t>ajipilar_perkasa@yahoo.com</t>
        </is>
      </c>
      <c r="E15" t="inlineStr">
        <is>
          <t>https://lpjk.pu.go.id/search-badan-usaha-detail/L2xjRXJXUHBHbXBxd2pOc3pBSkNuUT09</t>
        </is>
      </c>
      <c r="F15" t="n">
        <v>2</v>
      </c>
      <c r="G15" t="inlineStr">
        <is>
          <t>BS001, BS004</t>
        </is>
      </c>
      <c r="H15" t="inlineStr">
        <is>
          <t>18 November 2016</t>
        </is>
      </c>
      <c r="I15" s="2" t="n">
        <v>46327</v>
      </c>
      <c r="J15" t="inlineStr">
        <is>
          <t>Disetujui</t>
        </is>
      </c>
      <c r="K15" t="n">
        <v>60</v>
      </c>
      <c r="L15" t="inlineStr">
        <is>
          <t>1 November 2026</t>
        </is>
      </c>
      <c r="M15" t="inlineStr">
        <is>
          <t>Konstruksi Bangunan Sipil Jalan, Konstruksi Jaringan Irigasi dan Drainase</t>
        </is>
      </c>
      <c r="N15" t="inlineStr">
        <is>
          <t>K</t>
        </is>
      </c>
      <c r="O15" t="inlineStr">
        <is>
          <t>20231024, 20231031</t>
        </is>
      </c>
      <c r="P15" t="inlineStr">
        <is>
          <t>Jawa Tengah</t>
        </is>
      </c>
      <c r="Q15" t="inlineStr"/>
    </row>
    <row r="16">
      <c r="A16" t="inlineStr">
        <is>
          <t>AKUSARA KARYA BESTARI BAROKAH</t>
        </is>
      </c>
      <c r="B16" t="inlineStr">
        <is>
          <t>Kab. Kutai Kartanegara</t>
        </is>
      </c>
      <c r="C16" t="inlineStr">
        <is>
          <t>083127361170</t>
        </is>
      </c>
      <c r="D16" t="inlineStr">
        <is>
          <t>akusarabestari@gmail.com</t>
        </is>
      </c>
      <c r="E16" t="inlineStr">
        <is>
          <t>https://lpjk.pu.go.id/search-badan-usaha-detail/czRtQUhaM1UvdTBveGJUK1lYUHQ0Zz09</t>
        </is>
      </c>
      <c r="F16" t="n">
        <v>1</v>
      </c>
      <c r="G16" t="inlineStr">
        <is>
          <t>BS001</t>
        </is>
      </c>
      <c r="H16" t="inlineStr">
        <is>
          <t>26 September 2022</t>
        </is>
      </c>
      <c r="I16" s="2" t="n">
        <v>46327</v>
      </c>
      <c r="J16" t="inlineStr">
        <is>
          <t>Pencabutan</t>
        </is>
      </c>
      <c r="K16" t="n">
        <v>60</v>
      </c>
      <c r="L16" t="inlineStr">
        <is>
          <t>1 November 2026</t>
        </is>
      </c>
      <c r="M16" t="inlineStr">
        <is>
          <t>Konstruksi Bangunan Sipil Jalan</t>
        </is>
      </c>
      <c r="N16" t="inlineStr">
        <is>
          <t>K</t>
        </is>
      </c>
      <c r="O16" t="inlineStr">
        <is>
          <t>20231026</t>
        </is>
      </c>
      <c r="P16" t="inlineStr">
        <is>
          <t>Kalimantan Timur</t>
        </is>
      </c>
      <c r="Q16" t="inlineStr"/>
    </row>
    <row r="17">
      <c r="A17" t="inlineStr">
        <is>
          <t>ALSHADIK KARYA</t>
        </is>
      </c>
      <c r="B17" t="inlineStr">
        <is>
          <t>Kab. Solok</t>
        </is>
      </c>
      <c r="C17" t="inlineStr">
        <is>
          <t>082343819591</t>
        </is>
      </c>
      <c r="D17" t="inlineStr">
        <is>
          <t>alshadik.karya@gmail.com</t>
        </is>
      </c>
      <c r="E17" t="inlineStr">
        <is>
          <t>https://lpjk.pu.go.id/search-badan-usaha-detail/M3pGL2htTElKOEhTWkhta3Fwa2pXZz09</t>
        </is>
      </c>
      <c r="F17" t="n">
        <v>1</v>
      </c>
      <c r="G17" t="inlineStr">
        <is>
          <t>BG004</t>
        </is>
      </c>
      <c r="H17" t="inlineStr">
        <is>
          <t>4 September 2020</t>
        </is>
      </c>
      <c r="I17" s="2" t="n">
        <v>46327</v>
      </c>
      <c r="J17" t="inlineStr">
        <is>
          <t>Pencabutan</t>
        </is>
      </c>
      <c r="K17" t="n">
        <v>60</v>
      </c>
      <c r="L17" t="inlineStr">
        <is>
          <t>1 November 2026</t>
        </is>
      </c>
      <c r="M17" t="inlineStr">
        <is>
          <t>Konstruksi Gedung Perbelanjaan</t>
        </is>
      </c>
      <c r="N17" t="inlineStr">
        <is>
          <t>K</t>
        </is>
      </c>
      <c r="O17" t="inlineStr">
        <is>
          <t>20231026</t>
        </is>
      </c>
      <c r="P17" t="inlineStr">
        <is>
          <t>Sumatera Barat</t>
        </is>
      </c>
      <c r="Q17" t="inlineStr"/>
    </row>
    <row r="18">
      <c r="A18" t="inlineStr">
        <is>
          <t>AMANDA NUSANTARA</t>
        </is>
      </c>
      <c r="B18" t="inlineStr">
        <is>
          <t>Kota Banjarmasin</t>
        </is>
      </c>
      <c r="C18" t="inlineStr">
        <is>
          <t>082149912511</t>
        </is>
      </c>
      <c r="D18" t="inlineStr">
        <is>
          <t>cv.amandanusantara76@gmail.com</t>
        </is>
      </c>
      <c r="E18" t="inlineStr">
        <is>
          <t>https://lpjk.pu.go.id/search-badan-usaha-detail/SG1ET29jU2xBSTBNY3VIR3dFbFRiUT09</t>
        </is>
      </c>
      <c r="F18" t="n">
        <v>4</v>
      </c>
      <c r="G18" t="inlineStr">
        <is>
          <t>RK001, RK003</t>
        </is>
      </c>
      <c r="H18" t="inlineStr">
        <is>
          <t>23 November 1999</t>
        </is>
      </c>
      <c r="I18" s="2" t="n">
        <v>46327</v>
      </c>
      <c r="J18" t="inlineStr">
        <is>
          <t>Disetujui</t>
        </is>
      </c>
      <c r="K18" t="n">
        <v>60</v>
      </c>
      <c r="L18" t="inlineStr">
        <is>
          <t>1 November 2026</t>
        </is>
      </c>
      <c r="M18" t="inlineStr">
        <is>
          <t>Jasa Rekayasa Konstruksi Bangunan Gedung Hunian dan Non Hunian, Jasa Rekayasa Pekerjaan Teknik Sipil Transportasi</t>
        </is>
      </c>
      <c r="N18" t="inlineStr">
        <is>
          <t>K</t>
        </is>
      </c>
      <c r="O18" t="inlineStr">
        <is>
          <t>20231027</t>
        </is>
      </c>
      <c r="P18" t="inlineStr">
        <is>
          <t>Kalimantan Selatan</t>
        </is>
      </c>
      <c r="Q18" t="inlineStr"/>
    </row>
    <row r="19">
      <c r="A19" t="inlineStr">
        <is>
          <t>AMIRA</t>
        </is>
      </c>
      <c r="B19" t="inlineStr">
        <is>
          <t>Kab. Bolaang Mongondow Utara</t>
        </is>
      </c>
      <c r="C19" t="inlineStr">
        <is>
          <t>085399503780</t>
        </is>
      </c>
      <c r="D19" t="inlineStr">
        <is>
          <t>cv.amira69@gmail.com</t>
        </is>
      </c>
      <c r="E19" t="inlineStr">
        <is>
          <t>https://lpjk.pu.go.id/search-badan-usaha-detail/bWdkQmVaQklBRlQxSTA5NzlKY0kwUT09</t>
        </is>
      </c>
      <c r="F19" t="n">
        <v>1</v>
      </c>
      <c r="G19" t="inlineStr">
        <is>
          <t>BS001</t>
        </is>
      </c>
      <c r="H19" t="inlineStr">
        <is>
          <t>27 Januari 2010</t>
        </is>
      </c>
      <c r="I19" s="2" t="n">
        <v>46327</v>
      </c>
      <c r="J19" t="inlineStr">
        <is>
          <t>Pencabutan</t>
        </is>
      </c>
      <c r="K19" t="n">
        <v>60</v>
      </c>
      <c r="L19" t="inlineStr">
        <is>
          <t>1 November 2026</t>
        </is>
      </c>
      <c r="M19" t="inlineStr">
        <is>
          <t>Konstruksi Bangunan Sipil Jalan</t>
        </is>
      </c>
      <c r="N19" t="inlineStr">
        <is>
          <t>K</t>
        </is>
      </c>
      <c r="O19" t="inlineStr">
        <is>
          <t>20230629</t>
        </is>
      </c>
      <c r="P19" t="inlineStr">
        <is>
          <t>Sulawesi Utara</t>
        </is>
      </c>
      <c r="Q19" t="inlineStr"/>
    </row>
    <row r="20">
      <c r="A20" t="inlineStr">
        <is>
          <t>ARAFAH ALAM SEJAHTERA</t>
        </is>
      </c>
      <c r="B20" t="inlineStr">
        <is>
          <t>Kota Padang</t>
        </is>
      </c>
      <c r="C20" t="inlineStr">
        <is>
          <t>085265477717</t>
        </is>
      </c>
      <c r="D20" t="inlineStr">
        <is>
          <t>tarinaldihidrat@yahoo.co.id</t>
        </is>
      </c>
      <c r="E20" t="inlineStr">
        <is>
          <t>https://lpjk.pu.go.id/search-badan-usaha-detail/L3FMUjZ1MGRUcDBEV2VoTlplZzEydz09</t>
        </is>
      </c>
      <c r="F20" t="n">
        <v>2</v>
      </c>
      <c r="G20" t="inlineStr">
        <is>
          <t>BG005</t>
        </is>
      </c>
      <c r="H20" t="inlineStr">
        <is>
          <t>16 April 2003</t>
        </is>
      </c>
      <c r="I20" s="2" t="n">
        <v>46327</v>
      </c>
      <c r="J20" t="inlineStr">
        <is>
          <t>Pembekuan</t>
        </is>
      </c>
      <c r="K20" t="n">
        <v>60</v>
      </c>
      <c r="L20" t="inlineStr">
        <is>
          <t>1 November 2026</t>
        </is>
      </c>
      <c r="M20" t="inlineStr">
        <is>
          <t>Konstruksi Gedung Kesehatan</t>
        </is>
      </c>
      <c r="N20" t="inlineStr">
        <is>
          <t>B</t>
        </is>
      </c>
      <c r="O20" t="inlineStr">
        <is>
          <t>20231030</t>
        </is>
      </c>
      <c r="P20" t="inlineStr">
        <is>
          <t>Sumatera Barat</t>
        </is>
      </c>
      <c r="Q20" t="inlineStr"/>
    </row>
    <row r="21">
      <c r="A21" t="inlineStr">
        <is>
          <t>ARKON GLOBAL INDONESIA</t>
        </is>
      </c>
      <c r="B21" t="inlineStr">
        <is>
          <t>Kota Adm. Jakarta Selatan</t>
        </is>
      </c>
      <c r="C21" t="inlineStr">
        <is>
          <t>08129938726</t>
        </is>
      </c>
      <c r="D21" t="inlineStr">
        <is>
          <t>ptarkonglobalindonesia1@gmail.com</t>
        </is>
      </c>
      <c r="E21" t="inlineStr">
        <is>
          <t>https://lpjk.pu.go.id/search-badan-usaha-detail/L294eHJkK0Z1NWxCejF4MVFvMGIrQT09</t>
        </is>
      </c>
      <c r="F21" t="n">
        <v>1</v>
      </c>
      <c r="G21" t="inlineStr">
        <is>
          <t>BS009</t>
        </is>
      </c>
      <c r="H21" t="inlineStr">
        <is>
          <t>7 Februari 2013</t>
        </is>
      </c>
      <c r="I21" s="2" t="n">
        <v>46327</v>
      </c>
      <c r="J21" t="inlineStr">
        <is>
          <t>Disetujui</t>
        </is>
      </c>
      <c r="K21" t="n">
        <v>60</v>
      </c>
      <c r="L21" t="inlineStr">
        <is>
          <t>1 November 2026</t>
        </is>
      </c>
      <c r="M21" t="inlineStr">
        <is>
          <t>Konstruksi Sentral Telekomunikasi</t>
        </is>
      </c>
      <c r="N21" t="inlineStr">
        <is>
          <t>K</t>
        </is>
      </c>
      <c r="O21" t="inlineStr">
        <is>
          <t>20231101</t>
        </is>
      </c>
      <c r="P21" t="inlineStr">
        <is>
          <t>DKI Jakarta</t>
        </is>
      </c>
      <c r="Q21" t="inlineStr"/>
    </row>
    <row r="22">
      <c r="A22" t="inlineStr">
        <is>
          <t>ARMA</t>
        </is>
      </c>
      <c r="B22" t="inlineStr">
        <is>
          <t>Kab. Indragiri Hulu</t>
        </is>
      </c>
      <c r="C22" t="inlineStr">
        <is>
          <t>081381070274</t>
        </is>
      </c>
      <c r="D22" t="inlineStr">
        <is>
          <t>lily.vinci12@gmail.com</t>
        </is>
      </c>
      <c r="E22" t="inlineStr">
        <is>
          <t>https://lpjk.pu.go.id/search-badan-usaha-detail/TFJyQ2k3WEpmbmlvWjBWclcxZFd2Zz09</t>
        </is>
      </c>
      <c r="F22" t="n">
        <v>1</v>
      </c>
      <c r="G22" t="inlineStr">
        <is>
          <t>BS001</t>
        </is>
      </c>
      <c r="H22" t="inlineStr">
        <is>
          <t>27 Oktober 1992</t>
        </is>
      </c>
      <c r="I22" s="2" t="n">
        <v>46327</v>
      </c>
      <c r="J22" t="inlineStr">
        <is>
          <t>Disetujui</t>
        </is>
      </c>
      <c r="K22" t="n">
        <v>60</v>
      </c>
      <c r="L22" t="inlineStr">
        <is>
          <t>1 November 2026</t>
        </is>
      </c>
      <c r="M22" t="inlineStr">
        <is>
          <t>Konstruksi Bangunan Sipil Jalan</t>
        </is>
      </c>
      <c r="N22" t="inlineStr">
        <is>
          <t>K</t>
        </is>
      </c>
      <c r="O22" t="inlineStr">
        <is>
          <t>20231101</t>
        </is>
      </c>
      <c r="P22" t="inlineStr">
        <is>
          <t>Riau</t>
        </is>
      </c>
      <c r="Q22" t="inlineStr"/>
    </row>
    <row r="23">
      <c r="A23" t="inlineStr">
        <is>
          <t>ARMAK SUMBER BAHAGIA</t>
        </is>
      </c>
      <c r="B23" t="inlineStr">
        <is>
          <t>Kota Bandar Lampung</t>
        </is>
      </c>
      <c r="C23" t="inlineStr">
        <is>
          <t>0721240379</t>
        </is>
      </c>
      <c r="D23" t="inlineStr">
        <is>
          <t>armakgroup_asb@yahoo.com</t>
        </is>
      </c>
      <c r="E23" t="inlineStr">
        <is>
          <t>https://lpjk.pu.go.id/search-badan-usaha-detail/V0RVVXNEWjFYZjVhTG1QdUdaRDZ5dz09</t>
        </is>
      </c>
      <c r="F23" t="n">
        <v>1</v>
      </c>
      <c r="G23" t="inlineStr">
        <is>
          <t>BS002</t>
        </is>
      </c>
      <c r="H23" t="inlineStr">
        <is>
          <t>15 Januari 2003</t>
        </is>
      </c>
      <c r="I23" s="2" t="n">
        <v>46327</v>
      </c>
      <c r="J23" t="inlineStr">
        <is>
          <t>Disetujui</t>
        </is>
      </c>
      <c r="K23" t="n">
        <v>60</v>
      </c>
      <c r="L23" t="inlineStr">
        <is>
          <t>1 November 2026</t>
        </is>
      </c>
      <c r="M23" t="inlineStr">
        <is>
          <t>Bangunan Sipil Jembatan, Jalan Layang, Fly Over, dan Underpass</t>
        </is>
      </c>
      <c r="N23" t="inlineStr">
        <is>
          <t>M</t>
        </is>
      </c>
      <c r="O23" t="inlineStr">
        <is>
          <t>20230901</t>
        </is>
      </c>
      <c r="P23" t="inlineStr">
        <is>
          <t>Lampung</t>
        </is>
      </c>
      <c r="Q23" t="inlineStr"/>
    </row>
    <row r="24">
      <c r="A24" t="inlineStr">
        <is>
          <t>ARTHA GEO INTEGRITAS</t>
        </is>
      </c>
      <c r="B24" t="inlineStr">
        <is>
          <t>Kota Adm. Jakarta Utara</t>
        </is>
      </c>
      <c r="C24" t="inlineStr">
        <is>
          <t>081212992168</t>
        </is>
      </c>
      <c r="D24" t="inlineStr">
        <is>
          <t>arthageo.id@gmail.com</t>
        </is>
      </c>
      <c r="E24" t="inlineStr">
        <is>
          <t>https://lpjk.pu.go.id/search-badan-usaha-detail/WVR4U056WkZId1FLc1NxaXRKMXcyUT09</t>
        </is>
      </c>
      <c r="F24" t="n">
        <v>3</v>
      </c>
      <c r="G24" t="inlineStr">
        <is>
          <t>KK001, PL003, PL004</t>
        </is>
      </c>
      <c r="H24" t="inlineStr">
        <is>
          <t>4 Agustus 2020</t>
        </is>
      </c>
      <c r="I24" s="2" t="n">
        <v>46327</v>
      </c>
      <c r="J24" t="inlineStr">
        <is>
          <t>Pembekuan</t>
        </is>
      </c>
      <c r="K24" t="n">
        <v>60</v>
      </c>
      <c r="L24" t="inlineStr">
        <is>
          <t>1 November 2026</t>
        </is>
      </c>
      <c r="M24" t="inlineStr">
        <is>
          <t>Pekerjaan Tanah, Penyiapan Lahan Konstruksi, Pondasi Konstruksi</t>
        </is>
      </c>
      <c r="N24" t="inlineStr">
        <is>
          <t>Spesialis</t>
        </is>
      </c>
      <c r="O24" t="inlineStr">
        <is>
          <t>20231026, 20231030</t>
        </is>
      </c>
      <c r="P24" t="inlineStr">
        <is>
          <t>DKI Jakarta</t>
        </is>
      </c>
      <c r="Q24" t="inlineStr"/>
    </row>
    <row r="25">
      <c r="A25" t="inlineStr">
        <is>
          <t>AZRAM MAJU BERSAMA</t>
        </is>
      </c>
      <c r="B25" t="inlineStr">
        <is>
          <t>Kota Gorontalo</t>
        </is>
      </c>
      <c r="C25" t="inlineStr">
        <is>
          <t>08114310043</t>
        </is>
      </c>
      <c r="D25" t="inlineStr">
        <is>
          <t>cvazram2023@gmail.com</t>
        </is>
      </c>
      <c r="E25" t="inlineStr">
        <is>
          <t>https://lpjk.pu.go.id/search-badan-usaha-detail/SlpwVzFJeEE4YWZ0dEUvb3pxeVREZz09</t>
        </is>
      </c>
      <c r="F25" t="n">
        <v>1</v>
      </c>
      <c r="G25" t="inlineStr">
        <is>
          <t>BS001</t>
        </is>
      </c>
      <c r="H25" t="inlineStr">
        <is>
          <t>8 September 2023</t>
        </is>
      </c>
      <c r="I25" s="2" t="n">
        <v>46327</v>
      </c>
      <c r="J25" t="inlineStr">
        <is>
          <t>Disetujui</t>
        </is>
      </c>
      <c r="K25" t="n">
        <v>60</v>
      </c>
      <c r="L25" t="inlineStr">
        <is>
          <t>1 November 2026</t>
        </is>
      </c>
      <c r="M25" t="inlineStr">
        <is>
          <t>Konstruksi Bangunan Sipil Jalan</t>
        </is>
      </c>
      <c r="N25" t="inlineStr">
        <is>
          <t>K</t>
        </is>
      </c>
      <c r="O25" t="inlineStr">
        <is>
          <t>20231101</t>
        </is>
      </c>
      <c r="P25" t="inlineStr">
        <is>
          <t>Gorontalo</t>
        </is>
      </c>
      <c r="Q25" t="inlineStr"/>
    </row>
    <row r="26">
      <c r="A26" t="inlineStr">
        <is>
          <t>BANGUN KONTRUKSI INDONESIA</t>
        </is>
      </c>
      <c r="B26" t="inlineStr">
        <is>
          <t>Kota Cilegon</t>
        </is>
      </c>
      <c r="C26" t="inlineStr">
        <is>
          <t>0811870252</t>
        </is>
      </c>
      <c r="D26" t="inlineStr">
        <is>
          <t>bangunkonstruksiindonesia@gmail.com</t>
        </is>
      </c>
      <c r="E26" t="inlineStr">
        <is>
          <t>https://lpjk.pu.go.id/search-badan-usaha-detail/VE1KZGE1ZnJHTm10REFOMktaNVJIQT09</t>
        </is>
      </c>
      <c r="F26" t="n">
        <v>1</v>
      </c>
      <c r="G26" t="inlineStr">
        <is>
          <t>BS001</t>
        </is>
      </c>
      <c r="H26" t="inlineStr">
        <is>
          <t>6 Desember 2017</t>
        </is>
      </c>
      <c r="I26" s="2" t="n">
        <v>46327</v>
      </c>
      <c r="J26" t="inlineStr">
        <is>
          <t>Disetujui</t>
        </is>
      </c>
      <c r="K26" t="n">
        <v>60</v>
      </c>
      <c r="L26" t="inlineStr">
        <is>
          <t>1 November 2026</t>
        </is>
      </c>
      <c r="M26" t="inlineStr">
        <is>
          <t>Konstruksi Bangunan Sipil Jalan</t>
        </is>
      </c>
      <c r="N26" t="inlineStr">
        <is>
          <t>K</t>
        </is>
      </c>
      <c r="O26" t="inlineStr">
        <is>
          <t>20231102</t>
        </is>
      </c>
      <c r="P26" t="inlineStr">
        <is>
          <t>Banten</t>
        </is>
      </c>
      <c r="Q26" t="inlineStr"/>
    </row>
    <row r="27">
      <c r="A27" t="inlineStr">
        <is>
          <t>BERJAYA</t>
        </is>
      </c>
      <c r="B27" t="inlineStr">
        <is>
          <t>Kab. Tebo</t>
        </is>
      </c>
      <c r="C27" t="inlineStr">
        <is>
          <t>081274710100</t>
        </is>
      </c>
      <c r="D27" t="inlineStr">
        <is>
          <t>wahanaberjaya21@gmail.com</t>
        </is>
      </c>
      <c r="E27" t="inlineStr">
        <is>
          <t>https://lpjk.pu.go.id/search-badan-usaha-detail/b21PN2I2NWM4UzE5UUptYnBxdkpNZz09</t>
        </is>
      </c>
      <c r="F27" t="n">
        <v>6</v>
      </c>
      <c r="G27" t="inlineStr">
        <is>
          <t>BG001, BG002, BG004, BG005, BG006, BS004</t>
        </is>
      </c>
      <c r="H27" t="inlineStr">
        <is>
          <t>22 Juni 2011</t>
        </is>
      </c>
      <c r="I27" s="2" t="n">
        <v>46327</v>
      </c>
      <c r="J27" t="inlineStr">
        <is>
          <t>Disetujui</t>
        </is>
      </c>
      <c r="K27" t="n">
        <v>60</v>
      </c>
      <c r="L27" t="inlineStr">
        <is>
          <t>1 November 2026</t>
        </is>
      </c>
      <c r="M27" t="inlineStr">
        <is>
          <t>Konstruksi Gedung Hunian, Konstruksi Gedung Kesehatan, Konstruksi Gedung Pendidikan, Konstruksi Gedung Perbelanjaan, Konstruksi Gedung Perkantoran, Konstruksi Jaringan Irigasi dan Drainase</t>
        </is>
      </c>
      <c r="N27" t="inlineStr">
        <is>
          <t>K</t>
        </is>
      </c>
      <c r="O27" t="inlineStr">
        <is>
          <t>20231030</t>
        </is>
      </c>
      <c r="P27" t="inlineStr">
        <is>
          <t>Jambi</t>
        </is>
      </c>
      <c r="Q27" t="inlineStr"/>
    </row>
    <row r="28">
      <c r="A28" t="inlineStr">
        <is>
          <t>BERKAH PETUAH NEGERI</t>
        </is>
      </c>
      <c r="B28" t="inlineStr">
        <is>
          <t>Kab. Pelalawan</t>
        </is>
      </c>
      <c r="C28" t="inlineStr">
        <is>
          <t>081277748882</t>
        </is>
      </c>
      <c r="D28" t="inlineStr">
        <is>
          <t>berkahpetuahnegeri@gmail.com</t>
        </is>
      </c>
      <c r="E28" t="inlineStr">
        <is>
          <t>https://lpjk.pu.go.id/search-badan-usaha-detail/NS9DYms2TGRwVE5GNnV6V3c4RWtRZz09</t>
        </is>
      </c>
      <c r="F28" t="n">
        <v>4</v>
      </c>
      <c r="G28" t="inlineStr">
        <is>
          <t>BG006, BG009</t>
        </is>
      </c>
      <c r="H28" t="inlineStr">
        <is>
          <t>15 Mei 2020</t>
        </is>
      </c>
      <c r="I28" s="2" t="n">
        <v>46327</v>
      </c>
      <c r="J28" t="inlineStr">
        <is>
          <t>Pencabutan</t>
        </is>
      </c>
      <c r="K28" t="n">
        <v>60</v>
      </c>
      <c r="L28" t="inlineStr">
        <is>
          <t>1 November 2026</t>
        </is>
      </c>
      <c r="M28" t="inlineStr">
        <is>
          <t>Konstruksi Gedung Lainnya, Konstruksi Gedung Pendidikan</t>
        </is>
      </c>
      <c r="N28" t="inlineStr">
        <is>
          <t>K</t>
        </is>
      </c>
      <c r="O28" t="inlineStr">
        <is>
          <t>20231030</t>
        </is>
      </c>
      <c r="P28" t="inlineStr">
        <is>
          <t>Riau</t>
        </is>
      </c>
      <c r="Q28" t="inlineStr"/>
    </row>
    <row r="29">
      <c r="A29" t="inlineStr">
        <is>
          <t>BERLIAN</t>
        </is>
      </c>
      <c r="B29" t="inlineStr">
        <is>
          <t>Kab. Dharmasraya</t>
        </is>
      </c>
      <c r="C29" t="inlineStr">
        <is>
          <t>082386480080</t>
        </is>
      </c>
      <c r="D29" t="inlineStr">
        <is>
          <t>cv.berlianpajak@gmail.com</t>
        </is>
      </c>
      <c r="E29" t="inlineStr">
        <is>
          <t>https://lpjk.pu.go.id/search-badan-usaha-detail/MEdUNVM5blF3VGtDekJTYWsxdi95QT09</t>
        </is>
      </c>
      <c r="F29" t="n">
        <v>2</v>
      </c>
      <c r="G29" t="inlineStr">
        <is>
          <t>BG006, BG009</t>
        </is>
      </c>
      <c r="H29" t="inlineStr">
        <is>
          <t>21 Juni 2012</t>
        </is>
      </c>
      <c r="I29" s="2" t="n">
        <v>46327</v>
      </c>
      <c r="J29" t="inlineStr">
        <is>
          <t>Disetujui</t>
        </is>
      </c>
      <c r="K29" t="n">
        <v>60</v>
      </c>
      <c r="L29" t="inlineStr">
        <is>
          <t>1 November 2026</t>
        </is>
      </c>
      <c r="M29" t="inlineStr">
        <is>
          <t>Konstruksi Gedung Lainnya, Konstruksi Gedung Pendidikan</t>
        </is>
      </c>
      <c r="N29" t="inlineStr">
        <is>
          <t>K</t>
        </is>
      </c>
      <c r="O29" t="inlineStr">
        <is>
          <t>20231101</t>
        </is>
      </c>
      <c r="P29" t="inlineStr">
        <is>
          <t>Sumatera Barat</t>
        </is>
      </c>
      <c r="Q29" t="inlineStr"/>
    </row>
    <row r="30">
      <c r="A30" t="inlineStr">
        <is>
          <t>BERLIAN SAMUDERA</t>
        </is>
      </c>
      <c r="B30" t="inlineStr">
        <is>
          <t>Kab. Lamongan</t>
        </is>
      </c>
      <c r="C30" t="inlineStr">
        <is>
          <t>085730693069</t>
        </is>
      </c>
      <c r="D30" t="inlineStr">
        <is>
          <t>berliansamudra.lmg@gmail.com</t>
        </is>
      </c>
      <c r="E30" t="inlineStr">
        <is>
          <t>https://lpjk.pu.go.id/search-badan-usaha-detail/b2duNXVQWHRBWlMvMEF2L1d5bU9OQT09</t>
        </is>
      </c>
      <c r="F30" t="n">
        <v>2</v>
      </c>
      <c r="G30" t="inlineStr">
        <is>
          <t>BS001, BS004</t>
        </is>
      </c>
      <c r="H30" t="inlineStr">
        <is>
          <t>27 September 2023</t>
        </is>
      </c>
      <c r="I30" s="2" t="n">
        <v>46327</v>
      </c>
      <c r="J30" t="inlineStr">
        <is>
          <t>Pencabutan</t>
        </is>
      </c>
      <c r="K30" t="n">
        <v>60</v>
      </c>
      <c r="L30" t="inlineStr">
        <is>
          <t>1 November 2026</t>
        </is>
      </c>
      <c r="M30" t="inlineStr">
        <is>
          <t>Konstruksi Bangunan Sipil Jalan, Konstruksi Jaringan Irigasi dan Drainase</t>
        </is>
      </c>
      <c r="N30" t="inlineStr">
        <is>
          <t>K</t>
        </is>
      </c>
      <c r="O30" t="inlineStr">
        <is>
          <t>20231019, 20231102</t>
        </is>
      </c>
      <c r="P30" t="inlineStr">
        <is>
          <t>Jawa Timur</t>
        </is>
      </c>
      <c r="Q30" t="inlineStr"/>
    </row>
    <row r="31">
      <c r="A31" t="inlineStr">
        <is>
          <t>BINTANG ALUMINIUM SEJAHTERA</t>
        </is>
      </c>
      <c r="B31" t="inlineStr">
        <is>
          <t>Kota Adm. Jakarta Utara</t>
        </is>
      </c>
      <c r="C31" t="inlineStr">
        <is>
          <t>02164715133</t>
        </is>
      </c>
      <c r="D31" t="inlineStr">
        <is>
          <t>silviasunter@protonmail.com</t>
        </is>
      </c>
      <c r="E31" t="inlineStr">
        <is>
          <t>https://lpjk.pu.go.id/search-badan-usaha-detail/dFBhN1liUVhVYktnYlhwNGJiSGV5QT09</t>
        </is>
      </c>
      <c r="F31" t="n">
        <v>2</v>
      </c>
      <c r="G31" t="inlineStr">
        <is>
          <t>BG002</t>
        </is>
      </c>
      <c r="H31" t="inlineStr">
        <is>
          <t>28 Oktober 2019</t>
        </is>
      </c>
      <c r="I31" s="2" t="n">
        <v>46327</v>
      </c>
      <c r="J31" t="inlineStr">
        <is>
          <t>Disetujui</t>
        </is>
      </c>
      <c r="K31" t="n">
        <v>60</v>
      </c>
      <c r="L31" t="inlineStr">
        <is>
          <t>1 November 2026</t>
        </is>
      </c>
      <c r="M31" t="inlineStr">
        <is>
          <t>Konstruksi Gedung Perkantoran</t>
        </is>
      </c>
      <c r="N31" t="inlineStr">
        <is>
          <t>K</t>
        </is>
      </c>
      <c r="O31" t="inlineStr">
        <is>
          <t>20231029</t>
        </is>
      </c>
      <c r="P31" t="inlineStr">
        <is>
          <t>DKI Jakarta</t>
        </is>
      </c>
      <c r="Q31" t="inlineStr"/>
    </row>
    <row r="32">
      <c r="A32" t="inlineStr">
        <is>
          <t>BINTANG CIPTA PESONA</t>
        </is>
      </c>
      <c r="B32" t="inlineStr">
        <is>
          <t>Kab. Karanganyar</t>
        </is>
      </c>
      <c r="C32" t="inlineStr">
        <is>
          <t>085649863938</t>
        </is>
      </c>
      <c r="D32" t="inlineStr">
        <is>
          <t>cvbcp2020@gmail.com</t>
        </is>
      </c>
      <c r="E32" t="inlineStr">
        <is>
          <t>https://lpjk.pu.go.id/search-badan-usaha-detail/NkNjTDZmYlZqMGtFbnd3dGxZdmhFdz09</t>
        </is>
      </c>
      <c r="F32" t="n">
        <v>6</v>
      </c>
      <c r="G32" t="inlineStr">
        <is>
          <t>RK001, RK002, RK003</t>
        </is>
      </c>
      <c r="H32" t="inlineStr">
        <is>
          <t>27 Januari 2020</t>
        </is>
      </c>
      <c r="I32" s="2" t="n">
        <v>46327</v>
      </c>
      <c r="J32" t="inlineStr">
        <is>
          <t>Disetujui</t>
        </is>
      </c>
      <c r="K32" t="n">
        <v>60</v>
      </c>
      <c r="L32" t="inlineStr">
        <is>
          <t>1 November 2026</t>
        </is>
      </c>
      <c r="M32" t="inlineStr">
        <is>
          <t>Jasa Rekayasa Konstruksi Bangunan Gedung Hunian dan Non Hunian, Jasa Rekayasa Pekerjaan Teknik Sipil Sumber Daya Air, Jasa Rekayasa Pekerjaan Teknik Sipil Transportasi</t>
        </is>
      </c>
      <c r="N32" t="inlineStr">
        <is>
          <t>K</t>
        </is>
      </c>
      <c r="O32" t="inlineStr">
        <is>
          <t>20231023</t>
        </is>
      </c>
      <c r="P32" t="inlineStr">
        <is>
          <t>Jawa Tengah</t>
        </is>
      </c>
      <c r="Q32" t="inlineStr"/>
    </row>
    <row r="33">
      <c r="A33" t="inlineStr">
        <is>
          <t>BINTANG DI SURGA</t>
        </is>
      </c>
      <c r="B33" t="inlineStr">
        <is>
          <t>Kab. Batang</t>
        </is>
      </c>
      <c r="C33" t="inlineStr">
        <is>
          <t>089652660309</t>
        </is>
      </c>
      <c r="D33" t="inlineStr">
        <is>
          <t>bidisu001@gmail.com</t>
        </is>
      </c>
      <c r="E33" t="inlineStr">
        <is>
          <t>https://lpjk.pu.go.id/search-badan-usaha-detail/RUVGdThiSGVTS21IYmZuTFZ6ZTh4QT09</t>
        </is>
      </c>
      <c r="F33" t="n">
        <v>2</v>
      </c>
      <c r="G33" t="inlineStr">
        <is>
          <t>BG009</t>
        </is>
      </c>
      <c r="H33" t="inlineStr">
        <is>
          <t>25 Oktober 2023</t>
        </is>
      </c>
      <c r="I33" s="2" t="n">
        <v>46327</v>
      </c>
      <c r="J33" t="inlineStr">
        <is>
          <t>Disetujui</t>
        </is>
      </c>
      <c r="K33" t="n">
        <v>60</v>
      </c>
      <c r="L33" t="inlineStr">
        <is>
          <t>1 November 2026</t>
        </is>
      </c>
      <c r="M33" t="inlineStr">
        <is>
          <t>Konstruksi Gedung Lainnya</t>
        </is>
      </c>
      <c r="N33" t="inlineStr">
        <is>
          <t>K</t>
        </is>
      </c>
      <c r="O33" t="inlineStr">
        <is>
          <t>20231102</t>
        </is>
      </c>
      <c r="P33" t="inlineStr">
        <is>
          <t>Jawa Tengah</t>
        </is>
      </c>
      <c r="Q33" t="inlineStr"/>
    </row>
    <row r="34">
      <c r="A34" t="inlineStr">
        <is>
          <t>BINTANG KEJAYAAN</t>
        </is>
      </c>
      <c r="B34" t="inlineStr">
        <is>
          <t>Kab. Muara Enim</t>
        </is>
      </c>
      <c r="C34" t="inlineStr">
        <is>
          <t>085208175787</t>
        </is>
      </c>
      <c r="D34" t="inlineStr">
        <is>
          <t>azhariktm745@gmail.com</t>
        </is>
      </c>
      <c r="E34" t="inlineStr">
        <is>
          <t>https://lpjk.pu.go.id/search-badan-usaha-detail/N3FRMS9SSytNRWs1QUJUVWhWdnRsZz09</t>
        </is>
      </c>
      <c r="F34" t="n">
        <v>6</v>
      </c>
      <c r="G34" t="inlineStr">
        <is>
          <t>BS001, BS002, BS004</t>
        </is>
      </c>
      <c r="H34" t="inlineStr">
        <is>
          <t>14 Januari 2020</t>
        </is>
      </c>
      <c r="I34" s="2" t="n">
        <v>46327</v>
      </c>
      <c r="J34" t="inlineStr">
        <is>
          <t>Disetujui</t>
        </is>
      </c>
      <c r="K34" t="n">
        <v>60</v>
      </c>
      <c r="L34" t="inlineStr">
        <is>
          <t>1 November 2026</t>
        </is>
      </c>
      <c r="M34" t="inlineStr">
        <is>
          <t>Bangunan Sipil Jembatan, Jalan Layang, Fly Over, dan Underpass, Konstruksi Bangunan Sipil Jalan, Konstruksi Jaringan Irigasi dan Drainase</t>
        </is>
      </c>
      <c r="N34" t="inlineStr">
        <is>
          <t>K</t>
        </is>
      </c>
      <c r="O34" t="inlineStr">
        <is>
          <t>20231031</t>
        </is>
      </c>
      <c r="P34" t="inlineStr">
        <is>
          <t>Sumatera Selatan</t>
        </is>
      </c>
      <c r="Q34" t="inlineStr"/>
    </row>
    <row r="35">
      <c r="A35" t="inlineStr">
        <is>
          <t>BINTANG RAYA MANDIRI</t>
        </is>
      </c>
      <c r="B35" t="inlineStr">
        <is>
          <t>Kab. Aceh Tamiang</t>
        </is>
      </c>
      <c r="C35" t="inlineStr">
        <is>
          <t>085276194987</t>
        </is>
      </c>
      <c r="D35" t="inlineStr">
        <is>
          <t>bintangrayamandiri@yahoo.co.id</t>
        </is>
      </c>
      <c r="E35" t="inlineStr">
        <is>
          <t>https://lpjk.pu.go.id/search-badan-usaha-detail/dDR3YjFCcVlkaFR1VGRtSVRYaVRuQT09</t>
        </is>
      </c>
      <c r="F35" t="n">
        <v>2</v>
      </c>
      <c r="G35" t="inlineStr">
        <is>
          <t>BG009</t>
        </is>
      </c>
      <c r="H35" t="inlineStr">
        <is>
          <t>6 April 1982</t>
        </is>
      </c>
      <c r="I35" s="2" t="n">
        <v>46327</v>
      </c>
      <c r="J35" t="inlineStr">
        <is>
          <t>Disetujui</t>
        </is>
      </c>
      <c r="K35" t="n">
        <v>60</v>
      </c>
      <c r="L35" t="inlineStr">
        <is>
          <t>1 November 2026</t>
        </is>
      </c>
      <c r="M35" t="inlineStr">
        <is>
          <t>Konstruksi Gedung Lainnya</t>
        </is>
      </c>
      <c r="N35" t="inlineStr">
        <is>
          <t>K</t>
        </is>
      </c>
      <c r="O35" t="inlineStr">
        <is>
          <t>20231027</t>
        </is>
      </c>
      <c r="P35" t="inlineStr">
        <is>
          <t>Aceh</t>
        </is>
      </c>
      <c r="Q35" t="inlineStr"/>
    </row>
    <row r="36">
      <c r="A36" t="inlineStr">
        <is>
          <t>BUDI SARI</t>
        </is>
      </c>
      <c r="B36" t="inlineStr">
        <is>
          <t>Kota Yogyakarta</t>
        </is>
      </c>
      <c r="C36" t="inlineStr">
        <is>
          <t>087838265664</t>
        </is>
      </c>
      <c r="D36" t="inlineStr">
        <is>
          <t>budisaricv@gmail.com</t>
        </is>
      </c>
      <c r="E36" t="inlineStr">
        <is>
          <t>https://lpjk.pu.go.id/search-badan-usaha-detail/bU54R3BBV2M4cFp0WDVsbkpleTVIZz09</t>
        </is>
      </c>
      <c r="F36" t="n">
        <v>2</v>
      </c>
      <c r="G36" t="inlineStr">
        <is>
          <t>BG005, BG009</t>
        </is>
      </c>
      <c r="H36" t="inlineStr">
        <is>
          <t>19 Desember 1988</t>
        </is>
      </c>
      <c r="I36" s="2" t="n">
        <v>46327</v>
      </c>
      <c r="J36" t="inlineStr">
        <is>
          <t>Disetujui</t>
        </is>
      </c>
      <c r="K36" t="n">
        <v>60</v>
      </c>
      <c r="L36" t="inlineStr">
        <is>
          <t>1 November 2026</t>
        </is>
      </c>
      <c r="M36" t="inlineStr">
        <is>
          <t>Konstruksi Gedung Kesehatan, Konstruksi Gedung Lainnya</t>
        </is>
      </c>
      <c r="N36" t="inlineStr">
        <is>
          <t>K</t>
        </is>
      </c>
      <c r="O36" t="inlineStr">
        <is>
          <t>20230918, 20231028</t>
        </is>
      </c>
      <c r="P36" t="inlineStr">
        <is>
          <t>DI Yogyakarta</t>
        </is>
      </c>
      <c r="Q36" t="inlineStr"/>
    </row>
    <row r="37">
      <c r="A37" t="inlineStr">
        <is>
          <t>BUMI SRI KARMA</t>
        </is>
      </c>
      <c r="B37" t="inlineStr">
        <is>
          <t>Kota Mataram</t>
        </is>
      </c>
      <c r="C37" t="inlineStr">
        <is>
          <t>087865101945</t>
        </is>
      </c>
      <c r="D37" t="inlineStr">
        <is>
          <t>ptbumisrikarma0711@gmail.com</t>
        </is>
      </c>
      <c r="E37" t="inlineStr">
        <is>
          <t>https://lpjk.pu.go.id/search-badan-usaha-detail/ZjlRUTVpSmlsY1h0cHJZa2ZkN0VWQT09</t>
        </is>
      </c>
      <c r="F37" t="n">
        <v>1</v>
      </c>
      <c r="G37" t="inlineStr">
        <is>
          <t>BS001</t>
        </is>
      </c>
      <c r="H37" t="inlineStr">
        <is>
          <t>26 November 2021</t>
        </is>
      </c>
      <c r="I37" s="2" t="n">
        <v>46327</v>
      </c>
      <c r="J37" t="inlineStr">
        <is>
          <t>Disetujui</t>
        </is>
      </c>
      <c r="K37" t="n">
        <v>60</v>
      </c>
      <c r="L37" t="inlineStr">
        <is>
          <t>1 November 2026</t>
        </is>
      </c>
      <c r="M37" t="inlineStr">
        <is>
          <t>Konstruksi Bangunan Sipil Jalan</t>
        </is>
      </c>
      <c r="N37" t="inlineStr">
        <is>
          <t>K</t>
        </is>
      </c>
      <c r="O37" t="inlineStr">
        <is>
          <t>20231018</t>
        </is>
      </c>
      <c r="P37" t="inlineStr">
        <is>
          <t>Nusa Tenggara Barat</t>
        </is>
      </c>
      <c r="Q37" t="inlineStr"/>
    </row>
    <row r="38">
      <c r="A38" t="inlineStr">
        <is>
          <t>BUMI TERANG FORTUNA</t>
        </is>
      </c>
      <c r="B38" t="inlineStr">
        <is>
          <t>Kota Adm. Jakarta Barat</t>
        </is>
      </c>
      <c r="C38" t="inlineStr">
        <is>
          <t>085373333893</t>
        </is>
      </c>
      <c r="D38" t="inlineStr">
        <is>
          <t>btfortuna@yahoo.com</t>
        </is>
      </c>
      <c r="E38" t="inlineStr">
        <is>
          <t>https://lpjk.pu.go.id/search-badan-usaha-detail/OVAyVDNucndaNjJlcHRFbGxKTkEyZz09</t>
        </is>
      </c>
      <c r="F38" t="n">
        <v>1</v>
      </c>
      <c r="G38" t="inlineStr">
        <is>
          <t>BS004</t>
        </is>
      </c>
      <c r="H38" t="inlineStr">
        <is>
          <t>30 Mei 2023</t>
        </is>
      </c>
      <c r="I38" s="2" t="n">
        <v>46327</v>
      </c>
      <c r="J38" t="inlineStr">
        <is>
          <t>Disetujui</t>
        </is>
      </c>
      <c r="K38" t="n">
        <v>60</v>
      </c>
      <c r="L38" t="inlineStr">
        <is>
          <t>1 November 2026</t>
        </is>
      </c>
      <c r="M38" t="inlineStr">
        <is>
          <t>Konstruksi Jaringan Irigasi dan Drainase</t>
        </is>
      </c>
      <c r="N38" t="inlineStr">
        <is>
          <t>K</t>
        </is>
      </c>
      <c r="O38" t="inlineStr">
        <is>
          <t>20231101</t>
        </is>
      </c>
      <c r="P38" t="inlineStr">
        <is>
          <t>DKI Jakarta</t>
        </is>
      </c>
      <c r="Q38" t="inlineStr"/>
    </row>
    <row r="39">
      <c r="A39" t="inlineStr">
        <is>
          <t>CAHAYA</t>
        </is>
      </c>
      <c r="B39" t="inlineStr">
        <is>
          <t>Kab. Trenggalek</t>
        </is>
      </c>
      <c r="C39" t="inlineStr">
        <is>
          <t>085330230662</t>
        </is>
      </c>
      <c r="D39" t="inlineStr">
        <is>
          <t>cvcahaya.trenggalek@gmail.com</t>
        </is>
      </c>
      <c r="E39" t="inlineStr">
        <is>
          <t>https://lpjk.pu.go.id/search-badan-usaha-detail/ZXN1Sy9GWkUyNE9zUGZZVzdFYWZ2QT09</t>
        </is>
      </c>
      <c r="F39" t="n">
        <v>2</v>
      </c>
      <c r="G39" t="inlineStr">
        <is>
          <t>BS005, BS006</t>
        </is>
      </c>
      <c r="H39" t="inlineStr">
        <is>
          <t>9 Agustus 2001</t>
        </is>
      </c>
      <c r="I39" s="2" t="n">
        <v>46327</v>
      </c>
      <c r="J39" t="inlineStr">
        <is>
          <t>Disetujui</t>
        </is>
      </c>
      <c r="K39" t="n">
        <v>60</v>
      </c>
      <c r="L39" t="inlineStr">
        <is>
          <t>1 November 2026</t>
        </is>
      </c>
      <c r="M39" t="inlineStr">
        <is>
          <t>Konstruksi Bangunan Sipil Pengolahan Air Bersih, Konstruksi Bangunan Sipil Prasarana dan Sarana Sistem Pengolahan Limbah Padat, Cair, dan Gas</t>
        </is>
      </c>
      <c r="N39" t="inlineStr">
        <is>
          <t>K</t>
        </is>
      </c>
      <c r="O39" t="inlineStr">
        <is>
          <t>20231026, 20231027</t>
        </is>
      </c>
      <c r="P39" t="inlineStr">
        <is>
          <t>Jawa Timur</t>
        </is>
      </c>
      <c r="Q39" t="inlineStr"/>
    </row>
    <row r="40">
      <c r="A40" t="inlineStr">
        <is>
          <t>CAHAYA ERVIN GEMILANG</t>
        </is>
      </c>
      <c r="B40" t="inlineStr">
        <is>
          <t>Kota Jambi</t>
        </is>
      </c>
      <c r="C40" t="inlineStr">
        <is>
          <t>081274873873</t>
        </is>
      </c>
      <c r="D40" t="inlineStr">
        <is>
          <t>herryrachmayanto@gmail.com</t>
        </is>
      </c>
      <c r="E40" t="inlineStr">
        <is>
          <t>https://lpjk.pu.go.id/search-badan-usaha-detail/cUdBc1N0YmdwZTNNQ2NaZDdEY21odz09</t>
        </is>
      </c>
      <c r="F40" t="n">
        <v>4</v>
      </c>
      <c r="G40" t="inlineStr">
        <is>
          <t>BG002, BG005, BG006, BG009</t>
        </is>
      </c>
      <c r="H40" t="inlineStr">
        <is>
          <t>19 Januari 2008</t>
        </is>
      </c>
      <c r="I40" s="2" t="n">
        <v>46327</v>
      </c>
      <c r="J40" t="inlineStr">
        <is>
          <t>Disetujui</t>
        </is>
      </c>
      <c r="K40" t="n">
        <v>60</v>
      </c>
      <c r="L40" t="inlineStr">
        <is>
          <t>1 November 2026</t>
        </is>
      </c>
      <c r="M40" t="inlineStr">
        <is>
          <t>Konstruksi Gedung Kesehatan, Konstruksi Gedung Lainnya, Konstruksi Gedung Pendidikan, Konstruksi Gedung Perkantoran</t>
        </is>
      </c>
      <c r="N40" t="inlineStr">
        <is>
          <t>K</t>
        </is>
      </c>
      <c r="O40" t="inlineStr">
        <is>
          <t>20231030, 20231101</t>
        </is>
      </c>
      <c r="P40" t="inlineStr">
        <is>
          <t>Jambi</t>
        </is>
      </c>
      <c r="Q40" t="inlineStr"/>
    </row>
    <row r="41">
      <c r="A41" t="inlineStr">
        <is>
          <t>CIPTA ANEKA</t>
        </is>
      </c>
      <c r="B41" t="inlineStr">
        <is>
          <t>Kab. Bondowoso</t>
        </is>
      </c>
      <c r="C41" t="inlineStr">
        <is>
          <t>082334809991</t>
        </is>
      </c>
      <c r="D41" t="inlineStr">
        <is>
          <t>cipta.anekacv@gmail.com</t>
        </is>
      </c>
      <c r="E41" t="inlineStr">
        <is>
          <t>https://lpjk.pu.go.id/search-badan-usaha-detail/bTFjSFpuMDhRRTBpeVdyQ2dTRVRsUT09</t>
        </is>
      </c>
      <c r="F41" t="n">
        <v>6</v>
      </c>
      <c r="G41" t="inlineStr">
        <is>
          <t>BG005, BG006, BS001</t>
        </is>
      </c>
      <c r="H41" t="inlineStr">
        <is>
          <t>14 November 2013</t>
        </is>
      </c>
      <c r="I41" s="2" t="n">
        <v>46327</v>
      </c>
      <c r="J41" t="inlineStr">
        <is>
          <t>Disetujui, Pencabutan</t>
        </is>
      </c>
      <c r="K41" t="n">
        <v>60</v>
      </c>
      <c r="L41" t="inlineStr">
        <is>
          <t>1 November 2026</t>
        </is>
      </c>
      <c r="M41" t="inlineStr">
        <is>
          <t>Konstruksi Bangunan Sipil Jalan, Konstruksi Gedung Kesehatan, Konstruksi Gedung Pendidikan</t>
        </is>
      </c>
      <c r="N41" t="inlineStr">
        <is>
          <t>K</t>
        </is>
      </c>
      <c r="O41" t="inlineStr">
        <is>
          <t>20231031</t>
        </is>
      </c>
      <c r="P41" t="inlineStr">
        <is>
          <t>Jawa Timur</t>
        </is>
      </c>
      <c r="Q41" t="inlineStr"/>
    </row>
    <row r="42">
      <c r="A42" t="inlineStr">
        <is>
          <t>CIPTA DYTAMA</t>
        </is>
      </c>
      <c r="B42" t="inlineStr">
        <is>
          <t>Kota Surabaya</t>
        </is>
      </c>
      <c r="C42" t="inlineStr">
        <is>
          <t>08133639417</t>
        </is>
      </c>
      <c r="D42" t="inlineStr">
        <is>
          <t>cvciptadytama2@outlook.com</t>
        </is>
      </c>
      <c r="E42" t="inlineStr">
        <is>
          <t>https://lpjk.pu.go.id/search-badan-usaha-detail/R2J2ckFGS0FodjJPQ3RVU3QrcVRyZz09</t>
        </is>
      </c>
      <c r="F42" t="n">
        <v>2</v>
      </c>
      <c r="G42" t="inlineStr">
        <is>
          <t>BG002</t>
        </is>
      </c>
      <c r="H42" t="inlineStr">
        <is>
          <t>28 September 1995</t>
        </is>
      </c>
      <c r="I42" s="2" t="n">
        <v>46327</v>
      </c>
      <c r="J42" t="inlineStr">
        <is>
          <t>Disetujui</t>
        </is>
      </c>
      <c r="K42" t="n">
        <v>60</v>
      </c>
      <c r="L42" t="inlineStr">
        <is>
          <t>1 November 2026</t>
        </is>
      </c>
      <c r="M42" t="inlineStr">
        <is>
          <t>Konstruksi Gedung Perkantoran</t>
        </is>
      </c>
      <c r="N42" t="inlineStr">
        <is>
          <t>K</t>
        </is>
      </c>
      <c r="O42" t="inlineStr">
        <is>
          <t>20231025</t>
        </is>
      </c>
      <c r="P42" t="inlineStr">
        <is>
          <t>Jawa Timur</t>
        </is>
      </c>
      <c r="Q42" t="inlineStr"/>
    </row>
    <row r="43">
      <c r="A43" t="inlineStr">
        <is>
          <t>CIPTA JAYA PIRANTI</t>
        </is>
      </c>
      <c r="B43" t="inlineStr">
        <is>
          <t>Kota Adm. Jakarta Pusat</t>
        </is>
      </c>
      <c r="C43" t="inlineStr">
        <is>
          <t>08112334567</t>
        </is>
      </c>
      <c r="D43" t="inlineStr">
        <is>
          <t>pt.cijati@gmail.com</t>
        </is>
      </c>
      <c r="E43" t="inlineStr">
        <is>
          <t>https://lpjk.pu.go.id/search-badan-usaha-detail/WHBzMUZIVEFjMW5SbTFxNUozaUliUT09</t>
        </is>
      </c>
      <c r="F43" t="n">
        <v>12</v>
      </c>
      <c r="G43" t="inlineStr">
        <is>
          <t>BG001, BG002, BG005, BG006, BG009, BS001</t>
        </is>
      </c>
      <c r="H43" t="inlineStr">
        <is>
          <t>5 Juni 2023</t>
        </is>
      </c>
      <c r="I43" s="2" t="n">
        <v>46327</v>
      </c>
      <c r="J43" t="inlineStr">
        <is>
          <t>Disetujui</t>
        </is>
      </c>
      <c r="K43" t="n">
        <v>60</v>
      </c>
      <c r="L43" t="inlineStr">
        <is>
          <t>1 November 2026</t>
        </is>
      </c>
      <c r="M43" t="inlineStr">
        <is>
          <t>Konstruksi Bangunan Sipil Jalan, Konstruksi Gedung Hunian, Konstruksi Gedung Kesehatan, Konstruksi Gedung Lainnya, Konstruksi Gedung Pendidikan, Konstruksi Gedung Perkantoran</t>
        </is>
      </c>
      <c r="N43" t="inlineStr">
        <is>
          <t>K</t>
        </is>
      </c>
      <c r="O43" t="inlineStr">
        <is>
          <t>20231101, 20231102</t>
        </is>
      </c>
      <c r="P43" t="inlineStr">
        <is>
          <t>DKI Jakarta</t>
        </is>
      </c>
      <c r="Q43" t="inlineStr"/>
    </row>
    <row r="44">
      <c r="A44" t="inlineStr">
        <is>
          <t>CITRA ABADI</t>
        </is>
      </c>
      <c r="B44" t="inlineStr">
        <is>
          <t>Kab. Sumenep</t>
        </is>
      </c>
      <c r="C44" t="inlineStr">
        <is>
          <t>081919673289</t>
        </is>
      </c>
      <c r="D44" t="inlineStr">
        <is>
          <t>cvcitraabadi81@gmail.com</t>
        </is>
      </c>
      <c r="E44" t="inlineStr">
        <is>
          <t>https://lpjk.pu.go.id/search-badan-usaha-detail/OE82RmUrWFF5bVNkQnJOSTRRZGFOZz09</t>
        </is>
      </c>
      <c r="F44" t="n">
        <v>1</v>
      </c>
      <c r="G44" t="inlineStr">
        <is>
          <t>BS005</t>
        </is>
      </c>
      <c r="H44" t="inlineStr">
        <is>
          <t>21 Februari 2003</t>
        </is>
      </c>
      <c r="I44" s="2" t="n">
        <v>46327</v>
      </c>
      <c r="J44" t="inlineStr">
        <is>
          <t>Disetujui</t>
        </is>
      </c>
      <c r="K44" t="n">
        <v>60</v>
      </c>
      <c r="L44" t="inlineStr">
        <is>
          <t>1 November 2026</t>
        </is>
      </c>
      <c r="M44" t="inlineStr">
        <is>
          <t>Konstruksi Bangunan Sipil Pengolahan Air Bersih</t>
        </is>
      </c>
      <c r="N44" t="inlineStr">
        <is>
          <t>K</t>
        </is>
      </c>
      <c r="O44" t="inlineStr">
        <is>
          <t>20231031</t>
        </is>
      </c>
      <c r="P44" t="inlineStr">
        <is>
          <t>Jawa Timur</t>
        </is>
      </c>
      <c r="Q44" t="inlineStr"/>
    </row>
    <row r="45">
      <c r="A45" t="inlineStr">
        <is>
          <t>DEVARA TEKHNIKA PERSADA</t>
        </is>
      </c>
      <c r="B45" t="inlineStr">
        <is>
          <t>Kab. Banyuwangi</t>
        </is>
      </c>
      <c r="C45" t="inlineStr">
        <is>
          <t>081259123505</t>
        </is>
      </c>
      <c r="D45" t="inlineStr">
        <is>
          <t>devaratekhnika@gmail.com</t>
        </is>
      </c>
      <c r="E45" t="inlineStr">
        <is>
          <t>https://lpjk.pu.go.id/search-badan-usaha-detail/RzA0d20ybmMyMU80YVlQdk1xVEZlQT09</t>
        </is>
      </c>
      <c r="F45" t="n">
        <v>2</v>
      </c>
      <c r="G45" t="inlineStr">
        <is>
          <t>BG006, BS001</t>
        </is>
      </c>
      <c r="H45" t="inlineStr">
        <is>
          <t>12 Juni 2023</t>
        </is>
      </c>
      <c r="I45" s="2" t="n">
        <v>46327</v>
      </c>
      <c r="J45" t="inlineStr">
        <is>
          <t>Disetujui</t>
        </is>
      </c>
      <c r="K45" t="n">
        <v>60</v>
      </c>
      <c r="L45" t="inlineStr">
        <is>
          <t>1 November 2026</t>
        </is>
      </c>
      <c r="M45" t="inlineStr">
        <is>
          <t>Konstruksi Bangunan Sipil Jalan, Konstruksi Gedung Pendidikan</t>
        </is>
      </c>
      <c r="N45" t="inlineStr">
        <is>
          <t>K</t>
        </is>
      </c>
      <c r="O45" t="inlineStr">
        <is>
          <t>20231030</t>
        </is>
      </c>
      <c r="P45" t="inlineStr">
        <is>
          <t>Jawa Timur</t>
        </is>
      </c>
      <c r="Q45" t="inlineStr"/>
    </row>
    <row r="46">
      <c r="A46" t="inlineStr">
        <is>
          <t>DRAJAT SAUDARA UTAMA</t>
        </is>
      </c>
      <c r="B46" t="inlineStr">
        <is>
          <t>Kab. Karawang</t>
        </is>
      </c>
      <c r="C46" t="inlineStr">
        <is>
          <t>081220005861</t>
        </is>
      </c>
      <c r="D46" t="inlineStr">
        <is>
          <t>manage@drajatsaudarautama.com</t>
        </is>
      </c>
      <c r="E46" t="inlineStr">
        <is>
          <t>https://lpjk.pu.go.id/search-badan-usaha-detail/NHBZa21ZcEN1aStvTHJpVDZwVHBWdz09</t>
        </is>
      </c>
      <c r="F46" t="n">
        <v>1</v>
      </c>
      <c r="G46" t="inlineStr">
        <is>
          <t>BG009</t>
        </is>
      </c>
      <c r="H46" t="inlineStr">
        <is>
          <t>4 September 2023</t>
        </is>
      </c>
      <c r="I46" s="2" t="n">
        <v>46327</v>
      </c>
      <c r="J46" t="inlineStr">
        <is>
          <t>Disetujui</t>
        </is>
      </c>
      <c r="K46" t="n">
        <v>60</v>
      </c>
      <c r="L46" t="inlineStr">
        <is>
          <t>1 November 2026</t>
        </is>
      </c>
      <c r="M46" t="inlineStr">
        <is>
          <t>Konstruksi Gedung Lainnya</t>
        </is>
      </c>
      <c r="N46" t="inlineStr">
        <is>
          <t>K</t>
        </is>
      </c>
      <c r="O46" t="inlineStr">
        <is>
          <t>20231101</t>
        </is>
      </c>
      <c r="P46" t="inlineStr">
        <is>
          <t>Jawa Barat</t>
        </is>
      </c>
      <c r="Q46" t="inlineStr"/>
    </row>
    <row r="47">
      <c r="A47" t="inlineStr">
        <is>
          <t>DUTA NANGGROE</t>
        </is>
      </c>
      <c r="B47" t="inlineStr">
        <is>
          <t>Kab. Aceh Besar</t>
        </is>
      </c>
      <c r="C47" t="inlineStr">
        <is>
          <t>082237834301</t>
        </is>
      </c>
      <c r="D47" t="inlineStr">
        <is>
          <t>dutananggroe2020@gmail.com</t>
        </is>
      </c>
      <c r="E47" t="inlineStr">
        <is>
          <t>https://lpjk.pu.go.id/search-badan-usaha-detail/SEJWeEpSZWNiRXlJYVZQODVsYzBvQT09</t>
        </is>
      </c>
      <c r="F47" t="n">
        <v>3</v>
      </c>
      <c r="G47" t="inlineStr">
        <is>
          <t>RK001, RK003, RK005</t>
        </is>
      </c>
      <c r="H47" t="inlineStr">
        <is>
          <t>17 Maret 2010</t>
        </is>
      </c>
      <c r="I47" s="2" t="n">
        <v>46327</v>
      </c>
      <c r="J47" t="inlineStr">
        <is>
          <t>Disetujui</t>
        </is>
      </c>
      <c r="K47" t="n">
        <v>60</v>
      </c>
      <c r="L47" t="inlineStr">
        <is>
          <t>1 November 2026</t>
        </is>
      </c>
      <c r="M47" t="inlineStr">
        <is>
          <t>Jasa Rekayasa Konstruksi Bangunan Gedung Hunian dan Non Hunian, Jasa Rekayasa Lainnya, Jasa Rekayasa Pekerjaan Teknik Sipil Transportasi</t>
        </is>
      </c>
      <c r="N47" t="inlineStr">
        <is>
          <t>K</t>
        </is>
      </c>
      <c r="O47" t="inlineStr">
        <is>
          <t>20231020</t>
        </is>
      </c>
      <c r="P47" t="inlineStr">
        <is>
          <t>Aceh</t>
        </is>
      </c>
      <c r="Q47" t="inlineStr"/>
    </row>
    <row r="48">
      <c r="A48" t="inlineStr">
        <is>
          <t>ENAM PUTRA LOUW</t>
        </is>
      </c>
      <c r="B48" t="inlineStr">
        <is>
          <t>Kab. Maluku Tengah</t>
        </is>
      </c>
      <c r="C48" t="inlineStr">
        <is>
          <t>082198660965</t>
        </is>
      </c>
      <c r="D48" t="inlineStr">
        <is>
          <t>ohorellakuraisin@gmail.com</t>
        </is>
      </c>
      <c r="E48" t="inlineStr">
        <is>
          <t>https://lpjk.pu.go.id/search-badan-usaha-detail/a3h6am5oVmgzalRvOXBNY1VQV1kzZz09</t>
        </is>
      </c>
      <c r="F48" t="n">
        <v>2</v>
      </c>
      <c r="G48" t="inlineStr">
        <is>
          <t>BG009, BS010</t>
        </is>
      </c>
      <c r="H48" t="inlineStr">
        <is>
          <t>9 Februari 2023</t>
        </is>
      </c>
      <c r="I48" s="2" t="n">
        <v>46327</v>
      </c>
      <c r="J48" t="inlineStr">
        <is>
          <t>Disetujui</t>
        </is>
      </c>
      <c r="K48" t="n">
        <v>60</v>
      </c>
      <c r="L48" t="inlineStr">
        <is>
          <t>1 November 2026</t>
        </is>
      </c>
      <c r="M48" t="inlineStr">
        <is>
          <t>Konstruksi Bangunan Prasarana Sumber Daya Air, Konstruksi Gedung Lainnya</t>
        </is>
      </c>
      <c r="N48" t="inlineStr">
        <is>
          <t>K</t>
        </is>
      </c>
      <c r="O48" t="inlineStr">
        <is>
          <t>20231024, 20231026</t>
        </is>
      </c>
      <c r="P48" t="inlineStr">
        <is>
          <t>Maluku</t>
        </is>
      </c>
      <c r="Q48" t="inlineStr"/>
    </row>
    <row r="49">
      <c r="A49" t="inlineStr">
        <is>
          <t>FARSYAH CIPTA BERSAMA</t>
        </is>
      </c>
      <c r="B49" t="inlineStr">
        <is>
          <t>Kota Bitung</t>
        </is>
      </c>
      <c r="C49" t="inlineStr">
        <is>
          <t>0</t>
        </is>
      </c>
      <c r="D49" t="inlineStr">
        <is>
          <t>cv.farsyahciptabersama@gmail.com</t>
        </is>
      </c>
      <c r="E49" t="inlineStr">
        <is>
          <t>https://lpjk.pu.go.id/search-badan-usaha-detail/bDY4VVl1MkwxMnZGNXRjaVp3Yzk5Zz09</t>
        </is>
      </c>
      <c r="F49" t="n">
        <v>1</v>
      </c>
      <c r="G49" t="inlineStr">
        <is>
          <t>BG001</t>
        </is>
      </c>
      <c r="H49" t="inlineStr">
        <is>
          <t>14 Januari 2020</t>
        </is>
      </c>
      <c r="I49" s="2" t="n">
        <v>46327</v>
      </c>
      <c r="J49" t="inlineStr">
        <is>
          <t>Disetujui</t>
        </is>
      </c>
      <c r="K49" t="n">
        <v>60</v>
      </c>
      <c r="L49" t="inlineStr">
        <is>
          <t>1 November 2026</t>
        </is>
      </c>
      <c r="M49" t="inlineStr">
        <is>
          <t>Konstruksi Gedung Hunian</t>
        </is>
      </c>
      <c r="N49" t="inlineStr">
        <is>
          <t>K</t>
        </is>
      </c>
      <c r="O49" t="inlineStr">
        <is>
          <t>20231030</t>
        </is>
      </c>
      <c r="P49" t="inlineStr">
        <is>
          <t>Sulawesi Utara</t>
        </is>
      </c>
      <c r="Q49" t="inlineStr"/>
    </row>
    <row r="50">
      <c r="A50" t="inlineStr">
        <is>
          <t>GADING MAS</t>
        </is>
      </c>
      <c r="B50" t="inlineStr">
        <is>
          <t>Kota Medan</t>
        </is>
      </c>
      <c r="C50" t="inlineStr">
        <is>
          <t>085324042404</t>
        </is>
      </c>
      <c r="D50" t="inlineStr">
        <is>
          <t>gadingmas2016@gmail.com</t>
        </is>
      </c>
      <c r="E50" t="inlineStr">
        <is>
          <t>https://lpjk.pu.go.id/search-badan-usaha-detail/SFpOaXdkcy9oRHBONUZxaCtGUE9Ndz09</t>
        </is>
      </c>
      <c r="F50" t="n">
        <v>1</v>
      </c>
      <c r="G50" t="inlineStr">
        <is>
          <t>BS002</t>
        </is>
      </c>
      <c r="H50" t="inlineStr">
        <is>
          <t>9 Juni 2016</t>
        </is>
      </c>
      <c r="I50" s="2" t="n">
        <v>46327</v>
      </c>
      <c r="J50" t="inlineStr">
        <is>
          <t>Disetujui</t>
        </is>
      </c>
      <c r="K50" t="n">
        <v>60</v>
      </c>
      <c r="L50" t="inlineStr">
        <is>
          <t>1 November 2026</t>
        </is>
      </c>
      <c r="M50" t="inlineStr">
        <is>
          <t>Bangunan Sipil Jembatan, Jalan Layang, Fly Over, dan Underpass</t>
        </is>
      </c>
      <c r="N50" t="inlineStr">
        <is>
          <t>K</t>
        </is>
      </c>
      <c r="O50" t="inlineStr">
        <is>
          <t>20231101</t>
        </is>
      </c>
      <c r="P50" t="inlineStr">
        <is>
          <t>Sumatera Utara</t>
        </is>
      </c>
      <c r="Q50" t="inlineStr"/>
    </row>
    <row r="51">
      <c r="A51" t="inlineStr">
        <is>
          <t>GALUH MOTEKAR</t>
        </is>
      </c>
      <c r="B51" t="inlineStr">
        <is>
          <t>Kab. Ciamis</t>
        </is>
      </c>
      <c r="C51" t="inlineStr">
        <is>
          <t>082219008147</t>
        </is>
      </c>
      <c r="D51" t="inlineStr">
        <is>
          <t>galuhmotekarcv07@gmail.com</t>
        </is>
      </c>
      <c r="E51" t="inlineStr">
        <is>
          <t>https://lpjk.pu.go.id/search-badan-usaha-detail/bkRtSkZCck4vVzhBMituSU5iV3pmUT09</t>
        </is>
      </c>
      <c r="F51" t="n">
        <v>1</v>
      </c>
      <c r="G51" t="inlineStr">
        <is>
          <t>BS001</t>
        </is>
      </c>
      <c r="H51" t="inlineStr">
        <is>
          <t>19 Januari 2017</t>
        </is>
      </c>
      <c r="I51" s="2" t="n">
        <v>46327</v>
      </c>
      <c r="J51" t="inlineStr">
        <is>
          <t>Disetujui</t>
        </is>
      </c>
      <c r="K51" t="n">
        <v>60</v>
      </c>
      <c r="L51" t="inlineStr">
        <is>
          <t>1 November 2026</t>
        </is>
      </c>
      <c r="M51" t="inlineStr">
        <is>
          <t>Konstruksi Bangunan Sipil Jalan</t>
        </is>
      </c>
      <c r="N51" t="inlineStr">
        <is>
          <t>K</t>
        </is>
      </c>
      <c r="O51" t="inlineStr">
        <is>
          <t>20231101</t>
        </is>
      </c>
      <c r="P51" t="inlineStr">
        <is>
          <t>Jawa Barat</t>
        </is>
      </c>
      <c r="Q51" t="inlineStr"/>
    </row>
    <row r="52">
      <c r="A52" t="inlineStr">
        <is>
          <t>GAZALA SEJAHTERA MADANI</t>
        </is>
      </c>
      <c r="B52" t="inlineStr">
        <is>
          <t>Kab. Langkat</t>
        </is>
      </c>
      <c r="C52" t="inlineStr">
        <is>
          <t>085757774014</t>
        </is>
      </c>
      <c r="D52" t="inlineStr">
        <is>
          <t>gazalasejahteramadani@yahoo.com</t>
        </is>
      </c>
      <c r="E52" t="inlineStr">
        <is>
          <t>https://lpjk.pu.go.id/search-badan-usaha-detail/V2ZCQmpycUtRVVVVM0g1MWQzRDBQZz09</t>
        </is>
      </c>
      <c r="F52" t="n">
        <v>5</v>
      </c>
      <c r="G52" t="inlineStr">
        <is>
          <t>BG001, BG003, BG004, BG006, BG009</t>
        </is>
      </c>
      <c r="H52" t="inlineStr">
        <is>
          <t>22 Juni 2021</t>
        </is>
      </c>
      <c r="I52" s="2" t="n">
        <v>46327</v>
      </c>
      <c r="J52" t="inlineStr">
        <is>
          <t>Disetujui</t>
        </is>
      </c>
      <c r="K52" t="n">
        <v>60</v>
      </c>
      <c r="L52" t="inlineStr">
        <is>
          <t>1 November 2026</t>
        </is>
      </c>
      <c r="M52" t="inlineStr">
        <is>
          <t>Konstruksi Gedung Hunian, Konstruksi Gedung Industri, Konstruksi Gedung Lainnya, Konstruksi Gedung Pendidikan, Konstruksi Gedung Perbelanjaan</t>
        </is>
      </c>
      <c r="N52" t="inlineStr">
        <is>
          <t>K</t>
        </is>
      </c>
      <c r="O52" t="inlineStr">
        <is>
          <t>20231101</t>
        </is>
      </c>
      <c r="P52" t="inlineStr">
        <is>
          <t>Sumatera Utara</t>
        </is>
      </c>
      <c r="Q52" t="inlineStr"/>
    </row>
    <row r="53">
      <c r="A53" t="inlineStr">
        <is>
          <t>GEO ART SCIENCE</t>
        </is>
      </c>
      <c r="B53" t="inlineStr">
        <is>
          <t>Kab. Sleman</t>
        </is>
      </c>
      <c r="C53" t="inlineStr">
        <is>
          <t>085231596174</t>
        </is>
      </c>
      <c r="D53" t="inlineStr">
        <is>
          <t>geoartscience@gmail.com</t>
        </is>
      </c>
      <c r="E53" t="inlineStr">
        <is>
          <t>https://lpjk.pu.go.id/search-badan-usaha-detail/clpvelhFV2g3aWhBbWhqbytlQ3o3UT09</t>
        </is>
      </c>
      <c r="F53" t="n">
        <v>1</v>
      </c>
      <c r="G53" t="inlineStr">
        <is>
          <t>AL001</t>
        </is>
      </c>
      <c r="H53" t="inlineStr">
        <is>
          <t>8 September 2015</t>
        </is>
      </c>
      <c r="I53" s="2" t="n">
        <v>46327</v>
      </c>
      <c r="J53" t="inlineStr">
        <is>
          <t>Disetujui</t>
        </is>
      </c>
      <c r="K53" t="n">
        <v>60</v>
      </c>
      <c r="L53" t="inlineStr">
        <is>
          <t>1 November 2026</t>
        </is>
      </c>
      <c r="M53" t="inlineStr">
        <is>
          <t>Jasa Pengembangan Pemanfaatan Ruang</t>
        </is>
      </c>
      <c r="N53" t="inlineStr">
        <is>
          <t>K</t>
        </is>
      </c>
      <c r="O53" t="inlineStr">
        <is>
          <t>20231024</t>
        </is>
      </c>
      <c r="P53" t="inlineStr">
        <is>
          <t>DI Yogyakarta</t>
        </is>
      </c>
      <c r="Q53" t="inlineStr"/>
    </row>
    <row r="54">
      <c r="A54" t="inlineStr">
        <is>
          <t>GUNUNG TERANG ABADI</t>
        </is>
      </c>
      <c r="B54" t="inlineStr">
        <is>
          <t>Kab. Barito Selatan</t>
        </is>
      </c>
      <c r="C54" t="inlineStr">
        <is>
          <t>081248561088</t>
        </is>
      </c>
      <c r="D54" t="inlineStr">
        <is>
          <t>cv.gunungterangabadi@gmail.com</t>
        </is>
      </c>
      <c r="E54" t="inlineStr">
        <is>
          <t>https://lpjk.pu.go.id/search-badan-usaha-detail/MHg1dFFGRUErQUV5UHBLMytySDFiUT09</t>
        </is>
      </c>
      <c r="F54" t="n">
        <v>3</v>
      </c>
      <c r="G54" t="inlineStr">
        <is>
          <t>BG002, BG006, BG009</t>
        </is>
      </c>
      <c r="H54" t="inlineStr">
        <is>
          <t>29 September 2023</t>
        </is>
      </c>
      <c r="I54" s="2" t="n">
        <v>46327</v>
      </c>
      <c r="J54" t="inlineStr">
        <is>
          <t>Disetujui</t>
        </is>
      </c>
      <c r="K54" t="n">
        <v>60</v>
      </c>
      <c r="L54" t="inlineStr">
        <is>
          <t>1 November 2026</t>
        </is>
      </c>
      <c r="M54" t="inlineStr">
        <is>
          <t>Konstruksi Gedung Lainnya, Konstruksi Gedung Pendidikan, Konstruksi Gedung Perkantoran</t>
        </is>
      </c>
      <c r="N54" t="inlineStr">
        <is>
          <t>K</t>
        </is>
      </c>
      <c r="O54" t="inlineStr">
        <is>
          <t>20231101</t>
        </is>
      </c>
      <c r="P54" t="inlineStr">
        <is>
          <t>Kalimantan Tengah</t>
        </is>
      </c>
      <c r="Q54" t="inlineStr"/>
    </row>
    <row r="55">
      <c r="A55" t="inlineStr">
        <is>
          <t>HADI KARYA WISESA</t>
        </is>
      </c>
      <c r="B55" t="inlineStr">
        <is>
          <t>Kab. Karawang</t>
        </is>
      </c>
      <c r="C55" t="inlineStr">
        <is>
          <t>081584484778</t>
        </is>
      </c>
      <c r="D55" t="inlineStr">
        <is>
          <t>cv.hadikarya123@gmail.com</t>
        </is>
      </c>
      <c r="E55" t="inlineStr">
        <is>
          <t>https://lpjk.pu.go.id/search-badan-usaha-detail/TlJ3SW9QdVAvejl3Q2RRdUxkZzlZdz09</t>
        </is>
      </c>
      <c r="F55" t="n">
        <v>1</v>
      </c>
      <c r="G55" t="inlineStr">
        <is>
          <t>BG001</t>
        </is>
      </c>
      <c r="H55" t="inlineStr">
        <is>
          <t>25 Januari 2016</t>
        </is>
      </c>
      <c r="I55" s="2" t="n">
        <v>46327</v>
      </c>
      <c r="J55" t="inlineStr">
        <is>
          <t>Disetujui</t>
        </is>
      </c>
      <c r="K55" t="n">
        <v>60</v>
      </c>
      <c r="L55" t="inlineStr">
        <is>
          <t>1 November 2026</t>
        </is>
      </c>
      <c r="M55" t="inlineStr">
        <is>
          <t>Konstruksi Gedung Hunian</t>
        </is>
      </c>
      <c r="N55" t="inlineStr">
        <is>
          <t>K</t>
        </is>
      </c>
      <c r="O55" t="inlineStr">
        <is>
          <t>20231101</t>
        </is>
      </c>
      <c r="P55" t="inlineStr">
        <is>
          <t>Jawa Barat</t>
        </is>
      </c>
      <c r="Q55" t="inlineStr"/>
    </row>
    <row r="56">
      <c r="A56" t="inlineStr">
        <is>
          <t>HASANA MITRA UTAMA</t>
        </is>
      </c>
      <c r="B56" t="inlineStr">
        <is>
          <t>Kota Adm. Jakarta Utara</t>
        </is>
      </c>
      <c r="C56" t="inlineStr">
        <is>
          <t>02193376336</t>
        </is>
      </c>
      <c r="D56" t="inlineStr">
        <is>
          <t>hamu2017@yahoo.com</t>
        </is>
      </c>
      <c r="E56" t="inlineStr">
        <is>
          <t>https://lpjk.pu.go.id/search-badan-usaha-detail/NFg2dEpxYTNQTURwYXltWE94QzliQT09</t>
        </is>
      </c>
      <c r="F56" t="n">
        <v>2</v>
      </c>
      <c r="G56" t="inlineStr">
        <is>
          <t>BG001, BG002</t>
        </is>
      </c>
      <c r="H56" t="inlineStr">
        <is>
          <t>23 Mei 2014</t>
        </is>
      </c>
      <c r="I56" s="2" t="n">
        <v>46327</v>
      </c>
      <c r="J56" t="inlineStr">
        <is>
          <t>Disetujui</t>
        </is>
      </c>
      <c r="K56" t="n">
        <v>60</v>
      </c>
      <c r="L56" t="inlineStr">
        <is>
          <t>1 November 2026</t>
        </is>
      </c>
      <c r="M56" t="inlineStr">
        <is>
          <t>Konstruksi Gedung Hunian, Konstruksi Gedung Perkantoran</t>
        </is>
      </c>
      <c r="N56" t="inlineStr">
        <is>
          <t>K</t>
        </is>
      </c>
      <c r="O56" t="inlineStr">
        <is>
          <t>20231030</t>
        </is>
      </c>
      <c r="P56" t="inlineStr">
        <is>
          <t>DKI Jakarta</t>
        </is>
      </c>
      <c r="Q56" t="inlineStr"/>
    </row>
    <row r="57">
      <c r="A57" t="inlineStr">
        <is>
          <t>HERA JAYA CONSULTANT</t>
        </is>
      </c>
      <c r="B57" t="inlineStr">
        <is>
          <t>Kota Pontianak</t>
        </is>
      </c>
      <c r="C57" t="inlineStr">
        <is>
          <t>082154314952</t>
        </is>
      </c>
      <c r="D57" t="inlineStr">
        <is>
          <t>eendra_17@yahoo.com</t>
        </is>
      </c>
      <c r="E57" t="inlineStr">
        <is>
          <t>https://lpjk.pu.go.id/search-badan-usaha-detail/YzEvaElzd1d0N1EvM2NIcVFiM3FZdUJIQ0Q5QUQwTWx1dDNpajhCa1I1QT0</t>
        </is>
      </c>
      <c r="F57" t="n">
        <v>2</v>
      </c>
      <c r="G57" t="inlineStr">
        <is>
          <t>RK001</t>
        </is>
      </c>
      <c r="H57" t="inlineStr">
        <is>
          <t>11 Januari 2022</t>
        </is>
      </c>
      <c r="I57" s="2" t="n">
        <v>46327</v>
      </c>
      <c r="J57" t="inlineStr">
        <is>
          <t>Disetujui</t>
        </is>
      </c>
      <c r="K57" t="n">
        <v>60</v>
      </c>
      <c r="L57" t="inlineStr">
        <is>
          <t>1 November 2026</t>
        </is>
      </c>
      <c r="M57" t="inlineStr">
        <is>
          <t>Jasa Rekayasa Konstruksi Bangunan Gedung Hunian dan Non Hunian</t>
        </is>
      </c>
      <c r="N57" t="inlineStr">
        <is>
          <t>K</t>
        </is>
      </c>
      <c r="O57" t="inlineStr">
        <is>
          <t>20231026</t>
        </is>
      </c>
      <c r="P57" t="inlineStr">
        <is>
          <t>Kalimantan Barat</t>
        </is>
      </c>
      <c r="Q57" t="inlineStr"/>
    </row>
    <row r="58">
      <c r="A58" t="inlineStr">
        <is>
          <t>HERANANDA SURYA PRATAMA</t>
        </is>
      </c>
      <c r="B58" t="inlineStr">
        <is>
          <t>Kota Samarinda</t>
        </is>
      </c>
      <c r="C58" t="inlineStr">
        <is>
          <t>081258380790</t>
        </is>
      </c>
      <c r="D58" t="inlineStr">
        <is>
          <t>heranandasuryapratamasmd@gmail.com</t>
        </is>
      </c>
      <c r="E58" t="inlineStr">
        <is>
          <t>https://lpjk.pu.go.id/search-badan-usaha-detail/RUcxakY3UjZpK3hub1g4UXVDbUc1UT09</t>
        </is>
      </c>
      <c r="F58" t="n">
        <v>2</v>
      </c>
      <c r="G58" t="inlineStr">
        <is>
          <t>BS002</t>
        </is>
      </c>
      <c r="H58" t="inlineStr">
        <is>
          <t>6 April 2017</t>
        </is>
      </c>
      <c r="I58" s="2" t="n">
        <v>46327</v>
      </c>
      <c r="J58" t="inlineStr">
        <is>
          <t>Pencabutan</t>
        </is>
      </c>
      <c r="K58" t="n">
        <v>60</v>
      </c>
      <c r="L58" t="inlineStr">
        <is>
          <t>1 November 2026</t>
        </is>
      </c>
      <c r="M58" t="inlineStr">
        <is>
          <t>Bangunan Sipil Jembatan, Jalan Layang, Fly Over, dan Underpass</t>
        </is>
      </c>
      <c r="N58" t="inlineStr">
        <is>
          <t>K</t>
        </is>
      </c>
      <c r="O58" t="inlineStr">
        <is>
          <t>20231101</t>
        </is>
      </c>
      <c r="P58" t="inlineStr">
        <is>
          <t>Kalimantan Timur</t>
        </is>
      </c>
      <c r="Q58" t="inlineStr"/>
    </row>
    <row r="59">
      <c r="A59" t="inlineStr">
        <is>
          <t>INDAH LESTARI</t>
        </is>
      </c>
      <c r="B59" t="inlineStr">
        <is>
          <t>Kab. Langkat</t>
        </is>
      </c>
      <c r="C59" t="inlineStr">
        <is>
          <t>08126363624</t>
        </is>
      </c>
      <c r="D59" t="inlineStr">
        <is>
          <t>CV.INDAHLESTARI@GMAIL.COM</t>
        </is>
      </c>
      <c r="E59" t="inlineStr">
        <is>
          <t>https://lpjk.pu.go.id/search-badan-usaha-detail/Y2NpenRMOWdMblZ1bWxkMmtVOGFvZz09</t>
        </is>
      </c>
      <c r="F59" t="n">
        <v>2</v>
      </c>
      <c r="G59" t="inlineStr">
        <is>
          <t>BG006, BG009</t>
        </is>
      </c>
      <c r="H59" t="inlineStr">
        <is>
          <t>19 Januari 2016</t>
        </is>
      </c>
      <c r="I59" s="2" t="n">
        <v>46327</v>
      </c>
      <c r="J59" t="inlineStr">
        <is>
          <t>Disetujui</t>
        </is>
      </c>
      <c r="K59" t="n">
        <v>60</v>
      </c>
      <c r="L59" t="inlineStr">
        <is>
          <t>1 November 2026</t>
        </is>
      </c>
      <c r="M59" t="inlineStr">
        <is>
          <t>Konstruksi Gedung Lainnya, Konstruksi Gedung Pendidikan</t>
        </is>
      </c>
      <c r="N59" t="inlineStr">
        <is>
          <t>K</t>
        </is>
      </c>
      <c r="O59" t="inlineStr">
        <is>
          <t>20231102</t>
        </is>
      </c>
      <c r="P59" t="inlineStr">
        <is>
          <t>Sumatera Utara</t>
        </is>
      </c>
      <c r="Q59" t="inlineStr"/>
    </row>
    <row r="60">
      <c r="A60" t="inlineStr">
        <is>
          <t>INTAN MAHKOTA BORNEO</t>
        </is>
      </c>
      <c r="B60" t="inlineStr">
        <is>
          <t>Kab. Tanjung Jabung Barat</t>
        </is>
      </c>
      <c r="C60" t="inlineStr">
        <is>
          <t>081379432289</t>
        </is>
      </c>
      <c r="D60" t="inlineStr">
        <is>
          <t>intanmahkotaborneo@gmail.com</t>
        </is>
      </c>
      <c r="E60" t="inlineStr">
        <is>
          <t>https://lpjk.pu.go.id/search-badan-usaha-detail/Qm96eFYxVGhGVnJqN0YxaXRjVUdiZz09</t>
        </is>
      </c>
      <c r="F60" t="n">
        <v>1</v>
      </c>
      <c r="G60" t="inlineStr">
        <is>
          <t>BG006</t>
        </is>
      </c>
      <c r="H60" t="inlineStr">
        <is>
          <t>26 Mei 2023</t>
        </is>
      </c>
      <c r="I60" s="2" t="n">
        <v>46327</v>
      </c>
      <c r="J60" t="inlineStr">
        <is>
          <t>Disetujui</t>
        </is>
      </c>
      <c r="K60" t="n">
        <v>60</v>
      </c>
      <c r="L60" t="inlineStr">
        <is>
          <t>1 November 2026</t>
        </is>
      </c>
      <c r="M60" t="inlineStr">
        <is>
          <t>Konstruksi Gedung Pendidikan</t>
        </is>
      </c>
      <c r="N60" t="inlineStr">
        <is>
          <t>K</t>
        </is>
      </c>
      <c r="O60" t="inlineStr">
        <is>
          <t>20231102</t>
        </is>
      </c>
      <c r="P60" t="inlineStr">
        <is>
          <t>Jambi</t>
        </is>
      </c>
      <c r="Q60" t="inlineStr"/>
    </row>
    <row r="61">
      <c r="A61" t="inlineStr">
        <is>
          <t>JANUR EMAS</t>
        </is>
      </c>
      <c r="B61" t="inlineStr">
        <is>
          <t>Kota Mataram</t>
        </is>
      </c>
      <c r="C61" t="inlineStr">
        <is>
          <t>081933142261</t>
        </is>
      </c>
      <c r="D61" t="inlineStr">
        <is>
          <t>jayawiro75@gmail.com</t>
        </is>
      </c>
      <c r="E61" t="inlineStr">
        <is>
          <t>https://lpjk.pu.go.id/search-badan-usaha-detail/QkViLzZzaDhtSnhQZW9WbWhSNTg5SG5UNFdpOU5SS2FzR0lva0R6c3lmdz0</t>
        </is>
      </c>
      <c r="F61" t="n">
        <v>2</v>
      </c>
      <c r="G61" t="inlineStr">
        <is>
          <t>BS001, BS004</t>
        </is>
      </c>
      <c r="H61" t="inlineStr">
        <is>
          <t>29 Agustus 2025</t>
        </is>
      </c>
      <c r="I61" s="2" t="n">
        <v>46327</v>
      </c>
      <c r="J61" t="inlineStr">
        <is>
          <t>Disetujui</t>
        </is>
      </c>
      <c r="K61" t="n">
        <v>60</v>
      </c>
      <c r="L61" t="inlineStr">
        <is>
          <t>1 November 2026</t>
        </is>
      </c>
      <c r="M61" t="inlineStr">
        <is>
          <t>Konstruksi Bangunan Sipil Jalan, Konstruksi Jaringan Irigasi dan Drainase</t>
        </is>
      </c>
      <c r="N61" t="inlineStr">
        <is>
          <t>K</t>
        </is>
      </c>
      <c r="O61" t="inlineStr">
        <is>
          <t>20231102</t>
        </is>
      </c>
      <c r="P61" t="inlineStr">
        <is>
          <t>Nusa Tenggara Barat</t>
        </is>
      </c>
      <c r="Q61" t="inlineStr"/>
    </row>
    <row r="62">
      <c r="A62" t="inlineStr">
        <is>
          <t>JATI MANDIRI</t>
        </is>
      </c>
      <c r="B62" t="inlineStr">
        <is>
          <t>Kota Bandung</t>
        </is>
      </c>
      <c r="C62" t="inlineStr">
        <is>
          <t>087778633634</t>
        </is>
      </c>
      <c r="D62" t="inlineStr">
        <is>
          <t>jatimandiri608@gmail.com</t>
        </is>
      </c>
      <c r="E62" t="inlineStr">
        <is>
          <t>https://lpjk.pu.go.id/search-badan-usaha-detail/RENTTmJlT3VnL2RGMUR4b2VlVGZudz09</t>
        </is>
      </c>
      <c r="F62" t="n">
        <v>1</v>
      </c>
      <c r="G62" t="inlineStr">
        <is>
          <t>BS001</t>
        </is>
      </c>
      <c r="H62" t="inlineStr">
        <is>
          <t>14 Januari 2004</t>
        </is>
      </c>
      <c r="I62" s="2" t="n">
        <v>46327</v>
      </c>
      <c r="J62" t="inlineStr">
        <is>
          <t>Disetujui</t>
        </is>
      </c>
      <c r="K62" t="n">
        <v>60</v>
      </c>
      <c r="L62" t="inlineStr">
        <is>
          <t>1 November 2026</t>
        </is>
      </c>
      <c r="M62" t="inlineStr">
        <is>
          <t>Konstruksi Bangunan Sipil Jalan</t>
        </is>
      </c>
      <c r="N62" t="inlineStr">
        <is>
          <t>K</t>
        </is>
      </c>
      <c r="O62" t="inlineStr">
        <is>
          <t>20231031</t>
        </is>
      </c>
      <c r="P62" t="inlineStr">
        <is>
          <t>Jawa Barat</t>
        </is>
      </c>
      <c r="Q62" t="inlineStr"/>
    </row>
    <row r="63">
      <c r="A63" t="inlineStr">
        <is>
          <t>JAYANARO ABADI</t>
        </is>
      </c>
      <c r="B63" t="inlineStr">
        <is>
          <t>Kota Batam</t>
        </is>
      </c>
      <c r="C63" t="inlineStr">
        <is>
          <t>0812 7094 7556</t>
        </is>
      </c>
      <c r="D63" t="inlineStr">
        <is>
          <t>jayanaroabadi.cv@yahoo.com</t>
        </is>
      </c>
      <c r="E63" t="inlineStr">
        <is>
          <t>https://lpjk.pu.go.id/search-badan-usaha-detail/aGtuRGUxYTZjaWswQzJMWlFzeHhzdz09</t>
        </is>
      </c>
      <c r="F63" t="n">
        <v>1</v>
      </c>
      <c r="G63" t="inlineStr">
        <is>
          <t>BS001</t>
        </is>
      </c>
      <c r="H63" t="inlineStr">
        <is>
          <t>18 Februari 2017</t>
        </is>
      </c>
      <c r="I63" s="2" t="n">
        <v>46327</v>
      </c>
      <c r="J63" t="inlineStr">
        <is>
          <t>Disetujui</t>
        </is>
      </c>
      <c r="K63" t="n">
        <v>60</v>
      </c>
      <c r="L63" t="inlineStr">
        <is>
          <t>1 November 2026</t>
        </is>
      </c>
      <c r="M63" t="inlineStr">
        <is>
          <t>Konstruksi Bangunan Sipil Jalan</t>
        </is>
      </c>
      <c r="N63" t="inlineStr">
        <is>
          <t>K</t>
        </is>
      </c>
      <c r="O63" t="inlineStr">
        <is>
          <t>20231023</t>
        </is>
      </c>
      <c r="P63" t="inlineStr">
        <is>
          <t>Kepulauan Riau</t>
        </is>
      </c>
      <c r="Q63" t="inlineStr"/>
    </row>
    <row r="64">
      <c r="A64" t="inlineStr">
        <is>
          <t>KAMPUNG SUKUN</t>
        </is>
      </c>
      <c r="B64" t="inlineStr">
        <is>
          <t>Kab. Banyuwangi</t>
        </is>
      </c>
      <c r="C64" t="inlineStr">
        <is>
          <t>087851525168</t>
        </is>
      </c>
      <c r="D64" t="inlineStr">
        <is>
          <t>kampungsukun@proton.me</t>
        </is>
      </c>
      <c r="E64" t="inlineStr">
        <is>
          <t>https://lpjk.pu.go.id/search-badan-usaha-detail/NXJrQ3RlWjlXak9QenpaOVlYU3RXdz09</t>
        </is>
      </c>
      <c r="F64" t="n">
        <v>1</v>
      </c>
      <c r="G64" t="inlineStr">
        <is>
          <t>BS001</t>
        </is>
      </c>
      <c r="H64" t="inlineStr">
        <is>
          <t>26 Oktober 2022</t>
        </is>
      </c>
      <c r="I64" s="2" t="n">
        <v>46327</v>
      </c>
      <c r="J64" t="inlineStr">
        <is>
          <t>Disetujui</t>
        </is>
      </c>
      <c r="K64" t="n">
        <v>60</v>
      </c>
      <c r="L64" t="inlineStr">
        <is>
          <t>1 November 2026</t>
        </is>
      </c>
      <c r="M64" t="inlineStr">
        <is>
          <t>Konstruksi Bangunan Sipil Jalan</t>
        </is>
      </c>
      <c r="N64" t="inlineStr">
        <is>
          <t>K</t>
        </is>
      </c>
      <c r="O64" t="inlineStr">
        <is>
          <t>20231031</t>
        </is>
      </c>
      <c r="P64" t="inlineStr">
        <is>
          <t>Jawa Timur</t>
        </is>
      </c>
      <c r="Q64" t="inlineStr"/>
    </row>
    <row r="65">
      <c r="A65" t="inlineStr">
        <is>
          <t>KARYA BERSAMA NUSANTARA</t>
        </is>
      </c>
      <c r="B65" t="inlineStr">
        <is>
          <t>Kota Banjarmasin</t>
        </is>
      </c>
      <c r="C65" t="inlineStr">
        <is>
          <t>05114315017</t>
        </is>
      </c>
      <c r="D65" t="inlineStr">
        <is>
          <t>cv.kbn_bjm@yahoo.ccom</t>
        </is>
      </c>
      <c r="E65" t="inlineStr">
        <is>
          <t>https://lpjk.pu.go.id/search-badan-usaha-detail/SldRYjZwaXpOYWtCZ2Z3NGp5RUhCZz09</t>
        </is>
      </c>
      <c r="F65" t="n">
        <v>1</v>
      </c>
      <c r="G65" t="inlineStr">
        <is>
          <t>BS004</t>
        </is>
      </c>
      <c r="H65" t="inlineStr">
        <is>
          <t>28 Februari 1995</t>
        </is>
      </c>
      <c r="I65" s="2" t="n">
        <v>46327</v>
      </c>
      <c r="J65" t="inlineStr">
        <is>
          <t>Disetujui</t>
        </is>
      </c>
      <c r="K65" t="n">
        <v>60</v>
      </c>
      <c r="L65" t="inlineStr">
        <is>
          <t>1 November 2026</t>
        </is>
      </c>
      <c r="M65" t="inlineStr">
        <is>
          <t>Konstruksi Jaringan Irigasi dan Drainase</t>
        </is>
      </c>
      <c r="N65" t="inlineStr">
        <is>
          <t>K</t>
        </is>
      </c>
      <c r="O65" t="inlineStr">
        <is>
          <t>20231101</t>
        </is>
      </c>
      <c r="P65" t="inlineStr">
        <is>
          <t>Kalimantan Selatan</t>
        </is>
      </c>
      <c r="Q65" t="inlineStr"/>
    </row>
    <row r="66">
      <c r="A66" t="inlineStr">
        <is>
          <t>KARYA MANDIRI</t>
        </is>
      </c>
      <c r="B66" t="inlineStr">
        <is>
          <t>Kab. Magetan</t>
        </is>
      </c>
      <c r="C66" t="inlineStr">
        <is>
          <t>082211222175</t>
        </is>
      </c>
      <c r="D66" t="inlineStr">
        <is>
          <t>mandirikarya155@gmail.com</t>
        </is>
      </c>
      <c r="E66" t="inlineStr">
        <is>
          <t>https://lpjk.pu.go.id/search-badan-usaha-detail/THZxYTIzS29ya3pyZHViSWhqam1Fdz09</t>
        </is>
      </c>
      <c r="F66" t="n">
        <v>1</v>
      </c>
      <c r="G66" t="inlineStr">
        <is>
          <t>BS004</t>
        </is>
      </c>
      <c r="H66" t="inlineStr">
        <is>
          <t>11 April 2008</t>
        </is>
      </c>
      <c r="I66" s="2" t="n">
        <v>46327</v>
      </c>
      <c r="J66" t="inlineStr">
        <is>
          <t>Disetujui</t>
        </is>
      </c>
      <c r="K66" t="n">
        <v>60</v>
      </c>
      <c r="L66" t="inlineStr">
        <is>
          <t>1 November 2026</t>
        </is>
      </c>
      <c r="M66" t="inlineStr">
        <is>
          <t>Konstruksi Jaringan Irigasi dan Drainase</t>
        </is>
      </c>
      <c r="N66" t="inlineStr">
        <is>
          <t>K</t>
        </is>
      </c>
      <c r="O66" t="inlineStr">
        <is>
          <t>20231029</t>
        </is>
      </c>
      <c r="P66" t="inlineStr">
        <is>
          <t>Jawa Timur</t>
        </is>
      </c>
      <c r="Q66" t="inlineStr"/>
    </row>
    <row r="67">
      <c r="A67" t="inlineStr">
        <is>
          <t>KARYA MUCHVI PERSADA</t>
        </is>
      </c>
      <c r="B67" t="inlineStr">
        <is>
          <t>Kota Makassar</t>
        </is>
      </c>
      <c r="C67" t="inlineStr">
        <is>
          <t>0411319174</t>
        </is>
      </c>
      <c r="D67" t="inlineStr">
        <is>
          <t>vetran269@gmail.com</t>
        </is>
      </c>
      <c r="E67" t="inlineStr">
        <is>
          <t>https://lpjk.pu.go.id/search-badan-usaha-detail/dkdMSmtuVHFTT0NRZ0xSMEpVVWQxZz09</t>
        </is>
      </c>
      <c r="F67" t="n">
        <v>3</v>
      </c>
      <c r="G67" t="inlineStr">
        <is>
          <t>BG001, BG006, BG009</t>
        </is>
      </c>
      <c r="H67" t="inlineStr">
        <is>
          <t>17 Januari 2001</t>
        </is>
      </c>
      <c r="I67" s="2" t="n">
        <v>46327</v>
      </c>
      <c r="J67" t="inlineStr">
        <is>
          <t>Disetujui</t>
        </is>
      </c>
      <c r="K67" t="n">
        <v>60</v>
      </c>
      <c r="L67" t="inlineStr">
        <is>
          <t>1 November 2026</t>
        </is>
      </c>
      <c r="M67" t="inlineStr">
        <is>
          <t>Konstruksi Gedung Hunian, Konstruksi Gedung Lainnya, Konstruksi Gedung Pendidikan</t>
        </is>
      </c>
      <c r="N67" t="inlineStr">
        <is>
          <t>K</t>
        </is>
      </c>
      <c r="O67" t="inlineStr">
        <is>
          <t>20231031</t>
        </is>
      </c>
      <c r="P67" t="inlineStr">
        <is>
          <t>Sulawesi Selatan</t>
        </is>
      </c>
      <c r="Q67" t="inlineStr"/>
    </row>
    <row r="68">
      <c r="A68" t="inlineStr">
        <is>
          <t>KARYA RUATA</t>
        </is>
      </c>
      <c r="B68" t="inlineStr">
        <is>
          <t>Kota Ambon</t>
        </is>
      </c>
      <c r="C68" t="inlineStr">
        <is>
          <t>0811477576</t>
        </is>
      </c>
      <c r="D68" t="inlineStr">
        <is>
          <t>karyaruatapt@yahoo.co.id</t>
        </is>
      </c>
      <c r="E68" t="inlineStr">
        <is>
          <t>https://lpjk.pu.go.id/search-badan-usaha-detail/VzEzZ0psUzJtNVZxZWNER3l6L2M3dz09</t>
        </is>
      </c>
      <c r="F68" t="n">
        <v>1</v>
      </c>
      <c r="G68" t="inlineStr">
        <is>
          <t>BS009</t>
        </is>
      </c>
      <c r="H68" t="inlineStr">
        <is>
          <t>7 November 2007</t>
        </is>
      </c>
      <c r="I68" s="2" t="n">
        <v>46327</v>
      </c>
      <c r="J68" t="inlineStr">
        <is>
          <t>Pencabutan</t>
        </is>
      </c>
      <c r="K68" t="n">
        <v>60</v>
      </c>
      <c r="L68" t="inlineStr">
        <is>
          <t>1 November 2026</t>
        </is>
      </c>
      <c r="M68" t="inlineStr">
        <is>
          <t>Konstruksi Sentral Telekomunikasi</t>
        </is>
      </c>
      <c r="N68" t="inlineStr">
        <is>
          <t>K</t>
        </is>
      </c>
      <c r="O68" t="inlineStr">
        <is>
          <t>20231031</t>
        </is>
      </c>
      <c r="P68" t="inlineStr">
        <is>
          <t>Maluku</t>
        </is>
      </c>
      <c r="Q68" t="inlineStr"/>
    </row>
    <row r="69">
      <c r="A69" t="inlineStr">
        <is>
          <t>KARYA VISIONER CONSULTANT</t>
        </is>
      </c>
      <c r="B69" t="inlineStr">
        <is>
          <t>Kab. Gayo Lues</t>
        </is>
      </c>
      <c r="C69" t="inlineStr">
        <is>
          <t>082366555697</t>
        </is>
      </c>
      <c r="D69" t="inlineStr">
        <is>
          <t>karyavisionerconsultant@gmail.com</t>
        </is>
      </c>
      <c r="E69" t="inlineStr">
        <is>
          <t>https://lpjk.pu.go.id/search-badan-usaha-detail/UnpXcmJteUdlVURTdDdOWjBMU3hDQT09</t>
        </is>
      </c>
      <c r="F69" t="n">
        <v>2</v>
      </c>
      <c r="G69" t="inlineStr">
        <is>
          <t>RK001, RK002</t>
        </is>
      </c>
      <c r="H69" t="inlineStr">
        <is>
          <t>8 Desember 2016</t>
        </is>
      </c>
      <c r="I69" s="2" t="n">
        <v>46327</v>
      </c>
      <c r="J69" t="inlineStr">
        <is>
          <t>Disetujui</t>
        </is>
      </c>
      <c r="K69" t="n">
        <v>60</v>
      </c>
      <c r="L69" t="inlineStr">
        <is>
          <t>1 November 2026</t>
        </is>
      </c>
      <c r="M69" t="inlineStr">
        <is>
          <t>Jasa Rekayasa Konstruksi Bangunan Gedung Hunian dan Non Hunian, Jasa Rekayasa Pekerjaan Teknik Sipil Sumber Daya Air</t>
        </is>
      </c>
      <c r="N69" t="inlineStr">
        <is>
          <t>K</t>
        </is>
      </c>
      <c r="O69" t="inlineStr">
        <is>
          <t>20231020</t>
        </is>
      </c>
      <c r="P69" t="inlineStr">
        <is>
          <t>Aceh</t>
        </is>
      </c>
      <c r="Q69" t="inlineStr"/>
    </row>
    <row r="70">
      <c r="A70" t="inlineStr">
        <is>
          <t>KARYASINDO MULTIKREASI UTAMA</t>
        </is>
      </c>
      <c r="B70" t="inlineStr">
        <is>
          <t>Kota Adm. Jakarta Pusat</t>
        </is>
      </c>
      <c r="C70" t="inlineStr">
        <is>
          <t>087782233996</t>
        </is>
      </c>
      <c r="D70" t="inlineStr">
        <is>
          <t>pt.karyasindomultikreasiu@gmail.com</t>
        </is>
      </c>
      <c r="E70" t="inlineStr">
        <is>
          <t>https://lpjk.pu.go.id/search-badan-usaha-detail/UnRaNVkwSjVka1BNRmQ5Mlo0dTNZdz09</t>
        </is>
      </c>
      <c r="F70" t="n">
        <v>4</v>
      </c>
      <c r="G70" t="inlineStr">
        <is>
          <t>BG001, BG003, BG009, BS001</t>
        </is>
      </c>
      <c r="H70" t="inlineStr">
        <is>
          <t>6 Januari 2021</t>
        </is>
      </c>
      <c r="I70" s="2" t="n">
        <v>46327</v>
      </c>
      <c r="J70" t="inlineStr">
        <is>
          <t>Disetujui</t>
        </is>
      </c>
      <c r="K70" t="n">
        <v>60</v>
      </c>
      <c r="L70" t="inlineStr">
        <is>
          <t>1 November 2026</t>
        </is>
      </c>
      <c r="M70" t="inlineStr">
        <is>
          <t>Konstruksi Bangunan Sipil Jalan, Konstruksi Gedung Hunian, Konstruksi Gedung Industri, Konstruksi Gedung Lainnya</t>
        </is>
      </c>
      <c r="N70" t="inlineStr">
        <is>
          <t>K</t>
        </is>
      </c>
      <c r="O70" t="inlineStr">
        <is>
          <t>20231018, 20231031</t>
        </is>
      </c>
      <c r="P70" t="inlineStr">
        <is>
          <t>DKI Jakarta</t>
        </is>
      </c>
      <c r="Q70" t="inlineStr"/>
    </row>
    <row r="71">
      <c r="A71" t="inlineStr">
        <is>
          <t>KMJ MANDIRI</t>
        </is>
      </c>
      <c r="B71" t="inlineStr">
        <is>
          <t>Kab. Garut</t>
        </is>
      </c>
      <c r="C71" t="inlineStr">
        <is>
          <t>085559485026</t>
        </is>
      </c>
      <c r="D71" t="inlineStr">
        <is>
          <t>cvkmjmandiri@gmail.com</t>
        </is>
      </c>
      <c r="E71" t="inlineStr">
        <is>
          <t>https://lpjk.pu.go.id/search-badan-usaha-detail/NjVIMmRWMnlETUIzRU5QU2dmTzJwQT09</t>
        </is>
      </c>
      <c r="F71" t="n">
        <v>1</v>
      </c>
      <c r="G71" t="inlineStr">
        <is>
          <t>BS004</t>
        </is>
      </c>
      <c r="H71" t="inlineStr">
        <is>
          <t>10 Januari 2020</t>
        </is>
      </c>
      <c r="I71" s="2" t="n">
        <v>46327</v>
      </c>
      <c r="J71" t="inlineStr">
        <is>
          <t>Disetujui</t>
        </is>
      </c>
      <c r="K71" t="n">
        <v>60</v>
      </c>
      <c r="L71" t="inlineStr">
        <is>
          <t>1 November 2026</t>
        </is>
      </c>
      <c r="M71" t="inlineStr">
        <is>
          <t>Konstruksi Jaringan Irigasi dan Drainase</t>
        </is>
      </c>
      <c r="N71" t="inlineStr">
        <is>
          <t>K</t>
        </is>
      </c>
      <c r="O71" t="inlineStr">
        <is>
          <t>20231101</t>
        </is>
      </c>
      <c r="P71" t="inlineStr">
        <is>
          <t>Jawa Barat</t>
        </is>
      </c>
      <c r="Q71" t="inlineStr"/>
    </row>
    <row r="72">
      <c r="A72" t="inlineStr">
        <is>
          <t>KUTA BATU</t>
        </is>
      </c>
      <c r="B72" t="inlineStr">
        <is>
          <t>Kab. Kotawaringin Barat</t>
        </is>
      </c>
      <c r="C72" t="inlineStr">
        <is>
          <t>08124878562</t>
        </is>
      </c>
      <c r="D72" t="inlineStr">
        <is>
          <t>kutabatu@yahoo.co.id</t>
        </is>
      </c>
      <c r="E72" t="inlineStr">
        <is>
          <t>https://lpjk.pu.go.id/search-badan-usaha-detail/QS8yb1MwSlZ2QnlhUC8zbksyVURBZz09</t>
        </is>
      </c>
      <c r="F72" t="n">
        <v>1</v>
      </c>
      <c r="G72" t="inlineStr">
        <is>
          <t>BG002</t>
        </is>
      </c>
      <c r="H72" t="inlineStr">
        <is>
          <t>16 November 2005</t>
        </is>
      </c>
      <c r="I72" s="2" t="n">
        <v>46327</v>
      </c>
      <c r="J72" t="inlineStr">
        <is>
          <t>Disetujui</t>
        </is>
      </c>
      <c r="K72" t="n">
        <v>60</v>
      </c>
      <c r="L72" t="inlineStr">
        <is>
          <t>1 November 2026</t>
        </is>
      </c>
      <c r="M72" t="inlineStr">
        <is>
          <t>Konstruksi Gedung Perkantoran</t>
        </is>
      </c>
      <c r="N72" t="inlineStr">
        <is>
          <t>K</t>
        </is>
      </c>
      <c r="O72" t="inlineStr">
        <is>
          <t>20231031</t>
        </is>
      </c>
      <c r="P72" t="inlineStr">
        <is>
          <t>Kalimantan Tengah</t>
        </is>
      </c>
      <c r="Q72" t="inlineStr"/>
    </row>
    <row r="73">
      <c r="A73" t="inlineStr">
        <is>
          <t>MAJU JAYA</t>
        </is>
      </c>
      <c r="B73" t="inlineStr">
        <is>
          <t>Kota Medan</t>
        </is>
      </c>
      <c r="C73" t="inlineStr">
        <is>
          <t>081264787782</t>
        </is>
      </c>
      <c r="D73" t="inlineStr">
        <is>
          <t>cv.majujaya56@gmail.com</t>
        </is>
      </c>
      <c r="E73" t="inlineStr">
        <is>
          <t>https://lpjk.pu.go.id/search-badan-usaha-detail/bWJDdHpxbTZpa0p3bVJweWltbTNOQT09</t>
        </is>
      </c>
      <c r="F73" t="n">
        <v>1</v>
      </c>
      <c r="G73" t="inlineStr">
        <is>
          <t>IN007</t>
        </is>
      </c>
      <c r="H73" t="inlineStr">
        <is>
          <t>25 November 2009</t>
        </is>
      </c>
      <c r="I73" s="2" t="n">
        <v>46327</v>
      </c>
      <c r="J73" t="inlineStr">
        <is>
          <t>Pembekuan</t>
        </is>
      </c>
      <c r="K73" t="n">
        <v>60</v>
      </c>
      <c r="L73" t="inlineStr">
        <is>
          <t>1 November 2026</t>
        </is>
      </c>
      <c r="M73" t="inlineStr">
        <is>
          <t>Instalasi Saluran Air (Plambing)</t>
        </is>
      </c>
      <c r="N73" t="inlineStr">
        <is>
          <t>Spesialis</t>
        </is>
      </c>
      <c r="O73" t="inlineStr">
        <is>
          <t>20231101</t>
        </is>
      </c>
      <c r="P73" t="inlineStr">
        <is>
          <t>Sumatera Utara</t>
        </is>
      </c>
      <c r="Q73" t="inlineStr"/>
    </row>
    <row r="74">
      <c r="A74" t="inlineStr">
        <is>
          <t>MANDALA PUTRA BORNEO</t>
        </is>
      </c>
      <c r="B74" t="inlineStr">
        <is>
          <t>Kota Adm. Jakarta Pusat</t>
        </is>
      </c>
      <c r="C74" t="inlineStr">
        <is>
          <t>08118404448</t>
        </is>
      </c>
      <c r="D74" t="inlineStr">
        <is>
          <t>mandalaputraborneo2@gmail.com</t>
        </is>
      </c>
      <c r="E74" t="inlineStr">
        <is>
          <t>https://lpjk.pu.go.id/search-badan-usaha-detail/Y21TUm1LNldNT0JLK0IySjhyTjlSdz09</t>
        </is>
      </c>
      <c r="F74" t="n">
        <v>2</v>
      </c>
      <c r="G74" t="inlineStr">
        <is>
          <t>BG001</t>
        </is>
      </c>
      <c r="H74" t="inlineStr">
        <is>
          <t>3 April 2023</t>
        </is>
      </c>
      <c r="I74" s="2" t="n">
        <v>46327</v>
      </c>
      <c r="J74" t="inlineStr">
        <is>
          <t>Disetujui</t>
        </is>
      </c>
      <c r="K74" t="n">
        <v>60</v>
      </c>
      <c r="L74" t="inlineStr">
        <is>
          <t>1 November 2026</t>
        </is>
      </c>
      <c r="M74" t="inlineStr">
        <is>
          <t>Konstruksi Gedung Hunian</t>
        </is>
      </c>
      <c r="N74" t="inlineStr">
        <is>
          <t>K</t>
        </is>
      </c>
      <c r="O74" t="inlineStr">
        <is>
          <t>20231101</t>
        </is>
      </c>
      <c r="P74" t="inlineStr">
        <is>
          <t>DKI Jakarta</t>
        </is>
      </c>
      <c r="Q74" t="inlineStr"/>
    </row>
    <row r="75">
      <c r="A75" t="inlineStr">
        <is>
          <t>MANGGALA AGUNG</t>
        </is>
      </c>
      <c r="B75" t="inlineStr">
        <is>
          <t>Kab. Jombang</t>
        </is>
      </c>
      <c r="C75" t="inlineStr">
        <is>
          <t>082245223020</t>
        </is>
      </c>
      <c r="D75" t="inlineStr">
        <is>
          <t>manggalaagung16@gmail.com</t>
        </is>
      </c>
      <c r="E75" t="inlineStr">
        <is>
          <t>https://lpjk.pu.go.id/search-badan-usaha-detail/TGwyU01yWnA0bFM5RTJla0VXU013Zz09</t>
        </is>
      </c>
      <c r="F75" t="n">
        <v>7</v>
      </c>
      <c r="G75" t="inlineStr">
        <is>
          <t>BG002, BG004, BG005, BG006, BG008, BS001, BS004</t>
        </is>
      </c>
      <c r="H75" t="inlineStr">
        <is>
          <t>25 Juli 2022</t>
        </is>
      </c>
      <c r="I75" s="2" t="n">
        <v>46327</v>
      </c>
      <c r="J75" t="inlineStr">
        <is>
          <t>Disetujui</t>
        </is>
      </c>
      <c r="K75" t="n">
        <v>60</v>
      </c>
      <c r="L75" t="inlineStr">
        <is>
          <t>1 November 2026</t>
        </is>
      </c>
      <c r="M75" t="inlineStr">
        <is>
          <t>Konstruksi Bangunan Sipil Jalan, Konstruksi Gedung Kesehatan, Konstruksi Gedung Pendidikan, Konstruksi Gedung Perbelanjaan, Konstruksi Gedung Perkantoran, Konstruksi Gedung Tempat Hiburan dan Olahraga, Konstruksi Jaringan Irigasi dan Drainase</t>
        </is>
      </c>
      <c r="N75" t="inlineStr">
        <is>
          <t>K</t>
        </is>
      </c>
      <c r="O75" t="inlineStr">
        <is>
          <t>20231102</t>
        </is>
      </c>
      <c r="P75" t="inlineStr">
        <is>
          <t>Jawa Timur</t>
        </is>
      </c>
      <c r="Q75" t="inlineStr"/>
    </row>
    <row r="76">
      <c r="A76" t="inlineStr">
        <is>
          <t>MANOLO PUTRA</t>
        </is>
      </c>
      <c r="B76" t="inlineStr">
        <is>
          <t>Kota Bandung</t>
        </is>
      </c>
      <c r="C76" t="inlineStr">
        <is>
          <t>0226016317</t>
        </is>
      </c>
      <c r="D76" t="inlineStr">
        <is>
          <t>manoloputra@yahoo.com</t>
        </is>
      </c>
      <c r="E76" t="inlineStr">
        <is>
          <t>https://lpjk.pu.go.id/search-badan-usaha-detail/bTRsRjdDangvTGdMZW1QT2t6U1ZMUT09</t>
        </is>
      </c>
      <c r="F76" t="n">
        <v>1</v>
      </c>
      <c r="G76" t="inlineStr">
        <is>
          <t>IN004</t>
        </is>
      </c>
      <c r="H76" t="inlineStr">
        <is>
          <t>1 Maret 2011</t>
        </is>
      </c>
      <c r="I76" s="2" t="n">
        <v>46327</v>
      </c>
      <c r="J76" t="inlineStr">
        <is>
          <t>Pembekuan</t>
        </is>
      </c>
      <c r="K76" t="n">
        <v>60</v>
      </c>
      <c r="L76" t="inlineStr">
        <is>
          <t>1 November 2026</t>
        </is>
      </c>
      <c r="M76" t="inlineStr">
        <is>
          <t>Instalasi Minyak dan Gas</t>
        </is>
      </c>
      <c r="N76" t="inlineStr">
        <is>
          <t>Spesialis</t>
        </is>
      </c>
      <c r="O76" t="inlineStr">
        <is>
          <t>20231026</t>
        </is>
      </c>
      <c r="P76" t="inlineStr">
        <is>
          <t>Jawa Barat</t>
        </is>
      </c>
      <c r="Q76" t="inlineStr"/>
    </row>
    <row r="77">
      <c r="A77" t="inlineStr">
        <is>
          <t>MARAMPA SERWAR</t>
        </is>
      </c>
      <c r="B77" t="inlineStr">
        <is>
          <t>Kab. Sarmi</t>
        </is>
      </c>
      <c r="C77" t="inlineStr">
        <is>
          <t>081393514824</t>
        </is>
      </c>
      <c r="D77" t="inlineStr">
        <is>
          <t>cv.marampaserwar@gmail.com</t>
        </is>
      </c>
      <c r="E77" t="inlineStr">
        <is>
          <t>https://lpjk.pu.go.id/search-badan-usaha-detail/ZHRlWUpCcUZ4UGczbW5mOXBkcmFxdz09</t>
        </is>
      </c>
      <c r="F77" t="n">
        <v>1</v>
      </c>
      <c r="G77" t="inlineStr">
        <is>
          <t>BG006</t>
        </is>
      </c>
      <c r="H77" t="inlineStr">
        <is>
          <t>25 Oktober 2023</t>
        </is>
      </c>
      <c r="I77" s="2" t="n">
        <v>46327</v>
      </c>
      <c r="J77" t="inlineStr">
        <is>
          <t>Disetujui</t>
        </is>
      </c>
      <c r="K77" t="n">
        <v>60</v>
      </c>
      <c r="L77" t="inlineStr">
        <is>
          <t>1 November 2026</t>
        </is>
      </c>
      <c r="M77" t="inlineStr">
        <is>
          <t>Konstruksi Gedung Pendidikan</t>
        </is>
      </c>
      <c r="N77" t="inlineStr">
        <is>
          <t>K</t>
        </is>
      </c>
      <c r="O77" t="inlineStr">
        <is>
          <t>20231101</t>
        </is>
      </c>
      <c r="P77" t="inlineStr">
        <is>
          <t>Papua</t>
        </is>
      </c>
      <c r="Q77" t="inlineStr"/>
    </row>
    <row r="78">
      <c r="A78" t="inlineStr">
        <is>
          <t>MARGAHAYU PUTRATAMA TRANSMIX</t>
        </is>
      </c>
      <c r="B78" t="inlineStr">
        <is>
          <t>Kota Surabaya</t>
        </is>
      </c>
      <c r="C78" t="inlineStr">
        <is>
          <t>0318289949</t>
        </is>
      </c>
      <c r="D78" t="inlineStr">
        <is>
          <t>margahayutransmix@gmail.com</t>
        </is>
      </c>
      <c r="E78" t="inlineStr">
        <is>
          <t>https://lpjk.pu.go.id/search-badan-usaha-detail/d0hNRC9tZXlabGVYZjNYT0x0STBIdz09</t>
        </is>
      </c>
      <c r="F78" t="n">
        <v>2</v>
      </c>
      <c r="G78" t="inlineStr">
        <is>
          <t>BS001</t>
        </is>
      </c>
      <c r="H78" t="inlineStr">
        <is>
          <t>23 September 2022</t>
        </is>
      </c>
      <c r="I78" s="2" t="n">
        <v>46327</v>
      </c>
      <c r="J78" t="inlineStr">
        <is>
          <t>Disetujui</t>
        </is>
      </c>
      <c r="K78" t="n">
        <v>60</v>
      </c>
      <c r="L78" t="inlineStr">
        <is>
          <t>1 November 2026</t>
        </is>
      </c>
      <c r="M78" t="inlineStr">
        <is>
          <t>Konstruksi Bangunan Sipil Jalan</t>
        </is>
      </c>
      <c r="N78" t="inlineStr">
        <is>
          <t>K</t>
        </is>
      </c>
      <c r="O78" t="inlineStr">
        <is>
          <t>20231027</t>
        </is>
      </c>
      <c r="P78" t="inlineStr">
        <is>
          <t>Jawa Timur</t>
        </is>
      </c>
      <c r="Q78" t="inlineStr"/>
    </row>
    <row r="79">
      <c r="A79" t="inlineStr">
        <is>
          <t>MAS MUSTIKA ANUGRAH SEJAHTERA</t>
        </is>
      </c>
      <c r="B79" t="inlineStr">
        <is>
          <t>Kota Adm. Jakarta Barat</t>
        </is>
      </c>
      <c r="C79" t="inlineStr">
        <is>
          <t>0215843384</t>
        </is>
      </c>
      <c r="D79" t="inlineStr">
        <is>
          <t>mmusatera@yahoo.com</t>
        </is>
      </c>
      <c r="E79" t="inlineStr">
        <is>
          <t>https://lpjk.pu.go.id/search-badan-usaha-detail/ZnZnbDdBVU5SamM2dmhTMWExWkpwUT09</t>
        </is>
      </c>
      <c r="F79" t="n">
        <v>1</v>
      </c>
      <c r="G79" t="inlineStr">
        <is>
          <t>BG003</t>
        </is>
      </c>
      <c r="H79" t="inlineStr">
        <is>
          <t>18 September 1996</t>
        </is>
      </c>
      <c r="I79" s="2" t="n">
        <v>46327</v>
      </c>
      <c r="J79" t="inlineStr">
        <is>
          <t>Pencabutan</t>
        </is>
      </c>
      <c r="K79" t="n">
        <v>60</v>
      </c>
      <c r="L79" t="inlineStr">
        <is>
          <t>1 November 2026</t>
        </is>
      </c>
      <c r="M79" t="inlineStr">
        <is>
          <t>Konstruksi Gedung Industri</t>
        </is>
      </c>
      <c r="N79" t="inlineStr">
        <is>
          <t>M</t>
        </is>
      </c>
      <c r="O79" t="inlineStr">
        <is>
          <t>20231018</t>
        </is>
      </c>
      <c r="P79" t="inlineStr">
        <is>
          <t>DKI Jakarta</t>
        </is>
      </c>
      <c r="Q79" t="inlineStr"/>
    </row>
    <row r="80">
      <c r="A80" t="inlineStr">
        <is>
          <t>MENARA MAS</t>
        </is>
      </c>
      <c r="B80" t="inlineStr">
        <is>
          <t>Kota Tarakan</t>
        </is>
      </c>
      <c r="C80" t="inlineStr">
        <is>
          <t>0811532857</t>
        </is>
      </c>
      <c r="D80" t="inlineStr">
        <is>
          <t>ptmenaramas88@gmail.com</t>
        </is>
      </c>
      <c r="E80" t="inlineStr">
        <is>
          <t>https://lpjk.pu.go.id/search-badan-usaha-detail/VVhpMHdVMG5MZyszTlZDRy9Mei9hQT09</t>
        </is>
      </c>
      <c r="F80" t="n">
        <v>1</v>
      </c>
      <c r="G80" t="inlineStr">
        <is>
          <t>IN001</t>
        </is>
      </c>
      <c r="H80" t="inlineStr">
        <is>
          <t>28 Agustus 2008</t>
        </is>
      </c>
      <c r="I80" s="2" t="n">
        <v>46327</v>
      </c>
      <c r="J80" t="inlineStr">
        <is>
          <t>Disetujui</t>
        </is>
      </c>
      <c r="K80" t="n">
        <v>60</v>
      </c>
      <c r="L80" t="inlineStr">
        <is>
          <t>1 November 2026</t>
        </is>
      </c>
      <c r="M80" t="inlineStr">
        <is>
          <t>Instalasi Mekanikal</t>
        </is>
      </c>
      <c r="N80" t="inlineStr">
        <is>
          <t>Spesialis</t>
        </is>
      </c>
      <c r="O80" t="inlineStr">
        <is>
          <t>20231027</t>
        </is>
      </c>
      <c r="P80" t="inlineStr">
        <is>
          <t>Kalimantan Utara</t>
        </is>
      </c>
      <c r="Q80" t="inlineStr"/>
    </row>
    <row r="81">
      <c r="A81" t="inlineStr">
        <is>
          <t>MIFTAH MULTI DESIGN</t>
        </is>
      </c>
      <c r="B81" t="inlineStr">
        <is>
          <t>Kota Makassar</t>
        </is>
      </c>
      <c r="C81" t="inlineStr">
        <is>
          <t>085298886000</t>
        </is>
      </c>
      <c r="D81" t="inlineStr">
        <is>
          <t>miftahmultidesign@gmail.com</t>
        </is>
      </c>
      <c r="E81" t="inlineStr">
        <is>
          <t>https://lpjk.pu.go.id/search-badan-usaha-detail/M2wwWWYyaVdKQWtIOGNjTUM1QkMvQT09</t>
        </is>
      </c>
      <c r="F81" t="n">
        <v>1</v>
      </c>
      <c r="G81" t="inlineStr">
        <is>
          <t>AR001</t>
        </is>
      </c>
      <c r="H81" t="inlineStr">
        <is>
          <t>21 Maret 2014</t>
        </is>
      </c>
      <c r="I81" s="2" t="n">
        <v>46327</v>
      </c>
      <c r="J81" t="inlineStr">
        <is>
          <t>Disetujui</t>
        </is>
      </c>
      <c r="K81" t="n">
        <v>60</v>
      </c>
      <c r="L81" t="inlineStr">
        <is>
          <t>1 November 2026</t>
        </is>
      </c>
      <c r="M81" t="inlineStr">
        <is>
          <t>Jasa Arsitektural Bangunan Gedung Hunian dan Non Hunian</t>
        </is>
      </c>
      <c r="N81" t="inlineStr">
        <is>
          <t>K</t>
        </is>
      </c>
      <c r="O81" t="inlineStr">
        <is>
          <t>20231024</t>
        </is>
      </c>
      <c r="P81" t="inlineStr">
        <is>
          <t>Sulawesi Selatan</t>
        </is>
      </c>
      <c r="Q81" t="inlineStr"/>
    </row>
    <row r="82">
      <c r="A82" t="inlineStr">
        <is>
          <t>MITRA LIMA DINAMIKA</t>
        </is>
      </c>
      <c r="B82" t="inlineStr">
        <is>
          <t>Kota Samarinda</t>
        </is>
      </c>
      <c r="C82" t="inlineStr">
        <is>
          <t>0541201879</t>
        </is>
      </c>
      <c r="D82" t="inlineStr">
        <is>
          <t>mld.smd.1@gmail.com</t>
        </is>
      </c>
      <c r="E82" t="inlineStr">
        <is>
          <t>https://lpjk.pu.go.id/search-badan-usaha-detail/bFR2UHRIYXlqN1BNdVEwb0svb3g1UT09</t>
        </is>
      </c>
      <c r="F82" t="n">
        <v>4</v>
      </c>
      <c r="G82" t="inlineStr">
        <is>
          <t>RK001, RK002, RK003, RK005</t>
        </is>
      </c>
      <c r="H82" t="inlineStr">
        <is>
          <t>3 Desember 2007</t>
        </is>
      </c>
      <c r="I82" s="2" t="n">
        <v>46327</v>
      </c>
      <c r="J82" t="inlineStr">
        <is>
          <t>Disetujui</t>
        </is>
      </c>
      <c r="K82" t="n">
        <v>60</v>
      </c>
      <c r="L82" t="inlineStr">
        <is>
          <t>1 November 2026</t>
        </is>
      </c>
      <c r="M82" t="inlineStr">
        <is>
          <t>Jasa Rekayasa Konstruksi Bangunan Gedung Hunian dan Non Hunian, Jasa Rekayasa Lainnya, Jasa Rekayasa Pekerjaan Teknik Sipil Sumber Daya Air, Jasa Rekayasa Pekerjaan Teknik Sipil Transportasi</t>
        </is>
      </c>
      <c r="N82" t="inlineStr">
        <is>
          <t>K</t>
        </is>
      </c>
      <c r="O82" t="inlineStr">
        <is>
          <t>20231024</t>
        </is>
      </c>
      <c r="P82" t="inlineStr">
        <is>
          <t>Kalimantan Timur</t>
        </is>
      </c>
      <c r="Q82" t="inlineStr"/>
    </row>
    <row r="83">
      <c r="A83" t="inlineStr">
        <is>
          <t>MULTIDAYA CIPTATAMA</t>
        </is>
      </c>
      <c r="B83" t="inlineStr">
        <is>
          <t>Kab. Bandung</t>
        </is>
      </c>
      <c r="C83" t="inlineStr">
        <is>
          <t>082240005258</t>
        </is>
      </c>
      <c r="D83" t="inlineStr">
        <is>
          <t>multidaya_ciptatama@yahoo.co.id</t>
        </is>
      </c>
      <c r="E83" t="inlineStr">
        <is>
          <t>https://lpjk.pu.go.id/search-badan-usaha-detail/cXlMdk1lU3lrSHVSWmZHTVF3YkQxZz09</t>
        </is>
      </c>
      <c r="F83" t="n">
        <v>3</v>
      </c>
      <c r="G83" t="inlineStr">
        <is>
          <t>BG001, BG006, BS010</t>
        </is>
      </c>
      <c r="H83" t="inlineStr">
        <is>
          <t>7 Juli 2011</t>
        </is>
      </c>
      <c r="I83" s="2" t="n">
        <v>46327</v>
      </c>
      <c r="J83" t="inlineStr">
        <is>
          <t>Disetujui, Pencabutan</t>
        </is>
      </c>
      <c r="K83" t="n">
        <v>60</v>
      </c>
      <c r="L83" t="inlineStr">
        <is>
          <t>1 November 2026</t>
        </is>
      </c>
      <c r="M83" t="inlineStr">
        <is>
          <t>Konstruksi Bangunan Prasarana Sumber Daya Air, Konstruksi Gedung Hunian, Konstruksi Gedung Pendidikan</t>
        </is>
      </c>
      <c r="N83" t="inlineStr">
        <is>
          <t>K</t>
        </is>
      </c>
      <c r="O83" t="inlineStr">
        <is>
          <t>20231101</t>
        </is>
      </c>
      <c r="P83" t="inlineStr">
        <is>
          <t>Jawa Barat</t>
        </is>
      </c>
      <c r="Q83" t="inlineStr"/>
    </row>
    <row r="84">
      <c r="A84" t="inlineStr">
        <is>
          <t>NAROTAMA PERSADA</t>
        </is>
      </c>
      <c r="B84" t="inlineStr">
        <is>
          <t>Kota Palembang</t>
        </is>
      </c>
      <c r="C84" t="inlineStr">
        <is>
          <t>083153897202</t>
        </is>
      </c>
      <c r="D84" t="inlineStr">
        <is>
          <t>narotamapersada25@gmail.com</t>
        </is>
      </c>
      <c r="E84" t="inlineStr">
        <is>
          <t>https://lpjk.pu.go.id/search-badan-usaha-detail/R29VS2tHTkJ2MjN0aGxwNzUzSmc1UT09</t>
        </is>
      </c>
      <c r="F84" t="n">
        <v>1</v>
      </c>
      <c r="G84" t="inlineStr">
        <is>
          <t>BS001</t>
        </is>
      </c>
      <c r="H84" t="inlineStr">
        <is>
          <t>13 Oktober 2023</t>
        </is>
      </c>
      <c r="I84" s="2" t="n">
        <v>46327</v>
      </c>
      <c r="J84" t="inlineStr">
        <is>
          <t>Pencabutan</t>
        </is>
      </c>
      <c r="K84" t="n">
        <v>60</v>
      </c>
      <c r="L84" t="inlineStr">
        <is>
          <t>1 November 2026</t>
        </is>
      </c>
      <c r="M84" t="inlineStr">
        <is>
          <t>Konstruksi Bangunan Sipil Jalan</t>
        </is>
      </c>
      <c r="N84" t="inlineStr">
        <is>
          <t>K</t>
        </is>
      </c>
      <c r="O84" t="inlineStr">
        <is>
          <t>20231101</t>
        </is>
      </c>
      <c r="P84" t="inlineStr">
        <is>
          <t>Sumatera Selatan</t>
        </is>
      </c>
      <c r="Q84" t="inlineStr"/>
    </row>
    <row r="85">
      <c r="A85" t="inlineStr">
        <is>
          <t>PAKU BETON PERKASA</t>
        </is>
      </c>
      <c r="B85" t="inlineStr">
        <is>
          <t>Kota Surabaya</t>
        </is>
      </c>
      <c r="C85" t="inlineStr">
        <is>
          <t>0315623866</t>
        </is>
      </c>
      <c r="D85" t="inlineStr">
        <is>
          <t>pbperkasa.sby@gmail.com</t>
        </is>
      </c>
      <c r="E85" t="inlineStr">
        <is>
          <t>https://lpjk.pu.go.id/search-badan-usaha-detail/U3I1VW9qSEtjcXFMWElpVmlIaW15dz09</t>
        </is>
      </c>
      <c r="F85" t="n">
        <v>1</v>
      </c>
      <c r="G85" t="inlineStr">
        <is>
          <t>KK001</t>
        </is>
      </c>
      <c r="H85" t="inlineStr">
        <is>
          <t>11 April 1995</t>
        </is>
      </c>
      <c r="I85" s="2" t="n">
        <v>46327</v>
      </c>
      <c r="J85" t="inlineStr">
        <is>
          <t>Pencabutan</t>
        </is>
      </c>
      <c r="K85" t="n">
        <v>60</v>
      </c>
      <c r="L85" t="inlineStr">
        <is>
          <t>1 November 2026</t>
        </is>
      </c>
      <c r="M85" t="inlineStr">
        <is>
          <t>Pondasi Konstruksi</t>
        </is>
      </c>
      <c r="N85" t="inlineStr">
        <is>
          <t>Spesialis</t>
        </is>
      </c>
      <c r="O85" t="inlineStr">
        <is>
          <t>20231102</t>
        </is>
      </c>
      <c r="P85" t="inlineStr">
        <is>
          <t>Jawa Timur</t>
        </is>
      </c>
      <c r="Q85" t="inlineStr"/>
    </row>
    <row r="86">
      <c r="A86" t="inlineStr">
        <is>
          <t>PERWIRA JAYA SAKTI</t>
        </is>
      </c>
      <c r="B86" t="inlineStr">
        <is>
          <t>Kab. Tuban</t>
        </is>
      </c>
      <c r="C86" t="inlineStr">
        <is>
          <t>085732453166</t>
        </is>
      </c>
      <c r="D86" t="inlineStr">
        <is>
          <t>pt.perwira.js@gmail.com</t>
        </is>
      </c>
      <c r="E86" t="inlineStr">
        <is>
          <t>https://lpjk.pu.go.id/search-badan-usaha-detail/SkJQaVRqbWZwejJiSS92V05mSmNLQT09</t>
        </is>
      </c>
      <c r="F86" t="n">
        <v>1</v>
      </c>
      <c r="G86" t="inlineStr">
        <is>
          <t>IN001</t>
        </is>
      </c>
      <c r="H86" t="inlineStr">
        <is>
          <t>17 Maret 2014</t>
        </is>
      </c>
      <c r="I86" s="2" t="n">
        <v>46327</v>
      </c>
      <c r="J86" t="inlineStr">
        <is>
          <t>Disetujui</t>
        </is>
      </c>
      <c r="K86" t="n">
        <v>60</v>
      </c>
      <c r="L86" t="inlineStr">
        <is>
          <t>1 November 2026</t>
        </is>
      </c>
      <c r="M86" t="inlineStr">
        <is>
          <t>Instalasi Mekanikal</t>
        </is>
      </c>
      <c r="N86" t="inlineStr">
        <is>
          <t>Spesialis</t>
        </is>
      </c>
      <c r="O86" t="inlineStr">
        <is>
          <t>20231029</t>
        </is>
      </c>
      <c r="P86" t="inlineStr">
        <is>
          <t>Jawa Timur</t>
        </is>
      </c>
      <c r="Q86" t="inlineStr"/>
    </row>
    <row r="87">
      <c r="A87" t="inlineStr">
        <is>
          <t>PESONA CAHAYA KEBERUNTUNGAN</t>
        </is>
      </c>
      <c r="B87" t="inlineStr">
        <is>
          <t>Kota Semarang</t>
        </is>
      </c>
      <c r="C87" t="inlineStr">
        <is>
          <t>082137186450</t>
        </is>
      </c>
      <c r="D87" t="inlineStr">
        <is>
          <t>pesonacahaya2023@gmail.com</t>
        </is>
      </c>
      <c r="E87" t="inlineStr">
        <is>
          <t>https://lpjk.pu.go.id/search-badan-usaha-detail/Vmk3SVZhaUxkcy9ramlWQ292Si9UUT09</t>
        </is>
      </c>
      <c r="F87" t="n">
        <v>2</v>
      </c>
      <c r="G87" t="inlineStr">
        <is>
          <t>BG001, BG006</t>
        </is>
      </c>
      <c r="H87" t="inlineStr">
        <is>
          <t>18 September 2023</t>
        </is>
      </c>
      <c r="I87" s="2" t="n">
        <v>46327</v>
      </c>
      <c r="J87" t="inlineStr">
        <is>
          <t>Disetujui</t>
        </is>
      </c>
      <c r="K87" t="n">
        <v>60</v>
      </c>
      <c r="L87" t="inlineStr">
        <is>
          <t>1 November 2026</t>
        </is>
      </c>
      <c r="M87" t="inlineStr">
        <is>
          <t>Konstruksi Gedung Hunian, Konstruksi Gedung Pendidikan</t>
        </is>
      </c>
      <c r="N87" t="inlineStr">
        <is>
          <t>K</t>
        </is>
      </c>
      <c r="O87" t="inlineStr">
        <is>
          <t>20231025, 20231103</t>
        </is>
      </c>
      <c r="P87" t="inlineStr">
        <is>
          <t>Jawa Tengah</t>
        </is>
      </c>
      <c r="Q87" t="inlineStr"/>
    </row>
    <row r="88">
      <c r="A88" t="inlineStr">
        <is>
          <t>PILAR UTAMA EKOLOGI MABBARAKKA</t>
        </is>
      </c>
      <c r="B88" t="inlineStr">
        <is>
          <t>Kota Batam</t>
        </is>
      </c>
      <c r="C88" t="inlineStr">
        <is>
          <t>08117777397</t>
        </is>
      </c>
      <c r="D88" t="inlineStr">
        <is>
          <t>pilarutamaekologi@gmail.com</t>
        </is>
      </c>
      <c r="E88" t="inlineStr">
        <is>
          <t>https://lpjk.pu.go.id/search-badan-usaha-detail/L0dnVy9zVkR0Vnh3RWhLTlg5Y2NvUT09</t>
        </is>
      </c>
      <c r="F88" t="n">
        <v>1</v>
      </c>
      <c r="G88" t="inlineStr">
        <is>
          <t>RK001</t>
        </is>
      </c>
      <c r="H88" t="inlineStr">
        <is>
          <t>6 April 2018</t>
        </is>
      </c>
      <c r="I88" s="2" t="n">
        <v>46327</v>
      </c>
      <c r="J88" t="inlineStr">
        <is>
          <t>Disetujui</t>
        </is>
      </c>
      <c r="K88" t="n">
        <v>60</v>
      </c>
      <c r="L88" t="inlineStr">
        <is>
          <t>1 November 2026</t>
        </is>
      </c>
      <c r="M88" t="inlineStr">
        <is>
          <t>Jasa Rekayasa Konstruksi Bangunan Gedung Hunian dan Non Hunian</t>
        </is>
      </c>
      <c r="N88" t="inlineStr">
        <is>
          <t>K</t>
        </is>
      </c>
      <c r="O88" t="inlineStr">
        <is>
          <t>20231024</t>
        </is>
      </c>
      <c r="P88" t="inlineStr">
        <is>
          <t>Kepulauan Riau</t>
        </is>
      </c>
      <c r="Q88" t="inlineStr"/>
    </row>
    <row r="89">
      <c r="A89" t="inlineStr">
        <is>
          <t>PRADIPTHA ARGHA CIPTHA</t>
        </is>
      </c>
      <c r="B89" t="inlineStr">
        <is>
          <t>Kota Bandung</t>
        </is>
      </c>
      <c r="C89" t="inlineStr">
        <is>
          <t>02287775289</t>
        </is>
      </c>
      <c r="D89" t="inlineStr">
        <is>
          <t>ptparadiptha@gmail.com</t>
        </is>
      </c>
      <c r="E89" t="inlineStr">
        <is>
          <t>https://lpjk.pu.go.id/search-badan-usaha-detail/OUZzL1pmbDdWUmVSZURVSXd1czJ6dz09</t>
        </is>
      </c>
      <c r="F89" t="n">
        <v>4</v>
      </c>
      <c r="G89" t="inlineStr">
        <is>
          <t>AL001, AL002, AL003, AL004</t>
        </is>
      </c>
      <c r="H89" t="inlineStr">
        <is>
          <t>10 Februari 2018</t>
        </is>
      </c>
      <c r="I89" s="2" t="n">
        <v>46327</v>
      </c>
      <c r="J89" t="inlineStr">
        <is>
          <t>Disetujui</t>
        </is>
      </c>
      <c r="K89" t="n">
        <v>60</v>
      </c>
      <c r="L89" t="inlineStr">
        <is>
          <t>1 November 2026</t>
        </is>
      </c>
      <c r="M89" t="inlineStr">
        <is>
          <t>Jasa Pengembangan Lingkungan Bangunan dan Lanskap, Jasa Pengembangan Pemanfaatan Ruang, Jasa Pengembangan Perkotaan, Jasa Pengembangan Wilayah</t>
        </is>
      </c>
      <c r="N89" t="inlineStr">
        <is>
          <t>K</t>
        </is>
      </c>
      <c r="O89" t="inlineStr">
        <is>
          <t>20230427, 20231019</t>
        </is>
      </c>
      <c r="P89" t="inlineStr">
        <is>
          <t>Jawa Barat</t>
        </is>
      </c>
      <c r="Q89" t="inlineStr"/>
    </row>
    <row r="90">
      <c r="A90" t="inlineStr">
        <is>
          <t>PRATAMA KARYA NUSANTARA</t>
        </is>
      </c>
      <c r="B90" t="inlineStr">
        <is>
          <t>Kab. Labuhanbatu</t>
        </is>
      </c>
      <c r="C90" t="inlineStr">
        <is>
          <t>082298002976</t>
        </is>
      </c>
      <c r="D90" t="inlineStr">
        <is>
          <t>pratamakaryanusantara@gmail.com</t>
        </is>
      </c>
      <c r="E90" t="inlineStr">
        <is>
          <t>https://lpjk.pu.go.id/search-badan-usaha-detail/M1hrdzMveENzYUhVazloU01zSTZDZz09</t>
        </is>
      </c>
      <c r="F90" t="n">
        <v>1</v>
      </c>
      <c r="G90" t="inlineStr">
        <is>
          <t>BG009</t>
        </is>
      </c>
      <c r="H90" t="inlineStr">
        <is>
          <t>21 Januari 2022</t>
        </is>
      </c>
      <c r="I90" s="2" t="n">
        <v>46327</v>
      </c>
      <c r="J90" t="inlineStr">
        <is>
          <t>Disetujui</t>
        </is>
      </c>
      <c r="K90" t="n">
        <v>60</v>
      </c>
      <c r="L90" t="inlineStr">
        <is>
          <t>1 November 2026</t>
        </is>
      </c>
      <c r="M90" t="inlineStr">
        <is>
          <t>Konstruksi Gedung Lainnya</t>
        </is>
      </c>
      <c r="N90" t="inlineStr">
        <is>
          <t>K</t>
        </is>
      </c>
      <c r="O90" t="inlineStr">
        <is>
          <t>20231102</t>
        </is>
      </c>
      <c r="P90" t="inlineStr">
        <is>
          <t>Sumatera Utara</t>
        </is>
      </c>
      <c r="Q90" t="inlineStr"/>
    </row>
    <row r="91">
      <c r="A91" t="inlineStr">
        <is>
          <t>PRATAMA UNGGUL PERKASA</t>
        </is>
      </c>
      <c r="B91" t="inlineStr">
        <is>
          <t>Kab. Karimun</t>
        </is>
      </c>
      <c r="C91" t="inlineStr">
        <is>
          <t>081928919997</t>
        </is>
      </c>
      <c r="D91" t="inlineStr">
        <is>
          <t>cv.pratamaunggulperkasa@gmail.com</t>
        </is>
      </c>
      <c r="E91" t="inlineStr">
        <is>
          <t>https://lpjk.pu.go.id/search-badan-usaha-detail/dVNjWmxtZmNUZzFCbWZTWkVUb2pGZz09</t>
        </is>
      </c>
      <c r="F91" t="n">
        <v>5</v>
      </c>
      <c r="G91" t="inlineStr">
        <is>
          <t>BG006, BG009, BS001, BS004, BS010</t>
        </is>
      </c>
      <c r="H91" t="inlineStr">
        <is>
          <t>8 Juni 2023</t>
        </is>
      </c>
      <c r="I91" s="2" t="n">
        <v>46327</v>
      </c>
      <c r="J91" t="inlineStr">
        <is>
          <t>Disetujui</t>
        </is>
      </c>
      <c r="K91" t="n">
        <v>60</v>
      </c>
      <c r="L91" t="inlineStr">
        <is>
          <t>1 November 2026</t>
        </is>
      </c>
      <c r="M91" t="inlineStr">
        <is>
          <t>Konstruksi Bangunan Prasarana Sumber Daya Air, Konstruksi Bangunan Sipil Jalan, Konstruksi Gedung Lainnya, Konstruksi Gedung Pendidikan, Konstruksi Jaringan Irigasi dan Drainase</t>
        </is>
      </c>
      <c r="N91" t="inlineStr">
        <is>
          <t>K</t>
        </is>
      </c>
      <c r="O91" t="inlineStr">
        <is>
          <t>20231017, 20231102</t>
        </is>
      </c>
      <c r="P91" t="inlineStr">
        <is>
          <t>Kepulauan Riau</t>
        </is>
      </c>
      <c r="Q91" t="inlineStr"/>
    </row>
    <row r="92">
      <c r="A92" t="inlineStr">
        <is>
          <t>PRIMA JAYATAMA SELARAS</t>
        </is>
      </c>
      <c r="B92" t="inlineStr">
        <is>
          <t>Kota Adm. Jakarta Barat</t>
        </is>
      </c>
      <c r="C92" t="inlineStr">
        <is>
          <t>085100090959</t>
        </is>
      </c>
      <c r="D92" t="inlineStr">
        <is>
          <t>primajayatamaselaras.pt@outlook.com</t>
        </is>
      </c>
      <c r="E92" t="inlineStr">
        <is>
          <t>https://lpjk.pu.go.id/search-badan-usaha-detail/WlBQRGR1RlZSNnYvSVhCcEt4bmNrQT09</t>
        </is>
      </c>
      <c r="F92" t="n">
        <v>3</v>
      </c>
      <c r="G92" t="inlineStr">
        <is>
          <t>BG001, BG002, BG009</t>
        </is>
      </c>
      <c r="H92" t="inlineStr">
        <is>
          <t>18 November 2011</t>
        </is>
      </c>
      <c r="I92" s="2" t="n">
        <v>46327</v>
      </c>
      <c r="J92" t="inlineStr">
        <is>
          <t>Disetujui</t>
        </is>
      </c>
      <c r="K92" t="n">
        <v>60</v>
      </c>
      <c r="L92" t="inlineStr">
        <is>
          <t>1 November 2026</t>
        </is>
      </c>
      <c r="M92" t="inlineStr">
        <is>
          <t>Konstruksi Gedung Hunian, Konstruksi Gedung Lainnya, Konstruksi Gedung Perkantoran</t>
        </is>
      </c>
      <c r="N92" t="inlineStr">
        <is>
          <t>K</t>
        </is>
      </c>
      <c r="O92" t="inlineStr">
        <is>
          <t>20231024</t>
        </is>
      </c>
      <c r="P92" t="inlineStr">
        <is>
          <t>DKI Jakarta</t>
        </is>
      </c>
      <c r="Q92" t="inlineStr"/>
    </row>
    <row r="93">
      <c r="A93" t="inlineStr">
        <is>
          <t>PRIMA KARYA</t>
        </is>
      </c>
      <c r="B93" t="inlineStr">
        <is>
          <t>Kota Palembang</t>
        </is>
      </c>
      <c r="C93" t="inlineStr">
        <is>
          <t>08176929684</t>
        </is>
      </c>
      <c r="D93" t="inlineStr">
        <is>
          <t>cvprimakarya19@gmail.com</t>
        </is>
      </c>
      <c r="E93" t="inlineStr">
        <is>
          <t>https://lpjk.pu.go.id/search-badan-usaha-detail/Smhqc0M3N1ErTVVkNklHWG52UzdjUT09</t>
        </is>
      </c>
      <c r="F93" t="n">
        <v>2</v>
      </c>
      <c r="G93" t="inlineStr">
        <is>
          <t>BS001, BS004</t>
        </is>
      </c>
      <c r="H93" t="inlineStr">
        <is>
          <t>23 Januari 2017</t>
        </is>
      </c>
      <c r="I93" s="2" t="n">
        <v>46327</v>
      </c>
      <c r="J93" t="inlineStr">
        <is>
          <t>Disetujui</t>
        </is>
      </c>
      <c r="K93" t="n">
        <v>60</v>
      </c>
      <c r="L93" t="inlineStr">
        <is>
          <t>1 November 2026</t>
        </is>
      </c>
      <c r="M93" t="inlineStr">
        <is>
          <t>Konstruksi Bangunan Sipil Jalan, Konstruksi Jaringan Irigasi dan Drainase</t>
        </is>
      </c>
      <c r="N93" t="inlineStr">
        <is>
          <t>K</t>
        </is>
      </c>
      <c r="O93" t="inlineStr">
        <is>
          <t>20231029</t>
        </is>
      </c>
      <c r="P93" t="inlineStr">
        <is>
          <t>Sumatera Selatan</t>
        </is>
      </c>
      <c r="Q93" t="inlineStr"/>
    </row>
    <row r="94">
      <c r="A94" t="inlineStr">
        <is>
          <t>PUTRA BARUMUN JAYA</t>
        </is>
      </c>
      <c r="B94" t="inlineStr">
        <is>
          <t>Kab. Labuhanbatu</t>
        </is>
      </c>
      <c r="C94" t="inlineStr">
        <is>
          <t>081397430333</t>
        </is>
      </c>
      <c r="D94" t="inlineStr">
        <is>
          <t>putrabarumunjaya2015@gmail.com</t>
        </is>
      </c>
      <c r="E94" t="inlineStr">
        <is>
          <t>https://lpjk.pu.go.id/search-badan-usaha-detail/eG1leWNVZmhaMDA5aGpZalgxWWtVUT09</t>
        </is>
      </c>
      <c r="F94" t="n">
        <v>4</v>
      </c>
      <c r="G94" t="inlineStr">
        <is>
          <t>BG001, BG009, BS001, BS002</t>
        </is>
      </c>
      <c r="H94" t="inlineStr">
        <is>
          <t>1 April 2015</t>
        </is>
      </c>
      <c r="I94" s="2" t="n">
        <v>46327</v>
      </c>
      <c r="J94" t="inlineStr">
        <is>
          <t>Pencabutan</t>
        </is>
      </c>
      <c r="K94" t="n">
        <v>60</v>
      </c>
      <c r="L94" t="inlineStr">
        <is>
          <t>1 November 2026</t>
        </is>
      </c>
      <c r="M94" t="inlineStr">
        <is>
          <t>Bangunan Sipil Jembatan, Jalan Layang, Fly Over, dan Underpass, Konstruksi Bangunan Sipil Jalan, Konstruksi Gedung Hunian, Konstruksi Gedung Lainnya</t>
        </is>
      </c>
      <c r="N94" t="inlineStr">
        <is>
          <t>K</t>
        </is>
      </c>
      <c r="O94" t="inlineStr">
        <is>
          <t>20231031, 20231102</t>
        </is>
      </c>
      <c r="P94" t="inlineStr">
        <is>
          <t>Sumatera Utara</t>
        </is>
      </c>
      <c r="Q94" t="inlineStr"/>
    </row>
    <row r="95">
      <c r="A95" t="inlineStr">
        <is>
          <t>PUTRA PURNAMA MANDIRI</t>
        </is>
      </c>
      <c r="B95" t="inlineStr">
        <is>
          <t>Kota Pasuruan</t>
        </is>
      </c>
      <c r="C95" t="inlineStr">
        <is>
          <t>081336538483</t>
        </is>
      </c>
      <c r="D95" t="inlineStr">
        <is>
          <t>purnamamandiri83@gmail.com</t>
        </is>
      </c>
      <c r="E95" t="inlineStr">
        <is>
          <t>https://lpjk.pu.go.id/search-badan-usaha-detail/dGVoVE1TYW1ITE1aeFJqeHFYdit1dz09</t>
        </is>
      </c>
      <c r="F95" t="n">
        <v>2</v>
      </c>
      <c r="G95" t="inlineStr">
        <is>
          <t>BG003, BG009</t>
        </is>
      </c>
      <c r="H95" t="inlineStr">
        <is>
          <t>13 Agustus 2016</t>
        </is>
      </c>
      <c r="I95" s="2" t="n">
        <v>46327</v>
      </c>
      <c r="J95" t="inlineStr">
        <is>
          <t>Disetujui</t>
        </is>
      </c>
      <c r="K95" t="n">
        <v>60</v>
      </c>
      <c r="L95" t="inlineStr">
        <is>
          <t>1 November 2026</t>
        </is>
      </c>
      <c r="M95" t="inlineStr">
        <is>
          <t>Konstruksi Gedung Industri, Konstruksi Gedung Lainnya</t>
        </is>
      </c>
      <c r="N95" t="inlineStr">
        <is>
          <t>K</t>
        </is>
      </c>
      <c r="O95" t="inlineStr">
        <is>
          <t>20231031</t>
        </is>
      </c>
      <c r="P95" t="inlineStr">
        <is>
          <t>Jawa Timur</t>
        </is>
      </c>
      <c r="Q95" t="inlineStr"/>
    </row>
    <row r="96">
      <c r="A96" t="inlineStr">
        <is>
          <t>RADEN SALEH</t>
        </is>
      </c>
      <c r="B96" t="inlineStr">
        <is>
          <t>Kota Medan</t>
        </is>
      </c>
      <c r="C96" t="inlineStr">
        <is>
          <t>08116511384</t>
        </is>
      </c>
      <c r="D96" t="inlineStr">
        <is>
          <t>cvradensaleh@gmail.com</t>
        </is>
      </c>
      <c r="E96" t="inlineStr">
        <is>
          <t>https://lpjk.pu.go.id/search-badan-usaha-detail/WVpTSHdjWHc3c2xWV3lUV0pvc1k4UT09</t>
        </is>
      </c>
      <c r="F96" t="n">
        <v>5</v>
      </c>
      <c r="G96" t="inlineStr">
        <is>
          <t>BG002, BG005, BG006, BG009, BS001</t>
        </is>
      </c>
      <c r="H96" t="inlineStr">
        <is>
          <t>12 November 2019</t>
        </is>
      </c>
      <c r="I96" s="2" t="n">
        <v>46327</v>
      </c>
      <c r="J96" t="inlineStr">
        <is>
          <t>Pencabutan</t>
        </is>
      </c>
      <c r="K96" t="n">
        <v>60</v>
      </c>
      <c r="L96" t="inlineStr">
        <is>
          <t>1 November 2026</t>
        </is>
      </c>
      <c r="M96" t="inlineStr">
        <is>
          <t>Konstruksi Bangunan Sipil Jalan, Konstruksi Gedung Kesehatan, Konstruksi Gedung Lainnya, Konstruksi Gedung Pendidikan, Konstruksi Gedung Perkantoran</t>
        </is>
      </c>
      <c r="N96" t="inlineStr">
        <is>
          <t>K</t>
        </is>
      </c>
      <c r="O96" t="inlineStr">
        <is>
          <t>20231030</t>
        </is>
      </c>
      <c r="P96" t="inlineStr">
        <is>
          <t>Sumatera Utara</t>
        </is>
      </c>
      <c r="Q96" t="inlineStr"/>
    </row>
    <row r="97">
      <c r="A97" t="inlineStr">
        <is>
          <t>RAJAWALI MAS</t>
        </is>
      </c>
      <c r="B97" t="inlineStr">
        <is>
          <t>Kab. Pasaman Barat</t>
        </is>
      </c>
      <c r="C97" t="inlineStr">
        <is>
          <t>081266608066</t>
        </is>
      </c>
      <c r="D97" t="inlineStr">
        <is>
          <t>cv_rajawali_mas@yahoo.co.id</t>
        </is>
      </c>
      <c r="E97" t="inlineStr">
        <is>
          <t>https://lpjk.pu.go.id/search-badan-usaha-detail/ZnZLeHhsWlAzNkIyZGxLckdLaGM4dz09</t>
        </is>
      </c>
      <c r="F97" t="n">
        <v>2</v>
      </c>
      <c r="G97" t="inlineStr">
        <is>
          <t>BG003</t>
        </is>
      </c>
      <c r="H97" t="inlineStr">
        <is>
          <t>9 Oktober 2013</t>
        </is>
      </c>
      <c r="I97" s="2" t="n">
        <v>46327</v>
      </c>
      <c r="J97" t="inlineStr">
        <is>
          <t>Disetujui</t>
        </is>
      </c>
      <c r="K97" t="n">
        <v>60</v>
      </c>
      <c r="L97" t="inlineStr">
        <is>
          <t>1 November 2026</t>
        </is>
      </c>
      <c r="M97" t="inlineStr">
        <is>
          <t>Konstruksi Gedung Industri</t>
        </is>
      </c>
      <c r="N97" t="inlineStr">
        <is>
          <t>K</t>
        </is>
      </c>
      <c r="O97" t="inlineStr">
        <is>
          <t>20231102</t>
        </is>
      </c>
      <c r="P97" t="inlineStr">
        <is>
          <t>Sumatera Barat</t>
        </is>
      </c>
      <c r="Q97" t="inlineStr"/>
    </row>
    <row r="98">
      <c r="A98" t="inlineStr">
        <is>
          <t>RAJAWALI PARAMA KONSTRUKSI</t>
        </is>
      </c>
      <c r="B98" t="inlineStr">
        <is>
          <t>Kota Tangerang Selatan</t>
        </is>
      </c>
      <c r="C98" t="inlineStr">
        <is>
          <t>02153128888</t>
        </is>
      </c>
      <c r="D98" t="inlineStr">
        <is>
          <t>bong_parnoto@rajawaliparama.com</t>
        </is>
      </c>
      <c r="E98" t="inlineStr">
        <is>
          <t>https://lpjk.pu.go.id/search-badan-usaha-detail/c0tkVTVTY1lVajMvaE94V2J6RGswUT09</t>
        </is>
      </c>
      <c r="F98" t="n">
        <v>2</v>
      </c>
      <c r="G98" t="inlineStr">
        <is>
          <t>IN007</t>
        </is>
      </c>
      <c r="H98" t="inlineStr">
        <is>
          <t>8 Februari 2011</t>
        </is>
      </c>
      <c r="I98" s="2" t="n">
        <v>46327</v>
      </c>
      <c r="J98" t="inlineStr">
        <is>
          <t>Pembekuan</t>
        </is>
      </c>
      <c r="K98" t="n">
        <v>60</v>
      </c>
      <c r="L98" t="inlineStr">
        <is>
          <t>1 November 2026</t>
        </is>
      </c>
      <c r="M98" t="inlineStr">
        <is>
          <t>Instalasi Saluran Air (Plambing)</t>
        </is>
      </c>
      <c r="N98" t="inlineStr">
        <is>
          <t>Spesialis</t>
        </is>
      </c>
      <c r="O98" t="inlineStr">
        <is>
          <t>20231029</t>
        </is>
      </c>
      <c r="P98" t="inlineStr">
        <is>
          <t>Banten</t>
        </is>
      </c>
      <c r="Q98" t="inlineStr"/>
    </row>
    <row r="99">
      <c r="A99" t="inlineStr">
        <is>
          <t>REMAJA ARTI KREASI</t>
        </is>
      </c>
      <c r="B99" t="inlineStr">
        <is>
          <t>Kota Metro</t>
        </is>
      </c>
      <c r="C99" t="inlineStr">
        <is>
          <t>082176387927</t>
        </is>
      </c>
      <c r="D99" t="inlineStr">
        <is>
          <t>remajaartikreasicv@gmail.com</t>
        </is>
      </c>
      <c r="E99" t="inlineStr">
        <is>
          <t>https://lpjk.pu.go.id/search-badan-usaha-detail/NTJidzdrTFlyT3BwaXY2Y0NCUUFRdz09</t>
        </is>
      </c>
      <c r="F99" t="n">
        <v>1</v>
      </c>
      <c r="G99" t="inlineStr">
        <is>
          <t>RK003</t>
        </is>
      </c>
      <c r="H99" t="inlineStr">
        <is>
          <t>11 Juli 2017</t>
        </is>
      </c>
      <c r="I99" s="2" t="n">
        <v>46327</v>
      </c>
      <c r="J99" t="inlineStr">
        <is>
          <t>Disetujui</t>
        </is>
      </c>
      <c r="K99" t="n">
        <v>60</v>
      </c>
      <c r="L99" t="inlineStr">
        <is>
          <t>1 November 2026</t>
        </is>
      </c>
      <c r="M99" t="inlineStr">
        <is>
          <t>Jasa Rekayasa Pekerjaan Teknik Sipil Transportasi</t>
        </is>
      </c>
      <c r="N99" t="inlineStr">
        <is>
          <t>K</t>
        </is>
      </c>
      <c r="O99" t="inlineStr">
        <is>
          <t>20231018</t>
        </is>
      </c>
      <c r="P99" t="inlineStr">
        <is>
          <t>Lampung</t>
        </is>
      </c>
      <c r="Q99" t="inlineStr"/>
    </row>
    <row r="100">
      <c r="A100" t="inlineStr">
        <is>
          <t>REVIAMI</t>
        </is>
      </c>
      <c r="B100" t="inlineStr">
        <is>
          <t>Kab. Tanah Laut</t>
        </is>
      </c>
      <c r="C100" t="inlineStr">
        <is>
          <t>082354534422</t>
        </is>
      </c>
      <c r="D100" t="inlineStr">
        <is>
          <t>reviami.cvheldawati@yahoo.co.id</t>
        </is>
      </c>
      <c r="E100" t="inlineStr">
        <is>
          <t>https://lpjk.pu.go.id/search-badan-usaha-detail/NFAySmFzUlpHOW8rejk4NXBnSGVRZz09</t>
        </is>
      </c>
      <c r="F100" t="n">
        <v>1</v>
      </c>
      <c r="G100" t="inlineStr">
        <is>
          <t>BG008</t>
        </is>
      </c>
      <c r="H100" t="inlineStr">
        <is>
          <t>27 Juni 2002</t>
        </is>
      </c>
      <c r="I100" s="2" t="n">
        <v>46327</v>
      </c>
      <c r="J100" t="inlineStr">
        <is>
          <t>Disetujui</t>
        </is>
      </c>
      <c r="K100" t="n">
        <v>60</v>
      </c>
      <c r="L100" t="inlineStr">
        <is>
          <t>1 November 2026</t>
        </is>
      </c>
      <c r="M100" t="inlineStr">
        <is>
          <t>Konstruksi Gedung Tempat Hiburan dan Olahraga</t>
        </is>
      </c>
      <c r="N100" t="inlineStr">
        <is>
          <t>K</t>
        </is>
      </c>
      <c r="O100" t="inlineStr">
        <is>
          <t>20231027</t>
        </is>
      </c>
      <c r="P100" t="inlineStr">
        <is>
          <t>Kalimantan Selatan</t>
        </is>
      </c>
      <c r="Q100" t="inlineStr"/>
    </row>
    <row r="101">
      <c r="A101" t="inlineStr">
        <is>
          <t>RIZKI GARDA USAHA</t>
        </is>
      </c>
      <c r="B101" t="inlineStr">
        <is>
          <t>Kab. Kubu Raya</t>
        </is>
      </c>
      <c r="C101" t="inlineStr">
        <is>
          <t>082255899966</t>
        </is>
      </c>
      <c r="D101" t="inlineStr">
        <is>
          <t>cvrizkigardausaha@gmail.com</t>
        </is>
      </c>
      <c r="E101" t="inlineStr">
        <is>
          <t>https://lpjk.pu.go.id/search-badan-usaha-detail/SHpGTGwzNWVZOHJYS1VWdEtwbDlUUT09</t>
        </is>
      </c>
      <c r="F101" t="n">
        <v>1</v>
      </c>
      <c r="G101" t="inlineStr">
        <is>
          <t>BG005</t>
        </is>
      </c>
      <c r="H101" t="inlineStr">
        <is>
          <t>29 November 2017</t>
        </is>
      </c>
      <c r="I101" s="2" t="n">
        <v>46327</v>
      </c>
      <c r="J101" t="inlineStr">
        <is>
          <t>Disetujui</t>
        </is>
      </c>
      <c r="K101" t="n">
        <v>60</v>
      </c>
      <c r="L101" t="inlineStr">
        <is>
          <t>1 November 2026</t>
        </is>
      </c>
      <c r="M101" t="inlineStr">
        <is>
          <t>Konstruksi Gedung Kesehatan</t>
        </is>
      </c>
      <c r="N101" t="inlineStr">
        <is>
          <t>K</t>
        </is>
      </c>
      <c r="O101" t="inlineStr">
        <is>
          <t>20231030</t>
        </is>
      </c>
      <c r="P101" t="inlineStr">
        <is>
          <t>Kalimantan Barat</t>
        </is>
      </c>
      <c r="Q101" t="inlineStr"/>
    </row>
    <row r="102">
      <c r="A102" t="inlineStr">
        <is>
          <t>SAMADYA PILAR KONSTRUKSI</t>
        </is>
      </c>
      <c r="B102" t="inlineStr">
        <is>
          <t>Kab. Serang</t>
        </is>
      </c>
      <c r="C102" t="inlineStr">
        <is>
          <t>087871024452</t>
        </is>
      </c>
      <c r="D102" t="inlineStr">
        <is>
          <t>Samadyakonstruksi@gmail.com</t>
        </is>
      </c>
      <c r="E102" t="inlineStr">
        <is>
          <t>https://lpjk.pu.go.id/search-badan-usaha-detail/ejRaL0dVY2ZzanhySkxGYkpsYit4UT09</t>
        </is>
      </c>
      <c r="F102" t="n">
        <v>1</v>
      </c>
      <c r="G102" t="inlineStr">
        <is>
          <t>BG006</t>
        </is>
      </c>
      <c r="H102" t="inlineStr">
        <is>
          <t>12 September 2020</t>
        </is>
      </c>
      <c r="I102" s="2" t="n">
        <v>46327</v>
      </c>
      <c r="J102" t="inlineStr">
        <is>
          <t>Disetujui</t>
        </is>
      </c>
      <c r="K102" t="n">
        <v>60</v>
      </c>
      <c r="L102" t="inlineStr">
        <is>
          <t>1 November 2026</t>
        </is>
      </c>
      <c r="M102" t="inlineStr">
        <is>
          <t>Konstruksi Gedung Pendidikan</t>
        </is>
      </c>
      <c r="N102" t="inlineStr">
        <is>
          <t>K</t>
        </is>
      </c>
      <c r="O102" t="inlineStr">
        <is>
          <t>20231024</t>
        </is>
      </c>
      <c r="P102" t="inlineStr">
        <is>
          <t>Banten</t>
        </is>
      </c>
      <c r="Q102" t="inlineStr"/>
    </row>
    <row r="103">
      <c r="A103" t="inlineStr">
        <is>
          <t>SARANA RINTASINDAH</t>
        </is>
      </c>
      <c r="B103" t="inlineStr">
        <is>
          <t>Kota Surabaya</t>
        </is>
      </c>
      <c r="C103" t="inlineStr">
        <is>
          <t>0313291225</t>
        </is>
      </c>
      <c r="D103" t="inlineStr">
        <is>
          <t>saranarintasindah@gmail.com</t>
        </is>
      </c>
      <c r="E103" t="inlineStr">
        <is>
          <t>https://lpjk.pu.go.id/search-badan-usaha-detail/WHd2NjR1YThlMTA4VTFWakxIMDNsUT09</t>
        </is>
      </c>
      <c r="F103" t="n">
        <v>1</v>
      </c>
      <c r="G103" t="inlineStr">
        <is>
          <t>KK001</t>
        </is>
      </c>
      <c r="H103" t="inlineStr">
        <is>
          <t>2 September 1994</t>
        </is>
      </c>
      <c r="I103" s="2" t="n">
        <v>46327</v>
      </c>
      <c r="J103" t="inlineStr">
        <is>
          <t>Pembekuan</t>
        </is>
      </c>
      <c r="K103" t="n">
        <v>60</v>
      </c>
      <c r="L103" t="inlineStr">
        <is>
          <t>1 November 2026</t>
        </is>
      </c>
      <c r="M103" t="inlineStr">
        <is>
          <t>Pondasi Konstruksi</t>
        </is>
      </c>
      <c r="N103" t="inlineStr">
        <is>
          <t>Spesialis</t>
        </is>
      </c>
      <c r="O103" t="inlineStr">
        <is>
          <t>20231101</t>
        </is>
      </c>
      <c r="P103" t="inlineStr">
        <is>
          <t>Jawa Timur</t>
        </is>
      </c>
      <c r="Q103" t="inlineStr"/>
    </row>
    <row r="104">
      <c r="A104" t="inlineStr">
        <is>
          <t>SATRIA MUSTIKA SENTOSA</t>
        </is>
      </c>
      <c r="B104" t="inlineStr">
        <is>
          <t>Kota Surabaya</t>
        </is>
      </c>
      <c r="C104" t="inlineStr">
        <is>
          <t>081216679990</t>
        </is>
      </c>
      <c r="D104" t="inlineStr">
        <is>
          <t>pt.samusa@gmail.com</t>
        </is>
      </c>
      <c r="E104" t="inlineStr">
        <is>
          <t>https://lpjk.pu.go.id/search-badan-usaha-detail/dE55WVcrTVNyZTlObHFEQWFWUmZ3Zz09</t>
        </is>
      </c>
      <c r="F104" t="n">
        <v>1</v>
      </c>
      <c r="G104" t="inlineStr">
        <is>
          <t>BS009</t>
        </is>
      </c>
      <c r="H104" t="inlineStr">
        <is>
          <t>12 Juli 2022</t>
        </is>
      </c>
      <c r="I104" s="2" t="n">
        <v>46327</v>
      </c>
      <c r="J104" t="inlineStr">
        <is>
          <t>Disetujui</t>
        </is>
      </c>
      <c r="K104" t="n">
        <v>60</v>
      </c>
      <c r="L104" t="inlineStr">
        <is>
          <t>1 November 2026</t>
        </is>
      </c>
      <c r="M104" t="inlineStr">
        <is>
          <t>Konstruksi Sentral Telekomunikasi</t>
        </is>
      </c>
      <c r="N104" t="inlineStr">
        <is>
          <t>K</t>
        </is>
      </c>
      <c r="O104" t="inlineStr">
        <is>
          <t>20231031</t>
        </is>
      </c>
      <c r="P104" t="inlineStr">
        <is>
          <t>Jawa Timur</t>
        </is>
      </c>
      <c r="Q104" t="inlineStr"/>
    </row>
    <row r="105">
      <c r="A105" t="inlineStr">
        <is>
          <t>SAUDARA MITRA SEJATI</t>
        </is>
      </c>
      <c r="B105" t="inlineStr">
        <is>
          <t>Kota Tangerang Selatan</t>
        </is>
      </c>
      <c r="C105" t="inlineStr">
        <is>
          <t>087887300555</t>
        </is>
      </c>
      <c r="D105" t="inlineStr">
        <is>
          <t>anna-suhianto@hotmail.com</t>
        </is>
      </c>
      <c r="E105" t="inlineStr">
        <is>
          <t>https://lpjk.pu.go.id/search-badan-usaha-detail/Y0RRdURoTU1qRUx3QlY2M0NnQklTQT09</t>
        </is>
      </c>
      <c r="F105" t="n">
        <v>2</v>
      </c>
      <c r="G105" t="inlineStr">
        <is>
          <t>BG001, BG002</t>
        </is>
      </c>
      <c r="H105" t="inlineStr">
        <is>
          <t>23 Agustus 2005</t>
        </is>
      </c>
      <c r="I105" s="2" t="n">
        <v>46327</v>
      </c>
      <c r="J105" t="inlineStr">
        <is>
          <t>Disetujui</t>
        </is>
      </c>
      <c r="K105" t="n">
        <v>60</v>
      </c>
      <c r="L105" t="inlineStr">
        <is>
          <t>1 November 2026</t>
        </is>
      </c>
      <c r="M105" t="inlineStr">
        <is>
          <t>Konstruksi Gedung Hunian, Konstruksi Gedung Perkantoran</t>
        </is>
      </c>
      <c r="N105" t="inlineStr">
        <is>
          <t>K</t>
        </is>
      </c>
      <c r="O105" t="inlineStr">
        <is>
          <t>20230920, 20231007</t>
        </is>
      </c>
      <c r="P105" t="inlineStr">
        <is>
          <t>Banten</t>
        </is>
      </c>
      <c r="Q105" t="inlineStr"/>
    </row>
    <row r="106">
      <c r="A106" t="inlineStr">
        <is>
          <t>SEKAR KAHURIPAN</t>
        </is>
      </c>
      <c r="B106" t="inlineStr">
        <is>
          <t>Kota Mojokerto</t>
        </is>
      </c>
      <c r="C106" t="inlineStr">
        <is>
          <t>081230280226</t>
        </is>
      </c>
      <c r="D106" t="inlineStr">
        <is>
          <t>sekarkahuripan_cv@yahoo.com</t>
        </is>
      </c>
      <c r="E106" t="inlineStr">
        <is>
          <t>https://lpjk.pu.go.id/search-badan-usaha-detail/eGVZNXp5Z1RhM3FMUnIyRzdqRVJSZz09</t>
        </is>
      </c>
      <c r="F106" t="n">
        <v>2</v>
      </c>
      <c r="G106" t="inlineStr">
        <is>
          <t>BG001</t>
        </is>
      </c>
      <c r="H106" t="inlineStr">
        <is>
          <t>22 Juni 2012</t>
        </is>
      </c>
      <c r="I106" s="2" t="n">
        <v>46327</v>
      </c>
      <c r="J106" t="inlineStr">
        <is>
          <t>Disetujui</t>
        </is>
      </c>
      <c r="K106" t="n">
        <v>60</v>
      </c>
      <c r="L106" t="inlineStr">
        <is>
          <t>1 November 2026</t>
        </is>
      </c>
      <c r="M106" t="inlineStr">
        <is>
          <t>Konstruksi Gedung Hunian</t>
        </is>
      </c>
      <c r="N106" t="inlineStr">
        <is>
          <t>K</t>
        </is>
      </c>
      <c r="O106" t="inlineStr">
        <is>
          <t>20231028</t>
        </is>
      </c>
      <c r="P106" t="inlineStr">
        <is>
          <t>Jawa Timur</t>
        </is>
      </c>
      <c r="Q106" t="inlineStr"/>
    </row>
    <row r="107">
      <c r="A107" t="inlineStr">
        <is>
          <t>SEPULUH SUMBER ANUGERAH</t>
        </is>
      </c>
      <c r="B107" t="inlineStr">
        <is>
          <t>Kab. Serang</t>
        </is>
      </c>
      <c r="C107" t="inlineStr">
        <is>
          <t>(0254) 408947-49</t>
        </is>
      </c>
      <c r="D107" t="inlineStr">
        <is>
          <t>hrd@pt-ssa.co.id</t>
        </is>
      </c>
      <c r="E107" t="inlineStr">
        <is>
          <t>https://lpjk.pu.go.id/search-badan-usaha-detail/NTJTbjVzbTNUTERoQWg1WEdPOFZSQT09</t>
        </is>
      </c>
      <c r="F107" t="n">
        <v>1</v>
      </c>
      <c r="G107" t="inlineStr">
        <is>
          <t>KK008</t>
        </is>
      </c>
      <c r="H107" t="inlineStr">
        <is>
          <t>2 Februari 1996</t>
        </is>
      </c>
      <c r="I107" s="2" t="n">
        <v>46327</v>
      </c>
      <c r="J107" t="inlineStr">
        <is>
          <t>Disetujui</t>
        </is>
      </c>
      <c r="K107" t="n">
        <v>60</v>
      </c>
      <c r="L107" t="inlineStr">
        <is>
          <t>1 November 2026</t>
        </is>
      </c>
      <c r="M107" t="inlineStr">
        <is>
          <t>Perkerasan Aspal</t>
        </is>
      </c>
      <c r="N107" t="inlineStr">
        <is>
          <t>Spesialis</t>
        </is>
      </c>
      <c r="O107" t="inlineStr">
        <is>
          <t>20231027</t>
        </is>
      </c>
      <c r="P107" t="inlineStr">
        <is>
          <t>Banten</t>
        </is>
      </c>
      <c r="Q107" t="inlineStr"/>
    </row>
    <row r="108">
      <c r="A108" t="inlineStr">
        <is>
          <t>SHAFANA BERKARYA</t>
        </is>
      </c>
      <c r="B108" t="inlineStr">
        <is>
          <t>Kota Bandar Lampung</t>
        </is>
      </c>
      <c r="C108" t="inlineStr">
        <is>
          <t>082281346743</t>
        </is>
      </c>
      <c r="D108" t="inlineStr">
        <is>
          <t>shafana.berkarya@gmail.com</t>
        </is>
      </c>
      <c r="E108" t="inlineStr">
        <is>
          <t>https://lpjk.pu.go.id/search-badan-usaha-detail/a1Z5WndDbmJJdEZDZk1GaUh2K0t3QT09</t>
        </is>
      </c>
      <c r="F108" t="n">
        <v>2</v>
      </c>
      <c r="G108" t="inlineStr">
        <is>
          <t>BS001</t>
        </is>
      </c>
      <c r="H108" t="inlineStr">
        <is>
          <t>9 Januari 2020</t>
        </is>
      </c>
      <c r="I108" s="2" t="n">
        <v>46327</v>
      </c>
      <c r="J108" t="inlineStr">
        <is>
          <t>Disetujui</t>
        </is>
      </c>
      <c r="K108" t="n">
        <v>60</v>
      </c>
      <c r="L108" t="inlineStr">
        <is>
          <t>1 November 2026</t>
        </is>
      </c>
      <c r="M108" t="inlineStr">
        <is>
          <t>Konstruksi Bangunan Sipil Jalan</t>
        </is>
      </c>
      <c r="N108" t="inlineStr">
        <is>
          <t>K</t>
        </is>
      </c>
      <c r="O108" t="inlineStr">
        <is>
          <t>20231026</t>
        </is>
      </c>
      <c r="P108" t="inlineStr">
        <is>
          <t>Lampung</t>
        </is>
      </c>
      <c r="Q108" t="inlineStr"/>
    </row>
    <row r="109">
      <c r="A109" t="inlineStr">
        <is>
          <t>SIDOMUKTI JAYA PERKASA</t>
        </is>
      </c>
      <c r="B109" t="inlineStr">
        <is>
          <t>Kab. Kebumen</t>
        </is>
      </c>
      <c r="C109" t="inlineStr">
        <is>
          <t>087732533316</t>
        </is>
      </c>
      <c r="D109" t="inlineStr">
        <is>
          <t>cvsidomuktijayaperkasa@gmail.com</t>
        </is>
      </c>
      <c r="E109" t="inlineStr">
        <is>
          <t>https://lpjk.pu.go.id/search-badan-usaha-detail/cVQrQ0RWbEtSZ3I1SHgrRFkzb2N0UT09</t>
        </is>
      </c>
      <c r="F109" t="n">
        <v>2</v>
      </c>
      <c r="G109" t="inlineStr">
        <is>
          <t>BS004</t>
        </is>
      </c>
      <c r="H109" t="inlineStr">
        <is>
          <t>29 Maret 2019</t>
        </is>
      </c>
      <c r="I109" s="2" t="n">
        <v>46327</v>
      </c>
      <c r="J109" t="inlineStr">
        <is>
          <t>Disetujui</t>
        </is>
      </c>
      <c r="K109" t="n">
        <v>60</v>
      </c>
      <c r="L109" t="inlineStr">
        <is>
          <t>1 November 2026</t>
        </is>
      </c>
      <c r="M109" t="inlineStr">
        <is>
          <t>Konstruksi Jaringan Irigasi dan Drainase</t>
        </is>
      </c>
      <c r="N109" t="inlineStr">
        <is>
          <t>K</t>
        </is>
      </c>
      <c r="O109" t="inlineStr">
        <is>
          <t>20231026</t>
        </is>
      </c>
      <c r="P109" t="inlineStr">
        <is>
          <t>Jawa Tengah</t>
        </is>
      </c>
      <c r="Q109" t="inlineStr"/>
    </row>
    <row r="110">
      <c r="A110" t="inlineStr">
        <is>
          <t>SINAR MANDIRI SENTOSA</t>
        </is>
      </c>
      <c r="B110" t="inlineStr">
        <is>
          <t>Kab. Sidoarjo</t>
        </is>
      </c>
      <c r="C110" t="inlineStr">
        <is>
          <t>085730741063</t>
        </is>
      </c>
      <c r="D110" t="inlineStr">
        <is>
          <t>sinarmandirisentosa@gmail.com</t>
        </is>
      </c>
      <c r="E110" t="inlineStr">
        <is>
          <t>https://lpjk.pu.go.id/search-badan-usaha-detail/ajhzazkwbUFYU2Q4cnBZLzg5UGtWUT09</t>
        </is>
      </c>
      <c r="F110" t="n">
        <v>3</v>
      </c>
      <c r="G110" t="inlineStr">
        <is>
          <t>BG002, BS001, BS004</t>
        </is>
      </c>
      <c r="H110" t="inlineStr">
        <is>
          <t>29 Agustus 2009</t>
        </is>
      </c>
      <c r="I110" s="2" t="n">
        <v>46327</v>
      </c>
      <c r="J110" t="inlineStr">
        <is>
          <t>Disetujui, Pencabutan</t>
        </is>
      </c>
      <c r="K110" t="n">
        <v>60</v>
      </c>
      <c r="L110" t="inlineStr">
        <is>
          <t>1 November 2026</t>
        </is>
      </c>
      <c r="M110" t="inlineStr">
        <is>
          <t>Konstruksi Bangunan Sipil Jalan, Konstruksi Gedung Perkantoran, Konstruksi Jaringan Irigasi dan Drainase</t>
        </is>
      </c>
      <c r="N110" t="inlineStr">
        <is>
          <t>K</t>
        </is>
      </c>
      <c r="O110" t="inlineStr">
        <is>
          <t>20230815, 20231102</t>
        </is>
      </c>
      <c r="P110" t="inlineStr">
        <is>
          <t>Jawa Timur</t>
        </is>
      </c>
      <c r="Q110" t="inlineStr"/>
    </row>
    <row r="111">
      <c r="A111" t="inlineStr">
        <is>
          <t>SINAR SABAR</t>
        </is>
      </c>
      <c r="B111" t="inlineStr">
        <is>
          <t>Kab. Lamongan</t>
        </is>
      </c>
      <c r="C111" t="inlineStr">
        <is>
          <t>085807173731</t>
        </is>
      </c>
      <c r="D111" t="inlineStr">
        <is>
          <t>cv.sinarsabar@yahoo.com</t>
        </is>
      </c>
      <c r="E111" t="inlineStr">
        <is>
          <t>https://lpjk.pu.go.id/search-badan-usaha-detail/a1EzUElHM3BkdUFodjNFdnNJWE5Edz09</t>
        </is>
      </c>
      <c r="F111" t="n">
        <v>6</v>
      </c>
      <c r="G111" t="inlineStr">
        <is>
          <t>BG005, BG006, BS001, BS002, BS004, BS005</t>
        </is>
      </c>
      <c r="H111" t="inlineStr">
        <is>
          <t>4 September 2004</t>
        </is>
      </c>
      <c r="I111" s="2" t="n">
        <v>46327</v>
      </c>
      <c r="J111" t="inlineStr">
        <is>
          <t>Disetujui</t>
        </is>
      </c>
      <c r="K111" t="n">
        <v>60</v>
      </c>
      <c r="L111" t="inlineStr">
        <is>
          <t>1 November 2026</t>
        </is>
      </c>
      <c r="M111" t="inlineStr">
        <is>
          <t>Bangunan Sipil Jembatan, Jalan Layang, Fly Over, dan Underpass, Konstruksi Bangunan Sipil Jalan, Konstruksi Bangunan Sipil Pengolahan Air Bersih, Konstruksi Gedung Kesehatan, Konstruksi Gedung Pendidikan, Konstruksi Jaringan Irigasi dan Drainase</t>
        </is>
      </c>
      <c r="N111" t="inlineStr">
        <is>
          <t>K</t>
        </is>
      </c>
      <c r="O111" t="inlineStr">
        <is>
          <t>20231020, 20231102, 20231103</t>
        </is>
      </c>
      <c r="P111" t="inlineStr">
        <is>
          <t>Jawa Timur</t>
        </is>
      </c>
      <c r="Q111" t="inlineStr"/>
    </row>
    <row r="112">
      <c r="A112" t="inlineStr">
        <is>
          <t>SINAR UTAMA KONSULTAN</t>
        </is>
      </c>
      <c r="B112" t="inlineStr">
        <is>
          <t>Kab. Aceh Utara</t>
        </is>
      </c>
      <c r="C112" t="inlineStr">
        <is>
          <t>0882017237086</t>
        </is>
      </c>
      <c r="D112" t="inlineStr">
        <is>
          <t>sinarutamakonsultan@gmail.com</t>
        </is>
      </c>
      <c r="E112" t="inlineStr">
        <is>
          <t>https://lpjk.pu.go.id/search-badan-usaha-detail/eWJrcmVtbHEzRDN1Y1JQd2lMSDhDQT09</t>
        </is>
      </c>
      <c r="F112" t="n">
        <v>3</v>
      </c>
      <c r="G112" t="inlineStr">
        <is>
          <t>RK001, RK002, RK003</t>
        </is>
      </c>
      <c r="H112" t="inlineStr">
        <is>
          <t>15 September 2023</t>
        </is>
      </c>
      <c r="I112" s="2" t="n">
        <v>46327</v>
      </c>
      <c r="J112" t="inlineStr">
        <is>
          <t>Disetujui</t>
        </is>
      </c>
      <c r="K112" t="n">
        <v>60</v>
      </c>
      <c r="L112" t="inlineStr">
        <is>
          <t>1 November 2026</t>
        </is>
      </c>
      <c r="M112" t="inlineStr">
        <is>
          <t>Jasa Rekayasa Konstruksi Bangunan Gedung Hunian dan Non Hunian, Jasa Rekayasa Pekerjaan Teknik Sipil Sumber Daya Air, Jasa Rekayasa Pekerjaan Teknik Sipil Transportasi</t>
        </is>
      </c>
      <c r="N112" t="inlineStr">
        <is>
          <t>K</t>
        </is>
      </c>
      <c r="O112" t="inlineStr">
        <is>
          <t>20231020</t>
        </is>
      </c>
      <c r="P112" t="inlineStr">
        <is>
          <t>Aceh</t>
        </is>
      </c>
      <c r="Q112" t="inlineStr"/>
    </row>
    <row r="113">
      <c r="A113" t="inlineStr">
        <is>
          <t>TAMADO JAYA</t>
        </is>
      </c>
      <c r="B113" t="inlineStr">
        <is>
          <t>Kota Adm. Jakarta Selatan</t>
        </is>
      </c>
      <c r="C113" t="inlineStr">
        <is>
          <t>02178816237</t>
        </is>
      </c>
      <c r="D113" t="inlineStr">
        <is>
          <t>tamadojaya@rocketmail.com</t>
        </is>
      </c>
      <c r="E113" t="inlineStr">
        <is>
          <t>https://lpjk.pu.go.id/search-badan-usaha-detail/bEZCMVZWc1diZHEzNGs5N05DQWlDdz09</t>
        </is>
      </c>
      <c r="F113" t="n">
        <v>4</v>
      </c>
      <c r="G113" t="inlineStr">
        <is>
          <t>BG001, BG006, BS001, BS004</t>
        </is>
      </c>
      <c r="H113" t="inlineStr">
        <is>
          <t>9 Januari 2002</t>
        </is>
      </c>
      <c r="I113" s="2" t="n">
        <v>46327</v>
      </c>
      <c r="J113" t="inlineStr">
        <is>
          <t>Disetujui</t>
        </is>
      </c>
      <c r="K113" t="n">
        <v>60</v>
      </c>
      <c r="L113" t="inlineStr">
        <is>
          <t>1 November 2026</t>
        </is>
      </c>
      <c r="M113" t="inlineStr">
        <is>
          <t>Konstruksi Bangunan Sipil Jalan, Konstruksi Gedung Hunian, Konstruksi Gedung Pendidikan, Konstruksi Jaringan Irigasi dan Drainase</t>
        </is>
      </c>
      <c r="N113" t="inlineStr">
        <is>
          <t>K</t>
        </is>
      </c>
      <c r="O113" t="inlineStr">
        <is>
          <t>20231019</t>
        </is>
      </c>
      <c r="P113" t="inlineStr">
        <is>
          <t>DKI Jakarta</t>
        </is>
      </c>
      <c r="Q113" t="inlineStr"/>
    </row>
    <row r="114">
      <c r="A114" t="inlineStr">
        <is>
          <t>TATA INTERINDO ABADI</t>
        </is>
      </c>
      <c r="B114" t="inlineStr">
        <is>
          <t>Kota Adm. Jakarta Barat</t>
        </is>
      </c>
      <c r="C114" t="inlineStr">
        <is>
          <t>08164829745</t>
        </is>
      </c>
      <c r="D114" t="inlineStr">
        <is>
          <t>tatainterindo@centrin.net.id</t>
        </is>
      </c>
      <c r="E114" t="inlineStr">
        <is>
          <t>https://lpjk.pu.go.id/search-badan-usaha-detail/bFdobXlRaGQ1MElaZWtqa0xoVmtHZz09</t>
        </is>
      </c>
      <c r="F114" t="n">
        <v>1</v>
      </c>
      <c r="G114" t="inlineStr">
        <is>
          <t>BG001</t>
        </is>
      </c>
      <c r="H114" t="inlineStr">
        <is>
          <t>22 Maret 2005</t>
        </is>
      </c>
      <c r="I114" s="2" t="n">
        <v>46327</v>
      </c>
      <c r="J114" t="inlineStr">
        <is>
          <t>Disetujui</t>
        </is>
      </c>
      <c r="K114" t="n">
        <v>60</v>
      </c>
      <c r="L114" t="inlineStr">
        <is>
          <t>1 November 2026</t>
        </is>
      </c>
      <c r="M114" t="inlineStr">
        <is>
          <t>Konstruksi Gedung Hunian</t>
        </is>
      </c>
      <c r="N114" t="inlineStr">
        <is>
          <t>K</t>
        </is>
      </c>
      <c r="O114" t="inlineStr">
        <is>
          <t>20231028</t>
        </is>
      </c>
      <c r="P114" t="inlineStr">
        <is>
          <t>DKI Jakarta</t>
        </is>
      </c>
      <c r="Q114" t="inlineStr"/>
    </row>
    <row r="115">
      <c r="A115" t="inlineStr">
        <is>
          <t>TIRTA ADINUGROHO</t>
        </is>
      </c>
      <c r="B115" t="inlineStr">
        <is>
          <t>Kota Malang</t>
        </is>
      </c>
      <c r="C115" t="inlineStr">
        <is>
          <t>081333108467</t>
        </is>
      </c>
      <c r="D115" t="inlineStr">
        <is>
          <t>tirtaadinugroho@gmail.com</t>
        </is>
      </c>
      <c r="E115" t="inlineStr">
        <is>
          <t>https://lpjk.pu.go.id/search-badan-usaha-detail/SGFpckNKWWZrbTVBaXdnck1vOGM5UT09</t>
        </is>
      </c>
      <c r="F115" t="n">
        <v>1</v>
      </c>
      <c r="G115" t="inlineStr">
        <is>
          <t>RK002</t>
        </is>
      </c>
      <c r="H115" t="inlineStr">
        <is>
          <t>7 Februari 2003</t>
        </is>
      </c>
      <c r="I115" s="2" t="n">
        <v>46327</v>
      </c>
      <c r="J115" t="inlineStr">
        <is>
          <t>Disetujui</t>
        </is>
      </c>
      <c r="K115" t="n">
        <v>60</v>
      </c>
      <c r="L115" t="inlineStr">
        <is>
          <t>1 November 2026</t>
        </is>
      </c>
      <c r="M115" t="inlineStr">
        <is>
          <t>Jasa Rekayasa Pekerjaan Teknik Sipil Sumber Daya Air</t>
        </is>
      </c>
      <c r="N115" t="inlineStr">
        <is>
          <t>K</t>
        </is>
      </c>
      <c r="O115" t="inlineStr">
        <is>
          <t>20231006</t>
        </is>
      </c>
      <c r="P115" t="inlineStr">
        <is>
          <t>Jawa Timur</t>
        </is>
      </c>
      <c r="Q115" t="inlineStr"/>
    </row>
    <row r="116">
      <c r="A116" t="inlineStr">
        <is>
          <t>TRI JAYA TEKNIK KARAWANG</t>
        </is>
      </c>
      <c r="B116" t="inlineStr">
        <is>
          <t>Kab. Karawang</t>
        </is>
      </c>
      <c r="C116" t="inlineStr">
        <is>
          <t>081314491358</t>
        </is>
      </c>
      <c r="D116" t="inlineStr">
        <is>
          <t>pt.tjtk@yahoo.com</t>
        </is>
      </c>
      <c r="E116" t="inlineStr">
        <is>
          <t>https://lpjk.pu.go.id/search-badan-usaha-detail/Lzk1QlFOanpmemNnRU50K3JVdWJHQT09</t>
        </is>
      </c>
      <c r="F116" t="n">
        <v>1</v>
      </c>
      <c r="G116" t="inlineStr">
        <is>
          <t>BS007</t>
        </is>
      </c>
      <c r="H116" t="inlineStr">
        <is>
          <t>23 Desember 2008</t>
        </is>
      </c>
      <c r="I116" s="2" t="n">
        <v>46327</v>
      </c>
      <c r="J116" t="inlineStr">
        <is>
          <t>Disetujui</t>
        </is>
      </c>
      <c r="K116" t="n">
        <v>60</v>
      </c>
      <c r="L116" t="inlineStr">
        <is>
          <t>1 November 2026</t>
        </is>
      </c>
      <c r="M116" t="inlineStr">
        <is>
          <t>Konstruksi Bangunan Sipil Elektrikal</t>
        </is>
      </c>
      <c r="N116" t="inlineStr">
        <is>
          <t>K</t>
        </is>
      </c>
      <c r="O116" t="inlineStr">
        <is>
          <t>20231004</t>
        </is>
      </c>
      <c r="P116" t="inlineStr">
        <is>
          <t>Jawa Barat</t>
        </is>
      </c>
      <c r="Q116" t="inlineStr"/>
    </row>
    <row r="117">
      <c r="A117" t="inlineStr">
        <is>
          <t>TRISMEVIC</t>
        </is>
      </c>
      <c r="B117" t="inlineStr">
        <is>
          <t>Kota Bandung</t>
        </is>
      </c>
      <c r="C117" t="inlineStr">
        <is>
          <t>085860796461</t>
        </is>
      </c>
      <c r="D117" t="inlineStr">
        <is>
          <t>pt.trismevic@gmail.com</t>
        </is>
      </c>
      <c r="E117" t="inlineStr">
        <is>
          <t>https://lpjk.pu.go.id/search-badan-usaha-detail/MkY4V2lFQUh3UXUwZmEvL1J2eE1YZz09</t>
        </is>
      </c>
      <c r="F117" t="n">
        <v>3</v>
      </c>
      <c r="G117" t="inlineStr">
        <is>
          <t>BG009, BS001, BS004</t>
        </is>
      </c>
      <c r="H117" t="inlineStr">
        <is>
          <t>29 Agustus 1987</t>
        </is>
      </c>
      <c r="I117" s="2" t="n">
        <v>46327</v>
      </c>
      <c r="J117" t="inlineStr">
        <is>
          <t>Disetujui</t>
        </is>
      </c>
      <c r="K117" t="n">
        <v>60</v>
      </c>
      <c r="L117" t="inlineStr">
        <is>
          <t>1 November 2026</t>
        </is>
      </c>
      <c r="M117" t="inlineStr">
        <is>
          <t>Konstruksi Bangunan Sipil Jalan, Konstruksi Gedung Lainnya, Konstruksi Jaringan Irigasi dan Drainase</t>
        </is>
      </c>
      <c r="N117" t="inlineStr">
        <is>
          <t>K</t>
        </is>
      </c>
      <c r="O117" t="inlineStr">
        <is>
          <t>20231030, 20231031</t>
        </is>
      </c>
      <c r="P117" t="inlineStr">
        <is>
          <t>Jawa Barat</t>
        </is>
      </c>
      <c r="Q117" t="inlineStr"/>
    </row>
    <row r="118">
      <c r="A118" t="inlineStr">
        <is>
          <t>TUJUH-TUJUH</t>
        </is>
      </c>
      <c r="B118" t="inlineStr">
        <is>
          <t>Kota Metro</t>
        </is>
      </c>
      <c r="C118" t="inlineStr">
        <is>
          <t>081278017591</t>
        </is>
      </c>
      <c r="D118" t="inlineStr">
        <is>
          <t>cvtujuhtujuh687@gmail.com</t>
        </is>
      </c>
      <c r="E118" t="inlineStr">
        <is>
          <t>https://lpjk.pu.go.id/search-badan-usaha-detail/Zi9RM2FNQkozVm9YLy9jd3NlZklvUT09</t>
        </is>
      </c>
      <c r="F118" t="n">
        <v>2</v>
      </c>
      <c r="G118" t="inlineStr">
        <is>
          <t>BG006, BS004</t>
        </is>
      </c>
      <c r="H118" t="inlineStr">
        <is>
          <t>14 Juli 2006</t>
        </is>
      </c>
      <c r="I118" s="2" t="n">
        <v>46327</v>
      </c>
      <c r="J118" t="inlineStr">
        <is>
          <t>Disetujui</t>
        </is>
      </c>
      <c r="K118" t="n">
        <v>60</v>
      </c>
      <c r="L118" t="inlineStr">
        <is>
          <t>1 November 2026</t>
        </is>
      </c>
      <c r="M118" t="inlineStr">
        <is>
          <t>Konstruksi Gedung Pendidikan, Konstruksi Jaringan Irigasi dan Drainase</t>
        </is>
      </c>
      <c r="N118" t="inlineStr">
        <is>
          <t>K</t>
        </is>
      </c>
      <c r="O118" t="inlineStr">
        <is>
          <t>20231101</t>
        </is>
      </c>
      <c r="P118" t="inlineStr">
        <is>
          <t>Lampung</t>
        </is>
      </c>
      <c r="Q118" t="inlineStr"/>
    </row>
    <row r="119">
      <c r="A119" t="inlineStr">
        <is>
          <t>WAHANA GRAND SUMATERA</t>
        </is>
      </c>
      <c r="B119" t="inlineStr">
        <is>
          <t>Kota Medan</t>
        </is>
      </c>
      <c r="C119" t="inlineStr">
        <is>
          <t>085261843561</t>
        </is>
      </c>
      <c r="D119" t="inlineStr">
        <is>
          <t>ptwahanagrandsumatera@gmail.com</t>
        </is>
      </c>
      <c r="E119" t="inlineStr">
        <is>
          <t>https://lpjk.pu.go.id/search-badan-usaha-detail/dHVLN2paYVM2Vk5LRVhSZktJL1VDQT09</t>
        </is>
      </c>
      <c r="F119" t="n">
        <v>3</v>
      </c>
      <c r="G119" t="inlineStr">
        <is>
          <t>BG001, BG002, BG003</t>
        </is>
      </c>
      <c r="H119" t="inlineStr">
        <is>
          <t>5 Januari 2023</t>
        </is>
      </c>
      <c r="I119" s="2" t="n">
        <v>46327</v>
      </c>
      <c r="J119" t="inlineStr">
        <is>
          <t>Disetujui</t>
        </is>
      </c>
      <c r="K119" t="n">
        <v>60</v>
      </c>
      <c r="L119" t="inlineStr">
        <is>
          <t>1 November 2026</t>
        </is>
      </c>
      <c r="M119" t="inlineStr">
        <is>
          <t>Konstruksi Gedung Hunian, Konstruksi Gedung Industri, Konstruksi Gedung Perkantoran</t>
        </is>
      </c>
      <c r="N119" t="inlineStr">
        <is>
          <t>K</t>
        </is>
      </c>
      <c r="O119" t="inlineStr">
        <is>
          <t>20231101, 20231103</t>
        </is>
      </c>
      <c r="P119" t="inlineStr">
        <is>
          <t>Sumatera Utara</t>
        </is>
      </c>
      <c r="Q119" t="inlineStr"/>
    </row>
    <row r="120">
      <c r="A120" t="inlineStr">
        <is>
          <t>WAHANA IDEA KARYA</t>
        </is>
      </c>
      <c r="B120" t="inlineStr">
        <is>
          <t>Kota Pekalongan</t>
        </is>
      </c>
      <c r="C120" t="inlineStr">
        <is>
          <t>085290066161</t>
        </is>
      </c>
      <c r="D120" t="inlineStr">
        <is>
          <t>wahanaidea.karya@gmail.com</t>
        </is>
      </c>
      <c r="E120" t="inlineStr">
        <is>
          <t>https://lpjk.pu.go.id/search-badan-usaha-detail/WmgvTkh6ZWFEVm5IQ0xGTVpsUFR1Zz09</t>
        </is>
      </c>
      <c r="F120" t="n">
        <v>3</v>
      </c>
      <c r="G120" t="inlineStr">
        <is>
          <t>RK001, RK002, RK003</t>
        </is>
      </c>
      <c r="H120" t="inlineStr">
        <is>
          <t>18 Oktober 2019</t>
        </is>
      </c>
      <c r="I120" s="2" t="n">
        <v>46327</v>
      </c>
      <c r="J120" t="inlineStr">
        <is>
          <t>Disetujui</t>
        </is>
      </c>
      <c r="K120" t="n">
        <v>60</v>
      </c>
      <c r="L120" t="inlineStr">
        <is>
          <t>1 November 2026</t>
        </is>
      </c>
      <c r="M120" t="inlineStr">
        <is>
          <t>Jasa Rekayasa Konstruksi Bangunan Gedung Hunian dan Non Hunian, Jasa Rekayasa Pekerjaan Teknik Sipil Sumber Daya Air, Jasa Rekayasa Pekerjaan Teknik Sipil Transportasi</t>
        </is>
      </c>
      <c r="N120" t="inlineStr">
        <is>
          <t>K</t>
        </is>
      </c>
      <c r="O120" t="inlineStr">
        <is>
          <t>20231025</t>
        </is>
      </c>
      <c r="P120" t="inlineStr">
        <is>
          <t>Jawa Tengah</t>
        </is>
      </c>
      <c r="Q120" t="inlineStr"/>
    </row>
    <row r="121">
      <c r="A121" t="inlineStr">
        <is>
          <t>WASKITA WISESA KARKASA</t>
        </is>
      </c>
      <c r="B121" t="inlineStr">
        <is>
          <t>Kab. Bondowoso</t>
        </is>
      </c>
      <c r="C121" t="inlineStr">
        <is>
          <t>082335558418</t>
        </is>
      </c>
      <c r="D121" t="inlineStr">
        <is>
          <t>waskitawisesa20@gmail.com</t>
        </is>
      </c>
      <c r="E121" t="inlineStr">
        <is>
          <t>https://lpjk.pu.go.id/search-badan-usaha-detail/TGV2OVFHVklkMnZRS2dSWFhqQjQ0UT09</t>
        </is>
      </c>
      <c r="F121" t="n">
        <v>2</v>
      </c>
      <c r="G121" t="inlineStr">
        <is>
          <t>BS001, BS004</t>
        </is>
      </c>
      <c r="H121" t="inlineStr">
        <is>
          <t>8 Januari 2016</t>
        </is>
      </c>
      <c r="I121" s="2" t="n">
        <v>46327</v>
      </c>
      <c r="J121" t="inlineStr">
        <is>
          <t>Pencabutan</t>
        </is>
      </c>
      <c r="K121" t="n">
        <v>60</v>
      </c>
      <c r="L121" t="inlineStr">
        <is>
          <t>1 November 2026</t>
        </is>
      </c>
      <c r="M121" t="inlineStr">
        <is>
          <t>Konstruksi Bangunan Sipil Jalan, Konstruksi Jaringan Irigasi dan Drainase</t>
        </is>
      </c>
      <c r="N121" t="inlineStr">
        <is>
          <t>K</t>
        </is>
      </c>
      <c r="O121" t="inlineStr">
        <is>
          <t>20231027, N/A</t>
        </is>
      </c>
      <c r="P121" t="inlineStr">
        <is>
          <t>Jawa Timur</t>
        </is>
      </c>
      <c r="Q121" t="inlineStr"/>
    </row>
    <row r="122">
      <c r="A122" t="inlineStr">
        <is>
          <t>WULAN</t>
        </is>
      </c>
      <c r="B122" t="inlineStr">
        <is>
          <t>Kab. Tanah Laut</t>
        </is>
      </c>
      <c r="C122" t="inlineStr">
        <is>
          <t>082240349988</t>
        </is>
      </c>
      <c r="D122" t="inlineStr">
        <is>
          <t>cv.wulan@ymail.com</t>
        </is>
      </c>
      <c r="E122" t="inlineStr">
        <is>
          <t>https://lpjk.pu.go.id/search-badan-usaha-detail/VmFTaGkxWDhTS3VwMGRqRXdOZ0FsZz09</t>
        </is>
      </c>
      <c r="F122" t="n">
        <v>1</v>
      </c>
      <c r="G122" t="inlineStr">
        <is>
          <t>BS004</t>
        </is>
      </c>
      <c r="H122" t="inlineStr">
        <is>
          <t>17 Januari 2001</t>
        </is>
      </c>
      <c r="I122" s="2" t="n">
        <v>46327</v>
      </c>
      <c r="J122" t="inlineStr">
        <is>
          <t>Disetujui</t>
        </is>
      </c>
      <c r="K122" t="n">
        <v>60</v>
      </c>
      <c r="L122" t="inlineStr">
        <is>
          <t>1 November 2026</t>
        </is>
      </c>
      <c r="M122" t="inlineStr">
        <is>
          <t>Konstruksi Jaringan Irigasi dan Drainase</t>
        </is>
      </c>
      <c r="N122" t="inlineStr">
        <is>
          <t>K</t>
        </is>
      </c>
      <c r="O122" t="inlineStr">
        <is>
          <t>20231026</t>
        </is>
      </c>
      <c r="P122" t="inlineStr">
        <is>
          <t>Kalimantan Selatan</t>
        </is>
      </c>
      <c r="Q12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43"/>
  <sheetViews>
    <sheetView workbookViewId="0">
      <selection activeCell="A1" sqref="A1"/>
    </sheetView>
  </sheetViews>
  <sheetFormatPr baseColWidth="8" defaultRowHeight="15"/>
  <cols>
    <col width="33" customWidth="1" min="1" max="1"/>
    <col width="27" customWidth="1" min="2" max="2"/>
    <col width="15" customWidth="1" min="3" max="3"/>
    <col width="42" customWidth="1" min="4" max="4"/>
    <col width="50" customWidth="1" min="5" max="5"/>
    <col width="18" customWidth="1" min="6" max="6"/>
    <col width="50" customWidth="1" min="7" max="7"/>
    <col width="20" customWidth="1" min="8" max="8"/>
    <col width="28" customWidth="1" min="9" max="9"/>
    <col width="28" customWidth="1" min="10" max="10"/>
    <col width="11" customWidth="1" min="11" max="11"/>
    <col width="17" customWidth="1" min="12" max="12"/>
    <col width="50" customWidth="1" min="13" max="13"/>
    <col width="14" customWidth="1" min="14" max="14"/>
    <col width="4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BANGUN SUKSES BERKEMBANG</t>
        </is>
      </c>
      <c r="B2" t="inlineStr">
        <is>
          <t>Kab. Bekasi</t>
        </is>
      </c>
      <c r="C2" t="inlineStr">
        <is>
          <t>081386206879</t>
        </is>
      </c>
      <c r="D2" t="inlineStr">
        <is>
          <t>cvbangunsuksesberkembang@gmail.com</t>
        </is>
      </c>
      <c r="E2" t="inlineStr">
        <is>
          <t>https://lpjk.pu.go.id/search-badan-usaha-detail/VmF5QllQemJLK0pTSzhQNDB3cnJLZz09</t>
        </is>
      </c>
      <c r="F2" t="n">
        <v>2</v>
      </c>
      <c r="G2" t="inlineStr">
        <is>
          <t>BS001, BS004</t>
        </is>
      </c>
      <c r="H2" t="inlineStr">
        <is>
          <t>6 September 2023</t>
        </is>
      </c>
      <c r="I2" s="2" t="n">
        <v>46297</v>
      </c>
      <c r="J2" t="inlineStr">
        <is>
          <t>Disetujui</t>
        </is>
      </c>
      <c r="K2" t="n">
        <v>30</v>
      </c>
      <c r="L2" t="inlineStr">
        <is>
          <t>2 Oktober 2026</t>
        </is>
      </c>
      <c r="M2" t="inlineStr">
        <is>
          <t>Konstruksi Bangunan Sipil Jalan, Konstruksi Jaringan Irigasi dan Drainase</t>
        </is>
      </c>
      <c r="N2" t="inlineStr">
        <is>
          <t>K</t>
        </is>
      </c>
      <c r="O2" t="inlineStr">
        <is>
          <t>20230929</t>
        </is>
      </c>
      <c r="P2" t="inlineStr">
        <is>
          <t>Jawa Barat</t>
        </is>
      </c>
      <c r="Q2" s="3">
        <f>HYPERLINK("https://wa.me/6281386206879?text=*[Pengingat Masa Berlaku SBU BANGUN SUKSES BERKEMBANG]*%0A%0AYth. Pimpinan BANGUN SUKSES BERKEMBANG,%0AMohon izin menginformasikan status SBU Anda:%0A%0A📄 SBU: BS001, BS004%0A📅 Expired: 2 Oktober 2026 (30 Hari Lagi)%0A%0AKami tim PT. ESDEA Assistance Management siap men-support proses perpanjangan segera agar administrasi proyek tidak terhambat%0A%0AApakah boleh saya bantu siapkan estimasi biaya dan waktu pengerjaannya?.", "Hubungi")</f>
        <v/>
      </c>
    </row>
    <row r="3">
      <c r="A3" t="inlineStr">
        <is>
          <t>CAHAYA FAJAR MITRANIAGA</t>
        </is>
      </c>
      <c r="B3" t="inlineStr">
        <is>
          <t>Kota Bogor</t>
        </is>
      </c>
      <c r="C3" t="inlineStr">
        <is>
          <t>02518625962</t>
        </is>
      </c>
      <c r="D3" t="inlineStr">
        <is>
          <t>cahayafajarmitraniaga@gmail.com</t>
        </is>
      </c>
      <c r="E3" t="inlineStr">
        <is>
          <t>https://lpjk.pu.go.id/search-badan-usaha-detail/M0o2MGRQcTRRVXpZdk5JOWVMaUkrUT09</t>
        </is>
      </c>
      <c r="F3" t="n">
        <v>3</v>
      </c>
      <c r="G3" t="inlineStr">
        <is>
          <t>BG009, BS004, BS005</t>
        </is>
      </c>
      <c r="H3" t="inlineStr">
        <is>
          <t>6 Maret 2023</t>
        </is>
      </c>
      <c r="I3" s="2" t="n">
        <v>46297</v>
      </c>
      <c r="J3" t="inlineStr">
        <is>
          <t>Disetujui</t>
        </is>
      </c>
      <c r="K3" t="n">
        <v>30</v>
      </c>
      <c r="L3" t="inlineStr">
        <is>
          <t>2 Oktober 2026</t>
        </is>
      </c>
      <c r="M3" t="inlineStr">
        <is>
          <t>Konstruksi Bangunan Sipil Pengolahan Air Bersih, Konstruksi Gedung Lainnya, Konstruksi Jaringan Irigasi dan Drainase</t>
        </is>
      </c>
      <c r="N3" t="inlineStr">
        <is>
          <t>K</t>
        </is>
      </c>
      <c r="O3" t="inlineStr">
        <is>
          <t>20230827, 20230909</t>
        </is>
      </c>
      <c r="P3" t="inlineStr">
        <is>
          <t>Jawa Barat</t>
        </is>
      </c>
      <c r="Q3" s="3">
        <f>HYPERLINK("https://wa.me/622518625962?text=*[Pengingat Masa Berlaku SBU CAHAYA FAJAR MITRANIAGA]*%0A%0AYth. Pimpinan CAHAYA FAJAR MITRANIAGA,%0AMohon izin menginformasikan status SBU Anda:%0A%0A📄 SBU: BG009, BS004, BS005%0A📅 Expired: 2 Oktober 2026 (30 Hari Lagi)%0A%0AKami tim PT. ESDEA Assistance Management siap men-support proses perpanjangan segera agar administrasi proyek tidak terhambat%0A%0AApakah boleh saya bantu siapkan estimasi biaya dan waktu pengerjaannya?.", "Hubungi")</f>
        <v/>
      </c>
    </row>
    <row r="4">
      <c r="A4" t="inlineStr">
        <is>
          <t>GELORA GEMILANG</t>
        </is>
      </c>
      <c r="B4" t="inlineStr">
        <is>
          <t>Kota Bekasi</t>
        </is>
      </c>
      <c r="C4" t="inlineStr">
        <is>
          <t>0218657222</t>
        </is>
      </c>
      <c r="D4" t="inlineStr">
        <is>
          <t>gelora.finance@gmail.com</t>
        </is>
      </c>
      <c r="E4" t="inlineStr">
        <is>
          <t>https://lpjk.pu.go.id/search-badan-usaha-detail/WkhtQlpkblhjN2dab3ZuZ0VNMjdodz09</t>
        </is>
      </c>
      <c r="F4" t="n">
        <v>2</v>
      </c>
      <c r="G4" t="inlineStr">
        <is>
          <t>BG003, BG009</t>
        </is>
      </c>
      <c r="H4" t="inlineStr">
        <is>
          <t>28 Januari 2004</t>
        </is>
      </c>
      <c r="I4" s="2" t="n">
        <v>46297</v>
      </c>
      <c r="J4" t="inlineStr">
        <is>
          <t>Disetujui</t>
        </is>
      </c>
      <c r="K4" t="n">
        <v>30</v>
      </c>
      <c r="L4" t="inlineStr">
        <is>
          <t>2 Oktober 2026</t>
        </is>
      </c>
      <c r="M4" t="inlineStr">
        <is>
          <t>Konstruksi Gedung Industri, Konstruksi Gedung Lainnya</t>
        </is>
      </c>
      <c r="N4" t="inlineStr">
        <is>
          <t>K</t>
        </is>
      </c>
      <c r="O4" t="inlineStr">
        <is>
          <t>20230914</t>
        </is>
      </c>
      <c r="P4" t="inlineStr">
        <is>
          <t>Jawa Barat</t>
        </is>
      </c>
      <c r="Q4" t="inlineStr"/>
    </row>
    <row r="5">
      <c r="A5" t="inlineStr">
        <is>
          <t>KINARYA MAESTRO NUSANTARA</t>
        </is>
      </c>
      <c r="B5" t="inlineStr">
        <is>
          <t>Kota Depok</t>
        </is>
      </c>
      <c r="C5" t="inlineStr">
        <is>
          <t>087878000786</t>
        </is>
      </c>
      <c r="D5" t="inlineStr">
        <is>
          <t>kinaryamaestronusantara@gmail.com</t>
        </is>
      </c>
      <c r="E5" t="inlineStr">
        <is>
          <t>https://lpjk.pu.go.id/search-badan-usaha-detail/aHF0cWQxUEJmZnJ5dFZ5NUJGaTFkZz09</t>
        </is>
      </c>
      <c r="F5" t="n">
        <v>4</v>
      </c>
      <c r="G5" t="inlineStr">
        <is>
          <t>BG004, BG009</t>
        </is>
      </c>
      <c r="H5" t="inlineStr">
        <is>
          <t>29 Agustus 2023</t>
        </is>
      </c>
      <c r="I5" s="2" t="n">
        <v>46297</v>
      </c>
      <c r="J5" t="inlineStr">
        <is>
          <t>Disetujui</t>
        </is>
      </c>
      <c r="K5" t="n">
        <v>30</v>
      </c>
      <c r="L5" t="inlineStr">
        <is>
          <t>2 Oktober 2026</t>
        </is>
      </c>
      <c r="M5" t="inlineStr">
        <is>
          <t>Konstruksi Gedung Lainnya, Konstruksi Gedung Perbelanjaan</t>
        </is>
      </c>
      <c r="N5" t="inlineStr">
        <is>
          <t>M</t>
        </is>
      </c>
      <c r="O5" t="inlineStr">
        <is>
          <t>20230930</t>
        </is>
      </c>
      <c r="P5" t="inlineStr">
        <is>
          <t>Jawa Barat</t>
        </is>
      </c>
      <c r="Q5" s="3">
        <f>HYPERLINK("https://wa.me/6287878000786?text=*[Pengingat Masa Berlaku SBU KINARYA MAESTRO NUSANTARA]*%0A%0AYth. Pimpinan KINARYA MAESTRO NUSANTARA,%0AMohon izin menginformasikan status SBU Anda:%0A%0A📄 SBU: BG004, BG009%0A📅 Expired: 2 Oktober 2026 (30 Hari Lagi)%0A%0AKami tim PT. ESDEA Assistance Management siap men-support proses perpanjangan segera agar administrasi proyek tidak terhambat%0A%0AApakah boleh saya bantu siapkan estimasi biaya dan waktu pengerjaannya?.", "Hubungi")</f>
        <v/>
      </c>
    </row>
    <row r="6">
      <c r="A6" t="inlineStr">
        <is>
          <t>LAUTAN ANUGERAH ABADI</t>
        </is>
      </c>
      <c r="B6" t="inlineStr">
        <is>
          <t>Kota Bekasi</t>
        </is>
      </c>
      <c r="C6" t="inlineStr">
        <is>
          <t>021-22437352</t>
        </is>
      </c>
      <c r="D6" t="inlineStr">
        <is>
          <t>labadi.underwater@yahoo.com</t>
        </is>
      </c>
      <c r="E6" t="inlineStr">
        <is>
          <t>https://lpjk.pu.go.id/search-badan-usaha-detail/Q0NjZlpzKzdYQUpZVExoUTBNVTRYQT09</t>
        </is>
      </c>
      <c r="F6" t="n">
        <v>2</v>
      </c>
      <c r="G6" t="inlineStr">
        <is>
          <t>BS001</t>
        </is>
      </c>
      <c r="H6" t="inlineStr">
        <is>
          <t>14 Maret 2012</t>
        </is>
      </c>
      <c r="I6" s="2" t="n">
        <v>46297</v>
      </c>
      <c r="J6" t="inlineStr">
        <is>
          <t>Disetujui</t>
        </is>
      </c>
      <c r="K6" t="n">
        <v>30</v>
      </c>
      <c r="L6" t="inlineStr">
        <is>
          <t>2 Oktober 2026</t>
        </is>
      </c>
      <c r="M6" t="inlineStr">
        <is>
          <t>Konstruksi Bangunan Sipil Jalan</t>
        </is>
      </c>
      <c r="N6" t="inlineStr">
        <is>
          <t>K</t>
        </is>
      </c>
      <c r="O6" t="inlineStr">
        <is>
          <t>20230927</t>
        </is>
      </c>
      <c r="P6" t="inlineStr">
        <is>
          <t>Jawa Barat</t>
        </is>
      </c>
      <c r="Q6" t="inlineStr"/>
    </row>
    <row r="7">
      <c r="A7" t="inlineStr">
        <is>
          <t>TAPAK BIMO ROSO</t>
        </is>
      </c>
      <c r="B7" t="inlineStr">
        <is>
          <t>Kota Bekasi</t>
        </is>
      </c>
      <c r="C7" t="inlineStr">
        <is>
          <t>02189453368</t>
        </is>
      </c>
      <c r="D7" t="inlineStr">
        <is>
          <t>tapakbimoroso@gmail.com</t>
        </is>
      </c>
      <c r="E7" t="inlineStr">
        <is>
          <t>https://lpjk.pu.go.id/search-badan-usaha-detail/MU04cnZncW1yZiswVnYzWEJTVUpkdz09</t>
        </is>
      </c>
      <c r="F7" t="n">
        <v>1</v>
      </c>
      <c r="G7" t="inlineStr">
        <is>
          <t>IN001</t>
        </is>
      </c>
      <c r="H7" t="inlineStr">
        <is>
          <t>11 Juni 2015</t>
        </is>
      </c>
      <c r="I7" s="2" t="n">
        <v>46297</v>
      </c>
      <c r="J7" t="inlineStr">
        <is>
          <t>Disetujui</t>
        </is>
      </c>
      <c r="K7" t="n">
        <v>30</v>
      </c>
      <c r="L7" t="inlineStr">
        <is>
          <t>2 Oktober 2026</t>
        </is>
      </c>
      <c r="M7" t="inlineStr">
        <is>
          <t>Instalasi Mekanikal</t>
        </is>
      </c>
      <c r="N7" t="inlineStr">
        <is>
          <t>Spesialis</t>
        </is>
      </c>
      <c r="O7" t="inlineStr">
        <is>
          <t>20230929</t>
        </is>
      </c>
      <c r="P7" t="inlineStr">
        <is>
          <t>Jawa Barat</t>
        </is>
      </c>
      <c r="Q7" t="inlineStr"/>
    </row>
    <row r="8">
      <c r="A8" t="inlineStr">
        <is>
          <t>TIRTAKREASI MANDIRI SEJAHTERA</t>
        </is>
      </c>
      <c r="B8" t="inlineStr">
        <is>
          <t>Kab. Bogor</t>
        </is>
      </c>
      <c r="C8" t="inlineStr">
        <is>
          <t>082113797765</t>
        </is>
      </c>
      <c r="D8" t="inlineStr">
        <is>
          <t>pttirtakreasimandirisejahtera@gmail.com</t>
        </is>
      </c>
      <c r="E8" t="inlineStr">
        <is>
          <t>https://lpjk.pu.go.id/search-badan-usaha-detail/Y2VHcmY3aCsyUC90T0ZxN0UrNHFLUT09</t>
        </is>
      </c>
      <c r="F8" t="n">
        <v>2</v>
      </c>
      <c r="G8" t="inlineStr">
        <is>
          <t>BG009</t>
        </is>
      </c>
      <c r="H8" t="inlineStr">
        <is>
          <t>27 September 2023</t>
        </is>
      </c>
      <c r="I8" s="2" t="n">
        <v>46297</v>
      </c>
      <c r="J8" t="inlineStr">
        <is>
          <t>Disetujui</t>
        </is>
      </c>
      <c r="K8" t="n">
        <v>30</v>
      </c>
      <c r="L8" t="inlineStr">
        <is>
          <t>2 Oktober 2026</t>
        </is>
      </c>
      <c r="M8" t="inlineStr">
        <is>
          <t>Konstruksi Gedung Lainnya</t>
        </is>
      </c>
      <c r="N8" t="inlineStr">
        <is>
          <t>K</t>
        </is>
      </c>
      <c r="O8" t="inlineStr">
        <is>
          <t>20230930</t>
        </is>
      </c>
      <c r="P8" t="inlineStr">
        <is>
          <t>Jawa Barat</t>
        </is>
      </c>
      <c r="Q8" s="3">
        <f>HYPERLINK("https://wa.me/6282113797765?text=*[Pengingat Masa Berlaku SBU TIRTAKREASI MANDIRI SEJAHTERA]*%0A%0AYth. Pimpinan TIRTAKREASI MANDIRI SEJAHTERA,%0AMohon izin menginformasikan status SBU Anda:%0A%0A📄 SBU: BG009%0A📅 Expired: 2 Oktober 2026 (30 Hari Lagi)%0A%0AKami tim PT. ESDEA Assistance Management siap men-support proses perpanjangan segera agar administrasi proyek tidak terhambat%0A%0AApakah boleh saya bantu siapkan estimasi biaya dan waktu pengerjaannya?.", "Hubungi")</f>
        <v/>
      </c>
    </row>
    <row r="9">
      <c r="A9" t="inlineStr">
        <is>
          <t>WULAN AKBAR KONSTRUKSI</t>
        </is>
      </c>
      <c r="B9" t="inlineStr">
        <is>
          <t>Kota Depok</t>
        </is>
      </c>
      <c r="C9" t="inlineStr">
        <is>
          <t>081315685855</t>
        </is>
      </c>
      <c r="D9" t="inlineStr">
        <is>
          <t>wulanakbarkonstruksi@gmail.com</t>
        </is>
      </c>
      <c r="E9" t="inlineStr">
        <is>
          <t>https://lpjk.pu.go.id/search-badan-usaha-detail/WWRSTFBidGFYT090eGdzNmhmMEp3UT09</t>
        </is>
      </c>
      <c r="F9" t="n">
        <v>2</v>
      </c>
      <c r="G9" t="inlineStr">
        <is>
          <t>BG001, BS002</t>
        </is>
      </c>
      <c r="H9" t="inlineStr">
        <is>
          <t>18 Juni 2021</t>
        </is>
      </c>
      <c r="I9" s="2" t="n">
        <v>46297</v>
      </c>
      <c r="J9" t="inlineStr">
        <is>
          <t>Disetujui</t>
        </is>
      </c>
      <c r="K9" t="n">
        <v>30</v>
      </c>
      <c r="L9" t="inlineStr">
        <is>
          <t>2 Oktober 2026</t>
        </is>
      </c>
      <c r="M9" t="inlineStr">
        <is>
          <t>Bangunan Sipil Jembatan, Jalan Layang, Fly Over, dan Underpass, Konstruksi Gedung Hunian</t>
        </is>
      </c>
      <c r="N9" t="inlineStr">
        <is>
          <t>K</t>
        </is>
      </c>
      <c r="O9" t="inlineStr">
        <is>
          <t>20231003</t>
        </is>
      </c>
      <c r="P9" t="inlineStr">
        <is>
          <t>Jawa Barat</t>
        </is>
      </c>
      <c r="Q9" s="3">
        <f>HYPERLINK("https://wa.me/6281315685855?text=*[Pengingat Masa Berlaku SBU WULAN AKBAR KONSTRUKSI]*%0A%0AYth. Pimpinan WULAN AKBAR KONSTRUKSI,%0AMohon izin menginformasikan status SBU Anda:%0A%0A📄 SBU: BG001, BS002%0A📅 Expired: 2 Oktober 2026 (30 Hari Lagi)%0A%0AKami tim PT. ESDEA Assistance Management siap men-support proses perpanjangan segera agar administrasi proyek tidak terhambat%0A%0AApakah boleh saya bantu siapkan estimasi biaya dan waktu pengerjaannya?.", "Hubungi")</f>
        <v/>
      </c>
    </row>
    <row r="10">
      <c r="A10" t="inlineStr">
        <is>
          <t>ABDI KARYA</t>
        </is>
      </c>
      <c r="B10" t="inlineStr">
        <is>
          <t>Kab. Dairi</t>
        </is>
      </c>
      <c r="C10" t="inlineStr">
        <is>
          <t>082274867628</t>
        </is>
      </c>
      <c r="D10" t="inlineStr">
        <is>
          <t>abdi.sihombing@yahoo.com</t>
        </is>
      </c>
      <c r="E10" t="inlineStr">
        <is>
          <t>https://lpjk.pu.go.id/search-badan-usaha-detail/TzBxaldPcWFHazcrZzQyNlN1eHdrUT09</t>
        </is>
      </c>
      <c r="F10" t="n">
        <v>1</v>
      </c>
      <c r="G10" t="inlineStr">
        <is>
          <t>BS004</t>
        </is>
      </c>
      <c r="H10" t="inlineStr">
        <is>
          <t>17 Januari 2020</t>
        </is>
      </c>
      <c r="I10" s="2" t="n">
        <v>46297</v>
      </c>
      <c r="J10" t="inlineStr">
        <is>
          <t>Disetujui</t>
        </is>
      </c>
      <c r="K10" t="n">
        <v>30</v>
      </c>
      <c r="L10" t="inlineStr">
        <is>
          <t>2 Oktober 2026</t>
        </is>
      </c>
      <c r="M10" t="inlineStr">
        <is>
          <t>Konstruksi Jaringan Irigasi dan Drainase</t>
        </is>
      </c>
      <c r="N10" t="inlineStr">
        <is>
          <t>K</t>
        </is>
      </c>
      <c r="O10" t="inlineStr">
        <is>
          <t>20230928</t>
        </is>
      </c>
      <c r="P10" t="inlineStr">
        <is>
          <t>Sumatera Utara</t>
        </is>
      </c>
      <c r="Q10" t="inlineStr"/>
    </row>
    <row r="11">
      <c r="A11" t="inlineStr">
        <is>
          <t>ADE MITRA PRIMAH JAYA</t>
        </is>
      </c>
      <c r="B11" t="inlineStr">
        <is>
          <t>Kab. Pelalawan</t>
        </is>
      </c>
      <c r="C11" t="inlineStr">
        <is>
          <t>081363858101</t>
        </is>
      </c>
      <c r="D11" t="inlineStr">
        <is>
          <t>ptademitraprimahjaya@gmail.com</t>
        </is>
      </c>
      <c r="E11" t="inlineStr">
        <is>
          <t>https://lpjk.pu.go.id/search-badan-usaha-detail/YU9jVDRGaTR2eHFtcHZvdm9QTlU1Zz09</t>
        </is>
      </c>
      <c r="F11" t="n">
        <v>1</v>
      </c>
      <c r="G11" t="inlineStr">
        <is>
          <t>PL001</t>
        </is>
      </c>
      <c r="H11" t="inlineStr">
        <is>
          <t>9 Agustus 2021</t>
        </is>
      </c>
      <c r="I11" s="2" t="n">
        <v>46297</v>
      </c>
      <c r="J11" t="inlineStr">
        <is>
          <t>Pencabutan</t>
        </is>
      </c>
      <c r="K11" t="n">
        <v>30</v>
      </c>
      <c r="L11" t="inlineStr">
        <is>
          <t>2 Oktober 2026</t>
        </is>
      </c>
      <c r="M11" t="inlineStr">
        <is>
          <t>Pembongkaran Bangunan</t>
        </is>
      </c>
      <c r="N11" t="inlineStr">
        <is>
          <t>Spesialis</t>
        </is>
      </c>
      <c r="O11" t="inlineStr">
        <is>
          <t>20230921</t>
        </is>
      </c>
      <c r="P11" t="inlineStr">
        <is>
          <t>Riau</t>
        </is>
      </c>
      <c r="Q11" t="inlineStr"/>
    </row>
    <row r="12">
      <c r="A12" t="inlineStr">
        <is>
          <t>ADIDAYA PRATAMA JOMANTARA</t>
        </is>
      </c>
      <c r="B12" t="inlineStr">
        <is>
          <t>Kab. Purwakarta</t>
        </is>
      </c>
      <c r="C12" t="inlineStr">
        <is>
          <t>081289158754</t>
        </is>
      </c>
      <c r="D12" t="inlineStr">
        <is>
          <t>pt.adidayapratamajomantara@gmail.com</t>
        </is>
      </c>
      <c r="E12" t="inlineStr">
        <is>
          <t>https://lpjk.pu.go.id/search-badan-usaha-detail/Yk9sbm44UnhNaUlOQjBmMnprQTBzcytxYTVDbGRWNmlrWHloVUFCdnEvND0</t>
        </is>
      </c>
      <c r="F12" t="n">
        <v>4</v>
      </c>
      <c r="G12" t="inlineStr">
        <is>
          <t>BG009, BS001, BS002, BS004</t>
        </is>
      </c>
      <c r="H12" t="inlineStr">
        <is>
          <t>21 April 2025</t>
        </is>
      </c>
      <c r="I12" s="2" t="n">
        <v>46297</v>
      </c>
      <c r="J12" t="inlineStr">
        <is>
          <t>Disetujui</t>
        </is>
      </c>
      <c r="K12" t="n">
        <v>30</v>
      </c>
      <c r="L12" t="inlineStr">
        <is>
          <t>2 Oktober 2026</t>
        </is>
      </c>
      <c r="M12" t="inlineStr">
        <is>
          <t>Bangunan Sipil Jembatan, Jalan Layang, Fly Over, dan Underpass, Konstruksi Bangunan Sipil Jalan, Konstruksi Gedung Lainnya, Konstruksi Jaringan Irigasi dan Drainase</t>
        </is>
      </c>
      <c r="N12" t="inlineStr">
        <is>
          <t>K</t>
        </is>
      </c>
      <c r="O12" t="inlineStr">
        <is>
          <t>20230925</t>
        </is>
      </c>
      <c r="P12" t="inlineStr">
        <is>
          <t>Jawa Barat</t>
        </is>
      </c>
      <c r="Q12" t="inlineStr"/>
    </row>
    <row r="13">
      <c r="A13" t="inlineStr">
        <is>
          <t>AKASIA LIGAR MANDIRI</t>
        </is>
      </c>
      <c r="B13" t="inlineStr">
        <is>
          <t>Kab. Tasikmalaya</t>
        </is>
      </c>
      <c r="C13" t="inlineStr">
        <is>
          <t>081321650650</t>
        </is>
      </c>
      <c r="D13" t="inlineStr">
        <is>
          <t>cvakasialigarmandiri@gmail.com</t>
        </is>
      </c>
      <c r="E13" t="inlineStr">
        <is>
          <t>https://lpjk.pu.go.id/search-badan-usaha-detail/S281aVh0aTlVYWhacjdNSVhINGxlQT09</t>
        </is>
      </c>
      <c r="F13" t="n">
        <v>2</v>
      </c>
      <c r="G13" t="inlineStr">
        <is>
          <t>BS004</t>
        </is>
      </c>
      <c r="H13" t="inlineStr">
        <is>
          <t>24 Juli 2023</t>
        </is>
      </c>
      <c r="I13" s="2" t="n">
        <v>46297</v>
      </c>
      <c r="J13" t="inlineStr">
        <is>
          <t>Disetujui</t>
        </is>
      </c>
      <c r="K13" t="n">
        <v>30</v>
      </c>
      <c r="L13" t="inlineStr">
        <is>
          <t>2 Oktober 2026</t>
        </is>
      </c>
      <c r="M13" t="inlineStr">
        <is>
          <t>Konstruksi Jaringan Irigasi dan Drainase</t>
        </is>
      </c>
      <c r="N13" t="inlineStr">
        <is>
          <t>K</t>
        </is>
      </c>
      <c r="O13" t="inlineStr">
        <is>
          <t>20230913</t>
        </is>
      </c>
      <c r="P13" t="inlineStr">
        <is>
          <t>Jawa Barat</t>
        </is>
      </c>
      <c r="Q13" t="inlineStr"/>
    </row>
    <row r="14">
      <c r="A14" t="inlineStr">
        <is>
          <t>ANINDO KARYA</t>
        </is>
      </c>
      <c r="B14" t="inlineStr">
        <is>
          <t>Kota Palu</t>
        </is>
      </c>
      <c r="C14" t="inlineStr">
        <is>
          <t>082110474396</t>
        </is>
      </c>
      <c r="D14" t="inlineStr">
        <is>
          <t>anindo.karya@gmail.com</t>
        </is>
      </c>
      <c r="E14" t="inlineStr">
        <is>
          <t>https://lpjk.pu.go.id/search-badan-usaha-detail/Mm9xL3ppUFB4NVhZTnVEQVhadVd1dz09</t>
        </is>
      </c>
      <c r="F14" t="n">
        <v>2</v>
      </c>
      <c r="G14" t="inlineStr">
        <is>
          <t>BG002, BG006</t>
        </is>
      </c>
      <c r="H14" t="inlineStr">
        <is>
          <t>30 Desember 2019</t>
        </is>
      </c>
      <c r="I14" s="2" t="n">
        <v>46297</v>
      </c>
      <c r="J14" t="inlineStr">
        <is>
          <t>Disetujui, Dokumen Lengkap</t>
        </is>
      </c>
      <c r="K14" t="n">
        <v>30</v>
      </c>
      <c r="L14" t="inlineStr">
        <is>
          <t>2 Oktober 2026</t>
        </is>
      </c>
      <c r="M14" t="inlineStr">
        <is>
          <t>Konstruksi Gedung Pendidikan, Konstruksi Gedung Perkantoran</t>
        </is>
      </c>
      <c r="N14" t="inlineStr">
        <is>
          <t>K</t>
        </is>
      </c>
      <c r="O14" t="inlineStr">
        <is>
          <t>20230103, 20231002</t>
        </is>
      </c>
      <c r="P14" t="inlineStr">
        <is>
          <t>Sulawesi Tengah</t>
        </is>
      </c>
      <c r="Q14" t="inlineStr"/>
    </row>
    <row r="15">
      <c r="A15" t="inlineStr">
        <is>
          <t>ANUGRAH MAHA KARYA PERSADA</t>
        </is>
      </c>
      <c r="B15" t="inlineStr">
        <is>
          <t>Kab. Tuban</t>
        </is>
      </c>
      <c r="C15" t="inlineStr">
        <is>
          <t>082143196801</t>
        </is>
      </c>
      <c r="D15" t="inlineStr">
        <is>
          <t>pt.amkpersada@gmail.com</t>
        </is>
      </c>
      <c r="E15" t="inlineStr">
        <is>
          <t>https://lpjk.pu.go.id/search-badan-usaha-detail/WWtvUElndjdnNGNDbXdOUiswalhhZz09</t>
        </is>
      </c>
      <c r="F15" t="n">
        <v>4</v>
      </c>
      <c r="G15" t="inlineStr">
        <is>
          <t>BG006</t>
        </is>
      </c>
      <c r="H15" t="inlineStr">
        <is>
          <t>11 Maret 2020</t>
        </is>
      </c>
      <c r="I15" s="2" t="n">
        <v>46297</v>
      </c>
      <c r="J15" t="inlineStr">
        <is>
          <t>Disetujui</t>
        </is>
      </c>
      <c r="K15" t="n">
        <v>30</v>
      </c>
      <c r="L15" t="inlineStr">
        <is>
          <t>2 Oktober 2026</t>
        </is>
      </c>
      <c r="M15" t="inlineStr">
        <is>
          <t>Konstruksi Gedung Pendidikan</t>
        </is>
      </c>
      <c r="N15" t="inlineStr">
        <is>
          <t>K</t>
        </is>
      </c>
      <c r="O15" t="inlineStr">
        <is>
          <t>20230930</t>
        </is>
      </c>
      <c r="P15" t="inlineStr">
        <is>
          <t>Jawa Timur</t>
        </is>
      </c>
      <c r="Q15" t="inlineStr"/>
    </row>
    <row r="16">
      <c r="A16" t="inlineStr">
        <is>
          <t>ARGATAMA</t>
        </is>
      </c>
      <c r="B16" t="inlineStr">
        <is>
          <t>Kab. Jember</t>
        </is>
      </c>
      <c r="C16" t="inlineStr">
        <is>
          <t>085236887000</t>
        </is>
      </c>
      <c r="D16" t="inlineStr">
        <is>
          <t>cvargatamajbr@gmail.com</t>
        </is>
      </c>
      <c r="E16" t="inlineStr">
        <is>
          <t>https://lpjk.pu.go.id/search-badan-usaha-detail/eitYOU9oeDZwMEJrd013TW1tWTBuZz09</t>
        </is>
      </c>
      <c r="F16" t="n">
        <v>2</v>
      </c>
      <c r="G16" t="inlineStr">
        <is>
          <t>BS001</t>
        </is>
      </c>
      <c r="H16" t="inlineStr">
        <is>
          <t>22 Januari 1982</t>
        </is>
      </c>
      <c r="I16" s="2" t="n">
        <v>46297</v>
      </c>
      <c r="J16" t="inlineStr">
        <is>
          <t>Disetujui</t>
        </is>
      </c>
      <c r="K16" t="n">
        <v>30</v>
      </c>
      <c r="L16" t="inlineStr">
        <is>
          <t>2 Oktober 2026</t>
        </is>
      </c>
      <c r="M16" t="inlineStr">
        <is>
          <t>Konstruksi Bangunan Sipil Jalan</t>
        </is>
      </c>
      <c r="N16" t="inlineStr">
        <is>
          <t>K</t>
        </is>
      </c>
      <c r="O16" t="inlineStr">
        <is>
          <t>20230925</t>
        </is>
      </c>
      <c r="P16" t="inlineStr">
        <is>
          <t>Jawa Timur</t>
        </is>
      </c>
      <c r="Q16" t="inlineStr"/>
    </row>
    <row r="17">
      <c r="A17" t="inlineStr">
        <is>
          <t>ARSHAKA KARYA GEMILANG</t>
        </is>
      </c>
      <c r="B17" t="inlineStr">
        <is>
          <t>Kota Balikpapan</t>
        </is>
      </c>
      <c r="C17" t="inlineStr">
        <is>
          <t>081333130927</t>
        </is>
      </c>
      <c r="D17" t="inlineStr">
        <is>
          <t>arshaka.kg89@gmail.com</t>
        </is>
      </c>
      <c r="E17" t="inlineStr">
        <is>
          <t>https://lpjk.pu.go.id/search-badan-usaha-detail/UmY5T29wOGl0Z0NadXdKd1BObEt4dz09</t>
        </is>
      </c>
      <c r="F17" t="n">
        <v>2</v>
      </c>
      <c r="G17" t="inlineStr">
        <is>
          <t>BG009</t>
        </is>
      </c>
      <c r="H17" t="inlineStr">
        <is>
          <t>20 Januari 2023</t>
        </is>
      </c>
      <c r="I17" s="2" t="n">
        <v>46297</v>
      </c>
      <c r="J17" t="inlineStr">
        <is>
          <t>Disetujui</t>
        </is>
      </c>
      <c r="K17" t="n">
        <v>30</v>
      </c>
      <c r="L17" t="inlineStr">
        <is>
          <t>2 Oktober 2026</t>
        </is>
      </c>
      <c r="M17" t="inlineStr">
        <is>
          <t>Konstruksi Gedung Lainnya</t>
        </is>
      </c>
      <c r="N17" t="inlineStr">
        <is>
          <t>K</t>
        </is>
      </c>
      <c r="O17" t="inlineStr">
        <is>
          <t>20231002</t>
        </is>
      </c>
      <c r="P17" t="inlineStr">
        <is>
          <t>Kalimantan Timur</t>
        </is>
      </c>
      <c r="Q17" t="inlineStr"/>
    </row>
    <row r="18">
      <c r="A18" t="inlineStr">
        <is>
          <t>ARTA PRAKARSA</t>
        </is>
      </c>
      <c r="B18" t="inlineStr">
        <is>
          <t>Kab. Ngada</t>
        </is>
      </c>
      <c r="C18" t="inlineStr">
        <is>
          <t>081261257828</t>
        </is>
      </c>
      <c r="D18" t="inlineStr">
        <is>
          <t>artaprakarsa2019@gmail.com</t>
        </is>
      </c>
      <c r="E18" t="inlineStr">
        <is>
          <t>https://lpjk.pu.go.id/search-badan-usaha-detail/RWJpTjd5ZnRmcWxxT3Q0TkNQM3ladz09</t>
        </is>
      </c>
      <c r="F18" t="n">
        <v>4</v>
      </c>
      <c r="G18" t="inlineStr">
        <is>
          <t>BG006, BG009, BS001, BS004</t>
        </is>
      </c>
      <c r="H18" t="inlineStr">
        <is>
          <t>5 Januari 2015</t>
        </is>
      </c>
      <c r="I18" s="2" t="n">
        <v>46297</v>
      </c>
      <c r="J18" t="inlineStr">
        <is>
          <t>Disetujui</t>
        </is>
      </c>
      <c r="K18" t="n">
        <v>30</v>
      </c>
      <c r="L18" t="inlineStr">
        <is>
          <t>2 Oktober 2026</t>
        </is>
      </c>
      <c r="M18" t="inlineStr">
        <is>
          <t>Konstruksi Bangunan Sipil Jalan, Konstruksi Gedung Lainnya, Konstruksi Gedung Pendidikan, Konstruksi Jaringan Irigasi dan Drainase</t>
        </is>
      </c>
      <c r="N18" t="inlineStr">
        <is>
          <t>K</t>
        </is>
      </c>
      <c r="O18" t="inlineStr">
        <is>
          <t>20230929, 20231003, 20231005</t>
        </is>
      </c>
      <c r="P18" t="inlineStr">
        <is>
          <t>Nusa Tenggara Timur</t>
        </is>
      </c>
      <c r="Q18" t="inlineStr"/>
    </row>
    <row r="19">
      <c r="A19" t="inlineStr">
        <is>
          <t>ARTHA DAYA COALINDO</t>
        </is>
      </c>
      <c r="B19" t="inlineStr">
        <is>
          <t>Kota Adm. Jakarta Selatan</t>
        </is>
      </c>
      <c r="C19" t="inlineStr">
        <is>
          <t>87888743920</t>
        </is>
      </c>
      <c r="D19" t="inlineStr">
        <is>
          <t>support@arthadayacoalindo.co.id</t>
        </is>
      </c>
      <c r="E19" t="inlineStr">
        <is>
          <t>https://lpjk.pu.go.id/search-badan-usaha-detail/NnRlN1h3amw4NHhFZ00rNW1RZmJodz09</t>
        </is>
      </c>
      <c r="F19" t="n">
        <v>1</v>
      </c>
      <c r="G19" t="inlineStr">
        <is>
          <t>IN005</t>
        </is>
      </c>
      <c r="H19" t="inlineStr">
        <is>
          <t>21 Oktober 1997</t>
        </is>
      </c>
      <c r="I19" s="2" t="n">
        <v>46297</v>
      </c>
      <c r="J19" t="inlineStr">
        <is>
          <t>Pembekuan</t>
        </is>
      </c>
      <c r="K19" t="n">
        <v>30</v>
      </c>
      <c r="L19" t="inlineStr">
        <is>
          <t>2 Oktober 2026</t>
        </is>
      </c>
      <c r="M19" t="inlineStr">
        <is>
          <t>Instalasi Konstruksi Navigasi Laut, Sungai, dan Udara</t>
        </is>
      </c>
      <c r="N19" t="inlineStr">
        <is>
          <t>Spesialis</t>
        </is>
      </c>
      <c r="O19" t="inlineStr">
        <is>
          <t>20230927</t>
        </is>
      </c>
      <c r="P19" t="inlineStr">
        <is>
          <t>DKI Jakarta</t>
        </is>
      </c>
      <c r="Q19" t="inlineStr"/>
    </row>
    <row r="20">
      <c r="A20" t="inlineStr">
        <is>
          <t>ARTHA RAHMA PANGESTU</t>
        </is>
      </c>
      <c r="B20" t="inlineStr">
        <is>
          <t>Kota Surabaya</t>
        </is>
      </c>
      <c r="C20" t="inlineStr">
        <is>
          <t>087711555359</t>
        </is>
      </c>
      <c r="D20" t="inlineStr">
        <is>
          <t>arp.official5379@gmail.com</t>
        </is>
      </c>
      <c r="E20" t="inlineStr">
        <is>
          <t>https://lpjk.pu.go.id/search-badan-usaha-detail/ZmRRZ0tINWRtNkNoMktUTGtNN056dz09</t>
        </is>
      </c>
      <c r="F20" t="n">
        <v>2</v>
      </c>
      <c r="G20" t="inlineStr">
        <is>
          <t>BG002, BG009</t>
        </is>
      </c>
      <c r="H20" t="inlineStr">
        <is>
          <t>21 November 2022</t>
        </is>
      </c>
      <c r="I20" s="2" t="n">
        <v>46297</v>
      </c>
      <c r="J20" t="inlineStr">
        <is>
          <t>Disetujui</t>
        </is>
      </c>
      <c r="K20" t="n">
        <v>30</v>
      </c>
      <c r="L20" t="inlineStr">
        <is>
          <t>2 Oktober 2026</t>
        </is>
      </c>
      <c r="M20" t="inlineStr">
        <is>
          <t>Konstruksi Gedung Lainnya, Konstruksi Gedung Perkantoran</t>
        </is>
      </c>
      <c r="N20" t="inlineStr">
        <is>
          <t>K</t>
        </is>
      </c>
      <c r="O20" t="inlineStr">
        <is>
          <t>20230926, 20231002</t>
        </is>
      </c>
      <c r="P20" t="inlineStr">
        <is>
          <t>Jawa Timur</t>
        </is>
      </c>
      <c r="Q20" t="inlineStr"/>
    </row>
    <row r="21">
      <c r="A21" t="inlineStr">
        <is>
          <t>ARUM BERKAH LESTARI</t>
        </is>
      </c>
      <c r="B21" t="inlineStr">
        <is>
          <t>Kota Cilegon</t>
        </is>
      </c>
      <c r="C21" t="inlineStr">
        <is>
          <t>082110348610</t>
        </is>
      </c>
      <c r="D21" t="inlineStr">
        <is>
          <t>cvarumberkahlestari@gmail.com</t>
        </is>
      </c>
      <c r="E21" t="inlineStr">
        <is>
          <t>https://lpjk.pu.go.id/search-badan-usaha-detail/OXJFWDNGZlVPMDNtUkpTVXZKeitOUT09</t>
        </is>
      </c>
      <c r="F21" t="n">
        <v>2</v>
      </c>
      <c r="G21" t="inlineStr">
        <is>
          <t>BG002, BG009</t>
        </is>
      </c>
      <c r="H21" t="inlineStr">
        <is>
          <t>23 Februari 2022</t>
        </is>
      </c>
      <c r="I21" s="2" t="n">
        <v>46297</v>
      </c>
      <c r="J21" t="inlineStr">
        <is>
          <t>Disetujui</t>
        </is>
      </c>
      <c r="K21" t="n">
        <v>30</v>
      </c>
      <c r="L21" t="inlineStr">
        <is>
          <t>2 Oktober 2026</t>
        </is>
      </c>
      <c r="M21" t="inlineStr">
        <is>
          <t>Konstruksi Gedung Lainnya, Konstruksi Gedung Perkantoran</t>
        </is>
      </c>
      <c r="N21" t="inlineStr">
        <is>
          <t>K</t>
        </is>
      </c>
      <c r="O21" t="inlineStr">
        <is>
          <t>20230926</t>
        </is>
      </c>
      <c r="P21" t="inlineStr">
        <is>
          <t>Banten</t>
        </is>
      </c>
      <c r="Q21" t="inlineStr"/>
    </row>
    <row r="22">
      <c r="A22" t="inlineStr">
        <is>
          <t>AURA JONG CELEBES</t>
        </is>
      </c>
      <c r="B22" t="inlineStr">
        <is>
          <t>Kab. Bondowoso</t>
        </is>
      </c>
      <c r="C22" t="inlineStr">
        <is>
          <t>082234224303</t>
        </is>
      </c>
      <c r="D22" t="inlineStr">
        <is>
          <t>aurajongcelebes@gmail.com</t>
        </is>
      </c>
      <c r="E22" t="inlineStr">
        <is>
          <t>https://lpjk.pu.go.id/search-badan-usaha-detail/d1JoYjN3Sm4xSStXWG9pNDViMVRRdz09</t>
        </is>
      </c>
      <c r="F22" t="n">
        <v>2</v>
      </c>
      <c r="G22" t="inlineStr">
        <is>
          <t>BS004, BS005</t>
        </is>
      </c>
      <c r="H22" t="inlineStr">
        <is>
          <t>7 April 2015</t>
        </is>
      </c>
      <c r="I22" s="2" t="n">
        <v>46297</v>
      </c>
      <c r="J22" t="inlineStr">
        <is>
          <t>Disetujui</t>
        </is>
      </c>
      <c r="K22" t="n">
        <v>30</v>
      </c>
      <c r="L22" t="inlineStr">
        <is>
          <t>2 Oktober 2026</t>
        </is>
      </c>
      <c r="M22" t="inlineStr">
        <is>
          <t>Konstruksi Bangunan Sipil Pengolahan Air Bersih, Konstruksi Jaringan Irigasi dan Drainase</t>
        </is>
      </c>
      <c r="N22" t="inlineStr">
        <is>
          <t>K</t>
        </is>
      </c>
      <c r="O22" t="inlineStr">
        <is>
          <t>20230926</t>
        </is>
      </c>
      <c r="P22" t="inlineStr">
        <is>
          <t>Jawa Timur</t>
        </is>
      </c>
      <c r="Q22" t="inlineStr"/>
    </row>
    <row r="23">
      <c r="A23" t="inlineStr">
        <is>
          <t>AZKIA BERKATAMA</t>
        </is>
      </c>
      <c r="B23" t="inlineStr">
        <is>
          <t>Kab. Banyumas</t>
        </is>
      </c>
      <c r="C23" t="inlineStr">
        <is>
          <t>08157979181</t>
        </is>
      </c>
      <c r="D23" t="inlineStr">
        <is>
          <t>cvazkiaberkatama@gmail.com</t>
        </is>
      </c>
      <c r="E23" t="inlineStr">
        <is>
          <t>https://lpjk.pu.go.id/search-badan-usaha-detail/ZVZpVzNGMHFsKzRreGNMR3dmZ3NoZz09</t>
        </is>
      </c>
      <c r="F23" t="n">
        <v>3</v>
      </c>
      <c r="G23" t="inlineStr">
        <is>
          <t>BG005, BG006, BS001</t>
        </is>
      </c>
      <c r="H23" t="inlineStr">
        <is>
          <t>9 Oktober 2014</t>
        </is>
      </c>
      <c r="I23" s="2" t="n">
        <v>46297</v>
      </c>
      <c r="J23" t="inlineStr">
        <is>
          <t>Disetujui</t>
        </is>
      </c>
      <c r="K23" t="n">
        <v>30</v>
      </c>
      <c r="L23" t="inlineStr">
        <is>
          <t>2 Oktober 2026</t>
        </is>
      </c>
      <c r="M23" t="inlineStr">
        <is>
          <t>Konstruksi Bangunan Sipil Jalan, Konstruksi Gedung Kesehatan, Konstruksi Gedung Pendidikan</t>
        </is>
      </c>
      <c r="N23" t="inlineStr">
        <is>
          <t>K</t>
        </is>
      </c>
      <c r="O23" t="inlineStr">
        <is>
          <t>20230927</t>
        </is>
      </c>
      <c r="P23" t="inlineStr">
        <is>
          <t>Jawa Tengah</t>
        </is>
      </c>
      <c r="Q23" t="inlineStr"/>
    </row>
    <row r="24">
      <c r="A24" t="inlineStr">
        <is>
          <t>BAHANA TOTALINDO TEKNIK</t>
        </is>
      </c>
      <c r="B24" t="inlineStr">
        <is>
          <t>Kota Adm. Jakarta Pusat</t>
        </is>
      </c>
      <c r="C24" t="inlineStr">
        <is>
          <t>0215733007</t>
        </is>
      </c>
      <c r="D24" t="inlineStr">
        <is>
          <t>bahanatotalindoteknik@gmail.com</t>
        </is>
      </c>
      <c r="E24" t="inlineStr">
        <is>
          <t>https://lpjk.pu.go.id/search-badan-usaha-detail/bnZ3aWEvOUlVbC9yQmlUSXNGMTMzZz09</t>
        </is>
      </c>
      <c r="F24" t="n">
        <v>2</v>
      </c>
      <c r="G24" t="inlineStr">
        <is>
          <t>BG003, BG005</t>
        </is>
      </c>
      <c r="H24" t="inlineStr">
        <is>
          <t>4 Januari 2019</t>
        </is>
      </c>
      <c r="I24" s="2" t="n">
        <v>46297</v>
      </c>
      <c r="J24" t="inlineStr">
        <is>
          <t>Disetujui</t>
        </is>
      </c>
      <c r="K24" t="n">
        <v>30</v>
      </c>
      <c r="L24" t="inlineStr">
        <is>
          <t>2 Oktober 2026</t>
        </is>
      </c>
      <c r="M24" t="inlineStr">
        <is>
          <t>Konstruksi Gedung Industri, Konstruksi Gedung Kesehatan</t>
        </is>
      </c>
      <c r="N24" t="inlineStr">
        <is>
          <t>K</t>
        </is>
      </c>
      <c r="O24" t="inlineStr">
        <is>
          <t>20231001, 20231005</t>
        </is>
      </c>
      <c r="P24" t="inlineStr">
        <is>
          <t>DKI Jakarta</t>
        </is>
      </c>
      <c r="Q24" t="inlineStr"/>
    </row>
    <row r="25">
      <c r="A25" t="inlineStr">
        <is>
          <t>BANGUN KELOLA SWADAYA</t>
        </is>
      </c>
      <c r="B25" t="inlineStr">
        <is>
          <t>Kota Adm. Jakarta Selatan</t>
        </is>
      </c>
      <c r="C25" t="inlineStr">
        <is>
          <t>0217261310</t>
        </is>
      </c>
      <c r="D25" t="inlineStr">
        <is>
          <t>legal.ptbks@gmail.com</t>
        </is>
      </c>
      <c r="E25" t="inlineStr">
        <is>
          <t>https://lpjk.pu.go.id/search-badan-usaha-detail/bFdEN0laZGNhSU5IRi83RFo3RW9uUT09</t>
        </is>
      </c>
      <c r="F25" t="n">
        <v>1</v>
      </c>
      <c r="G25" t="inlineStr">
        <is>
          <t>BS009</t>
        </is>
      </c>
      <c r="H25" t="inlineStr">
        <is>
          <t>25 Mei 2016</t>
        </is>
      </c>
      <c r="I25" s="2" t="n">
        <v>46297</v>
      </c>
      <c r="J25" t="inlineStr">
        <is>
          <t>Disetujui</t>
        </is>
      </c>
      <c r="K25" t="n">
        <v>30</v>
      </c>
      <c r="L25" t="inlineStr">
        <is>
          <t>2 Oktober 2026</t>
        </is>
      </c>
      <c r="M25" t="inlineStr">
        <is>
          <t>Konstruksi Sentral Telekomunikasi</t>
        </is>
      </c>
      <c r="N25" t="inlineStr">
        <is>
          <t>M</t>
        </is>
      </c>
      <c r="O25" t="inlineStr">
        <is>
          <t>20230926</t>
        </is>
      </c>
      <c r="P25" t="inlineStr">
        <is>
          <t>DKI Jakarta</t>
        </is>
      </c>
      <c r="Q25" t="inlineStr"/>
    </row>
    <row r="26">
      <c r="A26" t="inlineStr">
        <is>
          <t>BAYU PUTRA PERDANA</t>
        </is>
      </c>
      <c r="B26" t="inlineStr">
        <is>
          <t>Kab. Tulungagung</t>
        </is>
      </c>
      <c r="C26" t="inlineStr">
        <is>
          <t>081216227549</t>
        </is>
      </c>
      <c r="D26" t="inlineStr">
        <is>
          <t>bison.fighter@yahoo.com</t>
        </is>
      </c>
      <c r="E26" t="inlineStr">
        <is>
          <t>https://lpjk.pu.go.id/search-badan-usaha-detail/T3dLTGtYc3E3QkE4NnNoSHd2QmtiUT09</t>
        </is>
      </c>
      <c r="F26" t="n">
        <v>1</v>
      </c>
      <c r="G26" t="inlineStr">
        <is>
          <t>BG009</t>
        </is>
      </c>
      <c r="H26" t="inlineStr">
        <is>
          <t>7 September 2009</t>
        </is>
      </c>
      <c r="I26" s="2" t="n">
        <v>46297</v>
      </c>
      <c r="J26" t="inlineStr">
        <is>
          <t>Disetujui</t>
        </is>
      </c>
      <c r="K26" t="n">
        <v>30</v>
      </c>
      <c r="L26" t="inlineStr">
        <is>
          <t>2 Oktober 2026</t>
        </is>
      </c>
      <c r="M26" t="inlineStr">
        <is>
          <t>Konstruksi Gedung Lainnya</t>
        </is>
      </c>
      <c r="N26" t="inlineStr">
        <is>
          <t>K</t>
        </is>
      </c>
      <c r="O26" t="inlineStr">
        <is>
          <t>20230929</t>
        </is>
      </c>
      <c r="P26" t="inlineStr">
        <is>
          <t>Jawa Timur</t>
        </is>
      </c>
      <c r="Q26" t="inlineStr"/>
    </row>
    <row r="27">
      <c r="A27" t="inlineStr">
        <is>
          <t>BERKAH JAYA HARUM</t>
        </is>
      </c>
      <c r="B27" t="inlineStr">
        <is>
          <t>Kab. Banyuwangi</t>
        </is>
      </c>
      <c r="C27" t="inlineStr">
        <is>
          <t>081336161357</t>
        </is>
      </c>
      <c r="D27" t="inlineStr">
        <is>
          <t>cvberkahjayaharum@gmail.com</t>
        </is>
      </c>
      <c r="E27" t="inlineStr">
        <is>
          <t>https://lpjk.pu.go.id/search-badan-usaha-detail/WGdTTnB3eTRneUtIZDUrWmh1NzdtQT09</t>
        </is>
      </c>
      <c r="F27" t="n">
        <v>6</v>
      </c>
      <c r="G27" t="inlineStr">
        <is>
          <t>BG006, BS001, BS004</t>
        </is>
      </c>
      <c r="H27" t="inlineStr">
        <is>
          <t>7 Januari 2020</t>
        </is>
      </c>
      <c r="I27" s="2" t="n">
        <v>46297</v>
      </c>
      <c r="J27" t="inlineStr">
        <is>
          <t>Disetujui</t>
        </is>
      </c>
      <c r="K27" t="n">
        <v>30</v>
      </c>
      <c r="L27" t="inlineStr">
        <is>
          <t>2 Oktober 2026</t>
        </is>
      </c>
      <c r="M27" t="inlineStr">
        <is>
          <t>Konstruksi Bangunan Sipil Jalan, Konstruksi Gedung Pendidikan, Konstruksi Jaringan Irigasi dan Drainase</t>
        </is>
      </c>
      <c r="N27" t="inlineStr">
        <is>
          <t>K</t>
        </is>
      </c>
      <c r="O27" t="inlineStr">
        <is>
          <t>20230831, 20230905</t>
        </is>
      </c>
      <c r="P27" t="inlineStr">
        <is>
          <t>Jawa Timur</t>
        </is>
      </c>
      <c r="Q27" t="inlineStr"/>
    </row>
    <row r="28">
      <c r="A28" t="inlineStr">
        <is>
          <t>BIMA BERKAH MANDIRI</t>
        </is>
      </c>
      <c r="B28" t="inlineStr">
        <is>
          <t>Kab. Tuban</t>
        </is>
      </c>
      <c r="C28" t="inlineStr">
        <is>
          <t>081230942781</t>
        </is>
      </c>
      <c r="D28" t="inlineStr">
        <is>
          <t>wahyuanitasari68@gmail.com</t>
        </is>
      </c>
      <c r="E28" t="inlineStr">
        <is>
          <t>https://lpjk.pu.go.id/search-badan-usaha-detail/WUd0QWd3Q0pSbkVURnlHZ3ZNSjhGQT09</t>
        </is>
      </c>
      <c r="F28" t="n">
        <v>5</v>
      </c>
      <c r="G28" t="inlineStr">
        <is>
          <t>BG002, BG009</t>
        </is>
      </c>
      <c r="H28" t="inlineStr">
        <is>
          <t>22 Oktober 2014</t>
        </is>
      </c>
      <c r="I28" s="2" t="n">
        <v>46297</v>
      </c>
      <c r="J28" t="inlineStr">
        <is>
          <t>Disetujui</t>
        </is>
      </c>
      <c r="K28" t="n">
        <v>30</v>
      </c>
      <c r="L28" t="inlineStr">
        <is>
          <t>2 Oktober 2026</t>
        </is>
      </c>
      <c r="M28" t="inlineStr">
        <is>
          <t>Konstruksi Gedung Lainnya, Konstruksi Gedung Perkantoran</t>
        </is>
      </c>
      <c r="N28" t="inlineStr">
        <is>
          <t>K</t>
        </is>
      </c>
      <c r="O28" t="inlineStr">
        <is>
          <t>20230930, 20231004</t>
        </is>
      </c>
      <c r="P28" t="inlineStr">
        <is>
          <t>Jawa Timur</t>
        </is>
      </c>
      <c r="Q28" t="inlineStr"/>
    </row>
    <row r="29">
      <c r="A29" t="inlineStr">
        <is>
          <t>BINA KENCANA</t>
        </is>
      </c>
      <c r="B29" t="inlineStr">
        <is>
          <t>Kota Banjarbaru</t>
        </is>
      </c>
      <c r="C29" t="inlineStr">
        <is>
          <t>05114773880</t>
        </is>
      </c>
      <c r="D29" t="inlineStr">
        <is>
          <t>cv.bina_kencana13@yahoo.co.id</t>
        </is>
      </c>
      <c r="E29" t="inlineStr">
        <is>
          <t>https://lpjk.pu.go.id/search-badan-usaha-detail/ZXNpcXVCcGh2ODI0dTU0aXQ2aG5jdz09</t>
        </is>
      </c>
      <c r="F29" t="n">
        <v>2</v>
      </c>
      <c r="G29" t="inlineStr">
        <is>
          <t>BS004, BS005</t>
        </is>
      </c>
      <c r="H29" t="inlineStr">
        <is>
          <t>3 Mei 1982</t>
        </is>
      </c>
      <c r="I29" s="2" t="n">
        <v>46297</v>
      </c>
      <c r="J29" t="inlineStr">
        <is>
          <t>Disetujui</t>
        </is>
      </c>
      <c r="K29" t="n">
        <v>30</v>
      </c>
      <c r="L29" t="inlineStr">
        <is>
          <t>2 Oktober 2026</t>
        </is>
      </c>
      <c r="M29" t="inlineStr">
        <is>
          <t>Konstruksi Bangunan Sipil Pengolahan Air Bersih, Konstruksi Jaringan Irigasi dan Drainase</t>
        </is>
      </c>
      <c r="N29" t="inlineStr">
        <is>
          <t>K</t>
        </is>
      </c>
      <c r="O29" t="inlineStr">
        <is>
          <t>20230925</t>
        </is>
      </c>
      <c r="P29" t="inlineStr">
        <is>
          <t>Kalimantan Selatan</t>
        </is>
      </c>
      <c r="Q29" t="inlineStr"/>
    </row>
    <row r="30">
      <c r="A30" t="inlineStr">
        <is>
          <t>BINTANG INDONESIA SENTOSA</t>
        </is>
      </c>
      <c r="B30" t="inlineStr">
        <is>
          <t>Kab. Lumajang</t>
        </is>
      </c>
      <c r="C30" t="inlineStr">
        <is>
          <t>082139169369</t>
        </is>
      </c>
      <c r="D30" t="inlineStr">
        <is>
          <t>bisentosa73@gmail.com</t>
        </is>
      </c>
      <c r="E30" t="inlineStr">
        <is>
          <t>https://lpjk.pu.go.id/search-badan-usaha-detail/eU9SN2xmcFBnRkRjWHJ2ek12NjJmdz09</t>
        </is>
      </c>
      <c r="F30" t="n">
        <v>6</v>
      </c>
      <c r="G30" t="inlineStr">
        <is>
          <t>BG001, BS001</t>
        </is>
      </c>
      <c r="H30" t="inlineStr">
        <is>
          <t>25 April 2022</t>
        </is>
      </c>
      <c r="I30" s="2" t="n">
        <v>46297</v>
      </c>
      <c r="J30" t="inlineStr">
        <is>
          <t>Disetujui</t>
        </is>
      </c>
      <c r="K30" t="n">
        <v>30</v>
      </c>
      <c r="L30" t="inlineStr">
        <is>
          <t>2 Oktober 2026</t>
        </is>
      </c>
      <c r="M30" t="inlineStr">
        <is>
          <t>Konstruksi Bangunan Sipil Jalan, Konstruksi Gedung Hunian</t>
        </is>
      </c>
      <c r="N30" t="inlineStr">
        <is>
          <t>K</t>
        </is>
      </c>
      <c r="O30" t="inlineStr">
        <is>
          <t>20230803, 20230922</t>
        </is>
      </c>
      <c r="P30" t="inlineStr">
        <is>
          <t>Jawa Timur</t>
        </is>
      </c>
      <c r="Q30" t="inlineStr"/>
    </row>
    <row r="31">
      <c r="A31" t="inlineStr">
        <is>
          <t>BIRU</t>
        </is>
      </c>
      <c r="B31" t="inlineStr">
        <is>
          <t>Kab. Sigi</t>
        </is>
      </c>
      <c r="C31" t="inlineStr">
        <is>
          <t>08113589437</t>
        </is>
      </c>
      <c r="D31" t="inlineStr">
        <is>
          <t>biru_cv55@yahoo.com</t>
        </is>
      </c>
      <c r="E31" t="inlineStr">
        <is>
          <t>https://lpjk.pu.go.id/search-badan-usaha-detail/MHdtOEhaQ1lQZ2ZHMEw4dzJJY0VNdz09</t>
        </is>
      </c>
      <c r="F31" t="n">
        <v>3</v>
      </c>
      <c r="G31" t="inlineStr">
        <is>
          <t>BG006, BG009, BS001</t>
        </is>
      </c>
      <c r="H31" t="inlineStr">
        <is>
          <t>21 Desember 2001</t>
        </is>
      </c>
      <c r="I31" s="2" t="n">
        <v>46297</v>
      </c>
      <c r="J31" t="inlineStr">
        <is>
          <t>Disetujui</t>
        </is>
      </c>
      <c r="K31" t="n">
        <v>30</v>
      </c>
      <c r="L31" t="inlineStr">
        <is>
          <t>2 Oktober 2026</t>
        </is>
      </c>
      <c r="M31" t="inlineStr">
        <is>
          <t>Konstruksi Bangunan Sipil Jalan, Konstruksi Gedung Lainnya, Konstruksi Gedung Pendidikan</t>
        </is>
      </c>
      <c r="N31" t="inlineStr">
        <is>
          <t>K</t>
        </is>
      </c>
      <c r="O31" t="inlineStr">
        <is>
          <t>20230910</t>
        </is>
      </c>
      <c r="P31" t="inlineStr">
        <is>
          <t>Sulawesi Tengah</t>
        </is>
      </c>
      <c r="Q31" t="inlineStr"/>
    </row>
    <row r="32">
      <c r="A32" t="inlineStr">
        <is>
          <t>BONANZA</t>
        </is>
      </c>
      <c r="B32" t="inlineStr">
        <is>
          <t>Kab. Sumenep</t>
        </is>
      </c>
      <c r="C32" t="inlineStr">
        <is>
          <t>082324393030</t>
        </is>
      </c>
      <c r="D32" t="inlineStr">
        <is>
          <t>mohsyafii1207@gmail.com</t>
        </is>
      </c>
      <c r="E32" t="inlineStr">
        <is>
          <t>https://lpjk.pu.go.id/search-badan-usaha-detail/WC9Na0tzRXdqcVhBQWhUbk9SbWkvUT09</t>
        </is>
      </c>
      <c r="F32" t="n">
        <v>4</v>
      </c>
      <c r="G32" t="inlineStr">
        <is>
          <t>BS001, BS004</t>
        </is>
      </c>
      <c r="H32" t="inlineStr">
        <is>
          <t>23 Desember 2016</t>
        </is>
      </c>
      <c r="I32" s="2" t="n">
        <v>46297</v>
      </c>
      <c r="J32" t="inlineStr">
        <is>
          <t>Disetujui</t>
        </is>
      </c>
      <c r="K32" t="n">
        <v>30</v>
      </c>
      <c r="L32" t="inlineStr">
        <is>
          <t>2 Oktober 2026</t>
        </is>
      </c>
      <c r="M32" t="inlineStr">
        <is>
          <t>Konstruksi Bangunan Sipil Jalan, Konstruksi Jaringan Irigasi dan Drainase</t>
        </is>
      </c>
      <c r="N32" t="inlineStr">
        <is>
          <t>K</t>
        </is>
      </c>
      <c r="O32" t="inlineStr">
        <is>
          <t>20230926, 20230927</t>
        </is>
      </c>
      <c r="P32" t="inlineStr">
        <is>
          <t>Jawa Timur</t>
        </is>
      </c>
      <c r="Q32" t="inlineStr"/>
    </row>
    <row r="33">
      <c r="A33" t="inlineStr">
        <is>
          <t>BUANA BAHARI</t>
        </is>
      </c>
      <c r="B33" t="inlineStr">
        <is>
          <t>Kota Pare Pare</t>
        </is>
      </c>
      <c r="C33" t="inlineStr">
        <is>
          <t>085230797947</t>
        </is>
      </c>
      <c r="D33" t="inlineStr">
        <is>
          <t>junawing68@gmail.com</t>
        </is>
      </c>
      <c r="E33" t="inlineStr">
        <is>
          <t>https://lpjk.pu.go.id/search-badan-usaha-detail/ZlgrTmZIck5hVG80STRSa1h1MXR3UT09</t>
        </is>
      </c>
      <c r="F33" t="n">
        <v>1</v>
      </c>
      <c r="G33" t="inlineStr">
        <is>
          <t>BG005</t>
        </is>
      </c>
      <c r="H33" t="inlineStr">
        <is>
          <t>30 Mei 2006</t>
        </is>
      </c>
      <c r="I33" s="2" t="n">
        <v>46297</v>
      </c>
      <c r="J33" t="inlineStr">
        <is>
          <t>Disetujui</t>
        </is>
      </c>
      <c r="K33" t="n">
        <v>30</v>
      </c>
      <c r="L33" t="inlineStr">
        <is>
          <t>2 Oktober 2026</t>
        </is>
      </c>
      <c r="M33" t="inlineStr">
        <is>
          <t>Konstruksi Gedung Kesehatan</t>
        </is>
      </c>
      <c r="N33" t="inlineStr">
        <is>
          <t>K</t>
        </is>
      </c>
      <c r="O33" t="inlineStr">
        <is>
          <t>20231002</t>
        </is>
      </c>
      <c r="P33" t="inlineStr">
        <is>
          <t>Sulawesi Selatan</t>
        </is>
      </c>
      <c r="Q33" t="inlineStr"/>
    </row>
    <row r="34">
      <c r="A34" t="inlineStr">
        <is>
          <t>BUMI PADJAJARAN</t>
        </is>
      </c>
      <c r="B34" t="inlineStr">
        <is>
          <t>Kota Sukabumi</t>
        </is>
      </c>
      <c r="C34" t="inlineStr">
        <is>
          <t>082262161985</t>
        </is>
      </c>
      <c r="D34" t="inlineStr">
        <is>
          <t>padjajaran.cv@gmail.com</t>
        </is>
      </c>
      <c r="E34" t="inlineStr">
        <is>
          <t>https://lpjk.pu.go.id/search-badan-usaha-detail/bFhXTjBBcWc2Q3BZSlJRKzY0VjF3dz09</t>
        </is>
      </c>
      <c r="F34" t="n">
        <v>1</v>
      </c>
      <c r="G34" t="inlineStr">
        <is>
          <t>BS004</t>
        </is>
      </c>
      <c r="H34" t="inlineStr">
        <is>
          <t>13 Februari 2014</t>
        </is>
      </c>
      <c r="I34" s="2" t="n">
        <v>46297</v>
      </c>
      <c r="J34" t="inlineStr">
        <is>
          <t>Disetujui</t>
        </is>
      </c>
      <c r="K34" t="n">
        <v>30</v>
      </c>
      <c r="L34" t="inlineStr">
        <is>
          <t>2 Oktober 2026</t>
        </is>
      </c>
      <c r="M34" t="inlineStr">
        <is>
          <t>Konstruksi Jaringan Irigasi dan Drainase</t>
        </is>
      </c>
      <c r="N34" t="inlineStr">
        <is>
          <t>K</t>
        </is>
      </c>
      <c r="O34" t="inlineStr">
        <is>
          <t>20230920</t>
        </is>
      </c>
      <c r="P34" t="inlineStr">
        <is>
          <t>Jawa Barat</t>
        </is>
      </c>
      <c r="Q34" t="inlineStr"/>
    </row>
    <row r="35">
      <c r="A35" t="inlineStr">
        <is>
          <t>CAHAYA ALAM JAYA MAKMUR</t>
        </is>
      </c>
      <c r="B35" t="inlineStr">
        <is>
          <t>Kota Bandar Lampung</t>
        </is>
      </c>
      <c r="C35" t="inlineStr">
        <is>
          <t>081369168686</t>
        </is>
      </c>
      <c r="D35" t="inlineStr">
        <is>
          <t>cvcahayaalamjayamakmur@gmail.com</t>
        </is>
      </c>
      <c r="E35" t="inlineStr">
        <is>
          <t>https://lpjk.pu.go.id/search-badan-usaha-detail/RGcxa3JyUGpVaGZmcmwrUDIyT3Jrdz09</t>
        </is>
      </c>
      <c r="F35" t="n">
        <v>2</v>
      </c>
      <c r="G35" t="inlineStr">
        <is>
          <t>BG002, BS004</t>
        </is>
      </c>
      <c r="H35" t="inlineStr">
        <is>
          <t>18 September 2023</t>
        </is>
      </c>
      <c r="I35" s="2" t="n">
        <v>46297</v>
      </c>
      <c r="J35" t="inlineStr">
        <is>
          <t>Disetujui</t>
        </is>
      </c>
      <c r="K35" t="n">
        <v>30</v>
      </c>
      <c r="L35" t="inlineStr">
        <is>
          <t>2 Oktober 2026</t>
        </is>
      </c>
      <c r="M35" t="inlineStr">
        <is>
          <t>Konstruksi Gedung Perkantoran, Konstruksi Jaringan Irigasi dan Drainase</t>
        </is>
      </c>
      <c r="N35" t="inlineStr">
        <is>
          <t>K</t>
        </is>
      </c>
      <c r="O35" t="inlineStr">
        <is>
          <t>20230919, 20230930</t>
        </is>
      </c>
      <c r="P35" t="inlineStr">
        <is>
          <t>Lampung</t>
        </is>
      </c>
      <c r="Q35" t="inlineStr"/>
    </row>
    <row r="36">
      <c r="A36" t="inlineStr">
        <is>
          <t>CAHAYA GEMILANG</t>
        </is>
      </c>
      <c r="B36" t="inlineStr">
        <is>
          <t>Kab. Lombok Barat</t>
        </is>
      </c>
      <c r="C36" t="inlineStr">
        <is>
          <t>081933151274</t>
        </is>
      </c>
      <c r="D36" t="inlineStr">
        <is>
          <t>cvcahayagemilang09@gmail.com</t>
        </is>
      </c>
      <c r="E36" t="inlineStr">
        <is>
          <t>https://lpjk.pu.go.id/search-badan-usaha-detail/U0h2WXZZQlhHR1pkQzR3QlIzM1F5dz09</t>
        </is>
      </c>
      <c r="F36" t="n">
        <v>3</v>
      </c>
      <c r="G36" t="inlineStr">
        <is>
          <t>BG001, BG006, BG009</t>
        </is>
      </c>
      <c r="H36" t="inlineStr">
        <is>
          <t>6 September 2023</t>
        </is>
      </c>
      <c r="I36" s="2" t="n">
        <v>46297</v>
      </c>
      <c r="J36" t="inlineStr">
        <is>
          <t>Disetujui</t>
        </is>
      </c>
      <c r="K36" t="n">
        <v>30</v>
      </c>
      <c r="L36" t="inlineStr">
        <is>
          <t>2 Oktober 2026</t>
        </is>
      </c>
      <c r="M36" t="inlineStr">
        <is>
          <t>Konstruksi Gedung Hunian, Konstruksi Gedung Lainnya, Konstruksi Gedung Pendidikan</t>
        </is>
      </c>
      <c r="N36" t="inlineStr">
        <is>
          <t>K</t>
        </is>
      </c>
      <c r="O36" t="inlineStr">
        <is>
          <t>20230921, 20230925</t>
        </is>
      </c>
      <c r="P36" t="inlineStr">
        <is>
          <t>Nusa Tenggara Barat</t>
        </is>
      </c>
      <c r="Q36" t="inlineStr"/>
    </row>
    <row r="37">
      <c r="A37" t="inlineStr">
        <is>
          <t>CAKRAWALA</t>
        </is>
      </c>
      <c r="B37" t="inlineStr">
        <is>
          <t>Kab. Tuban</t>
        </is>
      </c>
      <c r="C37" t="inlineStr">
        <is>
          <t>N/A</t>
        </is>
      </c>
      <c r="D37" t="inlineStr">
        <is>
          <t>N/A</t>
        </is>
      </c>
      <c r="E37" t="inlineStr">
        <is>
          <t>https://lpjk.pu.go.id/search-badan-usaha-detail/QTVXckNCOTlNY0VIWk5jTUgyYXg3QT09</t>
        </is>
      </c>
      <c r="F37" t="n">
        <v>7</v>
      </c>
      <c r="G37" t="inlineStr">
        <is>
          <t>BG001, BG002, BG005, BG006, BG009, BS004, BS005</t>
        </is>
      </c>
      <c r="H37" t="inlineStr"/>
      <c r="I37" s="2" t="n">
        <v>46297</v>
      </c>
      <c r="J37" t="inlineStr">
        <is>
          <t>Disetujui</t>
        </is>
      </c>
      <c r="K37" t="n">
        <v>30</v>
      </c>
      <c r="L37" t="inlineStr">
        <is>
          <t>2 Oktober 2026</t>
        </is>
      </c>
      <c r="M37" t="inlineStr">
        <is>
          <t>Konstruksi Bangunan Sipil Pengolahan Air Bersih, Konstruksi Gedung Hunian, Konstruksi Gedung Kesehatan, Konstruksi Gedung Lainnya, Konstruksi Gedung Pendidikan, Konstruksi Gedung Perkantoran, Konstruksi Jaringan Irigasi dan Drainase</t>
        </is>
      </c>
      <c r="N37" t="inlineStr">
        <is>
          <t>K</t>
        </is>
      </c>
      <c r="O37" t="inlineStr">
        <is>
          <t>20230926, 20230927</t>
        </is>
      </c>
      <c r="P37" t="inlineStr">
        <is>
          <t>Jawa Timur</t>
        </is>
      </c>
      <c r="Q37" t="inlineStr"/>
    </row>
    <row r="38">
      <c r="A38" t="inlineStr">
        <is>
          <t>CITRA PERKASA</t>
        </is>
      </c>
      <c r="B38" t="inlineStr">
        <is>
          <t>Kab. Kulon Progo</t>
        </is>
      </c>
      <c r="C38" t="inlineStr">
        <is>
          <t>081215540298</t>
        </is>
      </c>
      <c r="D38" t="inlineStr">
        <is>
          <t>ervinsofiana77@gmail.com</t>
        </is>
      </c>
      <c r="E38" t="inlineStr">
        <is>
          <t>https://lpjk.pu.go.id/search-badan-usaha-detail/UHo2VlkwazIvRkJCTFBNclpjOFYwQT09</t>
        </is>
      </c>
      <c r="F38" t="n">
        <v>6</v>
      </c>
      <c r="G38" t="inlineStr">
        <is>
          <t>BG005, BG006, BG009, BS001</t>
        </is>
      </c>
      <c r="H38" t="inlineStr">
        <is>
          <t>22 Juni 2011</t>
        </is>
      </c>
      <c r="I38" s="2" t="n">
        <v>46297</v>
      </c>
      <c r="J38" t="inlineStr">
        <is>
          <t>Disetujui</t>
        </is>
      </c>
      <c r="K38" t="n">
        <v>30</v>
      </c>
      <c r="L38" t="inlineStr">
        <is>
          <t>2 Oktober 2026</t>
        </is>
      </c>
      <c r="M38" t="inlineStr">
        <is>
          <t>Konstruksi Bangunan Sipil Jalan, Konstruksi Gedung Kesehatan, Konstruksi Gedung Lainnya, Konstruksi Gedung Pendidikan</t>
        </is>
      </c>
      <c r="N38" t="inlineStr">
        <is>
          <t>K</t>
        </is>
      </c>
      <c r="O38" t="inlineStr">
        <is>
          <t>20230803, 20231002, 20231003</t>
        </is>
      </c>
      <c r="P38" t="inlineStr">
        <is>
          <t>DI Yogyakarta</t>
        </is>
      </c>
      <c r="Q38" t="inlineStr"/>
    </row>
    <row r="39">
      <c r="A39" t="inlineStr">
        <is>
          <t>CITRA PESONA</t>
        </is>
      </c>
      <c r="B39" t="inlineStr">
        <is>
          <t>Kota Semarang</t>
        </is>
      </c>
      <c r="C39" t="inlineStr">
        <is>
          <t>08112919796</t>
        </is>
      </c>
      <c r="D39" t="inlineStr">
        <is>
          <t>cv.citra.pesona789@gmail.com</t>
        </is>
      </c>
      <c r="E39" t="inlineStr">
        <is>
          <t>https://lpjk.pu.go.id/search-badan-usaha-detail/dHNUMlZEbG96NERuMFJUZUFrYmJqQT09</t>
        </is>
      </c>
      <c r="F39" t="n">
        <v>3</v>
      </c>
      <c r="G39" t="inlineStr">
        <is>
          <t>BG002, BG006, BG009</t>
        </is>
      </c>
      <c r="H39" t="inlineStr">
        <is>
          <t>4 Mei 2011</t>
        </is>
      </c>
      <c r="I39" s="2" t="n">
        <v>46297</v>
      </c>
      <c r="J39" t="inlineStr">
        <is>
          <t>Disetujui</t>
        </is>
      </c>
      <c r="K39" t="n">
        <v>30</v>
      </c>
      <c r="L39" t="inlineStr">
        <is>
          <t>2 Oktober 2026</t>
        </is>
      </c>
      <c r="M39" t="inlineStr">
        <is>
          <t>Konstruksi Gedung Lainnya, Konstruksi Gedung Pendidikan, Konstruksi Gedung Perkantoran</t>
        </is>
      </c>
      <c r="N39" t="inlineStr">
        <is>
          <t>K</t>
        </is>
      </c>
      <c r="O39" t="inlineStr">
        <is>
          <t>20230930</t>
        </is>
      </c>
      <c r="P39" t="inlineStr">
        <is>
          <t>Jawa Tengah</t>
        </is>
      </c>
      <c r="Q39" t="inlineStr"/>
    </row>
    <row r="40">
      <c r="A40" t="inlineStr">
        <is>
          <t>CITRA PRIMA</t>
        </is>
      </c>
      <c r="B40" t="inlineStr">
        <is>
          <t>Kab. Majene</t>
        </is>
      </c>
      <c r="C40" t="inlineStr">
        <is>
          <t>085824213201</t>
        </is>
      </c>
      <c r="D40" t="inlineStr">
        <is>
          <t>cvcitraprima616@gmail.com</t>
        </is>
      </c>
      <c r="E40" t="inlineStr">
        <is>
          <t>https://lpjk.pu.go.id/search-badan-usaha-detail/NGFWL05hSVV1ZGdtNHlzYTFCd1FLQT09</t>
        </is>
      </c>
      <c r="F40" t="n">
        <v>4</v>
      </c>
      <c r="G40" t="inlineStr">
        <is>
          <t>BG002, BG006, BS005, BS010</t>
        </is>
      </c>
      <c r="H40" t="inlineStr">
        <is>
          <t>17 Juli 2002</t>
        </is>
      </c>
      <c r="I40" s="2" t="n">
        <v>46297</v>
      </c>
      <c r="J40" t="inlineStr">
        <is>
          <t>Pencabutan</t>
        </is>
      </c>
      <c r="K40" t="n">
        <v>30</v>
      </c>
      <c r="L40" t="inlineStr">
        <is>
          <t>2 Oktober 2026</t>
        </is>
      </c>
      <c r="M40" t="inlineStr">
        <is>
          <t>Konstruksi Bangunan Prasarana Sumber Daya Air, Konstruksi Bangunan Sipil Pengolahan Air Bersih, Konstruksi Gedung Pendidikan, Konstruksi Gedung Perkantoran</t>
        </is>
      </c>
      <c r="N40" t="inlineStr">
        <is>
          <t>K</t>
        </is>
      </c>
      <c r="O40" t="inlineStr">
        <is>
          <t>20230929</t>
        </is>
      </c>
      <c r="P40" t="inlineStr">
        <is>
          <t>Sulawesi Barat</t>
        </is>
      </c>
      <c r="Q40" t="inlineStr"/>
    </row>
    <row r="41">
      <c r="A41" t="inlineStr">
        <is>
          <t>DANATHREE JAYA</t>
        </is>
      </c>
      <c r="B41" t="inlineStr">
        <is>
          <t>Kab. Muara Enim</t>
        </is>
      </c>
      <c r="C41" t="inlineStr">
        <is>
          <t>085268022560</t>
        </is>
      </c>
      <c r="D41" t="inlineStr">
        <is>
          <t>danathreejaya@gmail.com</t>
        </is>
      </c>
      <c r="E41" t="inlineStr">
        <is>
          <t>https://lpjk.pu.go.id/search-badan-usaha-detail/VlpTSWFIaW5HSVhLQWNwcXZsZXBBdz09</t>
        </is>
      </c>
      <c r="F41" t="n">
        <v>3</v>
      </c>
      <c r="G41" t="inlineStr">
        <is>
          <t>BG006, BS001, BS004</t>
        </is>
      </c>
      <c r="H41" t="inlineStr">
        <is>
          <t>13 Agustus 2020</t>
        </is>
      </c>
      <c r="I41" s="2" t="n">
        <v>46297</v>
      </c>
      <c r="J41" t="inlineStr">
        <is>
          <t>Disetujui</t>
        </is>
      </c>
      <c r="K41" t="n">
        <v>30</v>
      </c>
      <c r="L41" t="inlineStr">
        <is>
          <t>2 Oktober 2026</t>
        </is>
      </c>
      <c r="M41" t="inlineStr">
        <is>
          <t>Konstruksi Bangunan Sipil Jalan, Konstruksi Gedung Pendidikan, Konstruksi Jaringan Irigasi dan Drainase</t>
        </is>
      </c>
      <c r="N41" t="inlineStr">
        <is>
          <t>K</t>
        </is>
      </c>
      <c r="O41" t="inlineStr">
        <is>
          <t>20230930</t>
        </is>
      </c>
      <c r="P41" t="inlineStr">
        <is>
          <t>Sumatera Selatan</t>
        </is>
      </c>
      <c r="Q41" t="inlineStr"/>
    </row>
    <row r="42">
      <c r="A42" t="inlineStr">
        <is>
          <t>DEKA JAYA SEJAHTERA</t>
        </is>
      </c>
      <c r="B42" t="inlineStr">
        <is>
          <t>Kab. Sidoarjo</t>
        </is>
      </c>
      <c r="C42" t="inlineStr">
        <is>
          <t>0317885720</t>
        </is>
      </c>
      <c r="D42" t="inlineStr">
        <is>
          <t>dekajayasejahtera@yahoo.com</t>
        </is>
      </c>
      <c r="E42" t="inlineStr">
        <is>
          <t>https://lpjk.pu.go.id/search-badan-usaha-detail/clJnMEpsZkZzR1RzWVE0K1ZMRUg1UT09</t>
        </is>
      </c>
      <c r="F42" t="n">
        <v>1</v>
      </c>
      <c r="G42" t="inlineStr">
        <is>
          <t>BG003</t>
        </is>
      </c>
      <c r="H42" t="inlineStr">
        <is>
          <t>5 April 2013</t>
        </is>
      </c>
      <c r="I42" s="2" t="n">
        <v>46297</v>
      </c>
      <c r="J42" t="inlineStr">
        <is>
          <t>Disetujui</t>
        </is>
      </c>
      <c r="K42" t="n">
        <v>30</v>
      </c>
      <c r="L42" t="inlineStr">
        <is>
          <t>2 Oktober 2026</t>
        </is>
      </c>
      <c r="M42" t="inlineStr">
        <is>
          <t>Konstruksi Gedung Industri</t>
        </is>
      </c>
      <c r="N42" t="inlineStr">
        <is>
          <t>K</t>
        </is>
      </c>
      <c r="O42" t="inlineStr">
        <is>
          <t>20230828</t>
        </is>
      </c>
      <c r="P42" t="inlineStr">
        <is>
          <t>Jawa Timur</t>
        </is>
      </c>
      <c r="Q42" t="inlineStr"/>
    </row>
    <row r="43">
      <c r="A43" t="inlineStr">
        <is>
          <t>DEWANTO CIPTA PRATAMA</t>
        </is>
      </c>
      <c r="B43" t="inlineStr">
        <is>
          <t>Kota Adm. Jakarta Pusat</t>
        </is>
      </c>
      <c r="C43" t="inlineStr">
        <is>
          <t>02142883114</t>
        </is>
      </c>
      <c r="D43" t="inlineStr">
        <is>
          <t>dewantocipta_pratama@yahoo.co.id</t>
        </is>
      </c>
      <c r="E43" t="inlineStr">
        <is>
          <t>https://lpjk.pu.go.id/search-badan-usaha-detail/ZEdzSnlnMTVaMVlZMTlTV2owNmpCUT09</t>
        </is>
      </c>
      <c r="F43" t="n">
        <v>1</v>
      </c>
      <c r="G43" t="inlineStr">
        <is>
          <t>BS001</t>
        </is>
      </c>
      <c r="H43" t="inlineStr">
        <is>
          <t>30 April 1997</t>
        </is>
      </c>
      <c r="I43" s="2" t="n">
        <v>46297</v>
      </c>
      <c r="J43" t="inlineStr">
        <is>
          <t>Pencabutan</t>
        </is>
      </c>
      <c r="K43" t="n">
        <v>30</v>
      </c>
      <c r="L43" t="inlineStr">
        <is>
          <t>2 Oktober 2026</t>
        </is>
      </c>
      <c r="M43" t="inlineStr">
        <is>
          <t>Konstruksi Bangunan Sipil Jalan</t>
        </is>
      </c>
      <c r="N43" t="inlineStr">
        <is>
          <t>B</t>
        </is>
      </c>
      <c r="O43" t="inlineStr">
        <is>
          <t>20230927</t>
        </is>
      </c>
      <c r="P43" t="inlineStr">
        <is>
          <t>DKI Jakarta</t>
        </is>
      </c>
      <c r="Q43" t="inlineStr"/>
    </row>
    <row r="44">
      <c r="A44" t="inlineStr">
        <is>
          <t>DEWATA KARYA</t>
        </is>
      </c>
      <c r="B44" t="inlineStr">
        <is>
          <t>Kab. Buleleng</t>
        </is>
      </c>
      <c r="C44" t="inlineStr">
        <is>
          <t>081337156165</t>
        </is>
      </c>
      <c r="D44" t="inlineStr">
        <is>
          <t>dewata_karya@yahoo.co.id</t>
        </is>
      </c>
      <c r="E44" t="inlineStr">
        <is>
          <t>https://lpjk.pu.go.id/search-badan-usaha-detail/WHV2OGhLT2M1T1N6bm5iNjV2aHBSdz09</t>
        </is>
      </c>
      <c r="F44" t="n">
        <v>2</v>
      </c>
      <c r="G44" t="inlineStr">
        <is>
          <t>BS001</t>
        </is>
      </c>
      <c r="H44" t="inlineStr">
        <is>
          <t>21 September 2007</t>
        </is>
      </c>
      <c r="I44" s="2" t="n">
        <v>46297</v>
      </c>
      <c r="J44" t="inlineStr">
        <is>
          <t>Disetujui</t>
        </is>
      </c>
      <c r="K44" t="n">
        <v>30</v>
      </c>
      <c r="L44" t="inlineStr">
        <is>
          <t>2 Oktober 2026</t>
        </is>
      </c>
      <c r="M44" t="inlineStr">
        <is>
          <t>Konstruksi Bangunan Sipil Jalan</t>
        </is>
      </c>
      <c r="N44" t="inlineStr">
        <is>
          <t>K</t>
        </is>
      </c>
      <c r="O44" t="inlineStr">
        <is>
          <t>20230921</t>
        </is>
      </c>
      <c r="P44" t="inlineStr">
        <is>
          <t>Bali</t>
        </is>
      </c>
      <c r="Q44" t="inlineStr"/>
    </row>
    <row r="45">
      <c r="A45" t="inlineStr">
        <is>
          <t>DIGDAYA KARYA MANDIRI</t>
        </is>
      </c>
      <c r="B45" t="inlineStr">
        <is>
          <t>Kota Adm. Jakarta Selatan</t>
        </is>
      </c>
      <c r="C45" t="inlineStr">
        <is>
          <t>087870118009</t>
        </is>
      </c>
      <c r="D45" t="inlineStr">
        <is>
          <t>digkarmandiri@gmail.com</t>
        </is>
      </c>
      <c r="E45" t="inlineStr">
        <is>
          <t>https://lpjk.pu.go.id/search-badan-usaha-detail/VTB5R2xGL1I1QUpCR1p5RkxTR0xBdz09</t>
        </is>
      </c>
      <c r="F45" t="n">
        <v>3</v>
      </c>
      <c r="G45" t="inlineStr">
        <is>
          <t>BG009, BS002, BS003</t>
        </is>
      </c>
      <c r="H45" t="inlineStr">
        <is>
          <t>22 Februari 2023</t>
        </is>
      </c>
      <c r="I45" s="2" t="n">
        <v>46297</v>
      </c>
      <c r="J45" t="inlineStr">
        <is>
          <t>Disetujui</t>
        </is>
      </c>
      <c r="K45" t="n">
        <v>30</v>
      </c>
      <c r="L45" t="inlineStr">
        <is>
          <t>2 Oktober 2026</t>
        </is>
      </c>
      <c r="M45" t="inlineStr">
        <is>
          <t>Bangunan Sipil Jembatan, Jalan Layang, Fly Over, dan Underpass, Konstruksi Gedung Lainnya, Konstruksi Jalan Rel</t>
        </is>
      </c>
      <c r="N45" t="inlineStr">
        <is>
          <t>K</t>
        </is>
      </c>
      <c r="O45" t="inlineStr">
        <is>
          <t>20230405, 20231004</t>
        </is>
      </c>
      <c r="P45" t="inlineStr">
        <is>
          <t>DKI Jakarta</t>
        </is>
      </c>
      <c r="Q45" t="inlineStr"/>
    </row>
    <row r="46">
      <c r="A46" t="inlineStr">
        <is>
          <t>DIKA BERSAUDARA</t>
        </is>
      </c>
      <c r="B46" t="inlineStr">
        <is>
          <t>Kab. Bojonegoro</t>
        </is>
      </c>
      <c r="C46" t="inlineStr">
        <is>
          <t>082223719260</t>
        </is>
      </c>
      <c r="D46" t="inlineStr">
        <is>
          <t>dikabersaudara442@gmail.com</t>
        </is>
      </c>
      <c r="E46" t="inlineStr">
        <is>
          <t>https://lpjk.pu.go.id/search-badan-usaha-detail/UHI4Tk1LeUl1M2RJak96YjZyc0Z2UT09</t>
        </is>
      </c>
      <c r="F46" t="n">
        <v>1</v>
      </c>
      <c r="G46" t="inlineStr">
        <is>
          <t>BS002</t>
        </is>
      </c>
      <c r="H46" t="inlineStr">
        <is>
          <t>8 September 2022</t>
        </is>
      </c>
      <c r="I46" s="2" t="n">
        <v>46297</v>
      </c>
      <c r="J46" t="inlineStr">
        <is>
          <t>Disetujui</t>
        </is>
      </c>
      <c r="K46" t="n">
        <v>30</v>
      </c>
      <c r="L46" t="inlineStr">
        <is>
          <t>2 Oktober 2026</t>
        </is>
      </c>
      <c r="M46" t="inlineStr">
        <is>
          <t>Bangunan Sipil Jembatan, Jalan Layang, Fly Over, dan Underpass</t>
        </is>
      </c>
      <c r="N46" t="inlineStr">
        <is>
          <t>K</t>
        </is>
      </c>
      <c r="O46" t="inlineStr">
        <is>
          <t>20231003</t>
        </is>
      </c>
      <c r="P46" t="inlineStr">
        <is>
          <t>Jawa Timur</t>
        </is>
      </c>
      <c r="Q46" t="inlineStr"/>
    </row>
    <row r="47">
      <c r="A47" t="inlineStr">
        <is>
          <t>DUA PUTRA BELAYAN</t>
        </is>
      </c>
      <c r="B47" t="inlineStr">
        <is>
          <t>Kab. Kutai Kartanegara</t>
        </is>
      </c>
      <c r="C47" t="inlineStr">
        <is>
          <t>085210742563</t>
        </is>
      </c>
      <c r="D47" t="inlineStr">
        <is>
          <t>duaputrabelayan@gmail.com</t>
        </is>
      </c>
      <c r="E47" t="inlineStr">
        <is>
          <t>https://lpjk.pu.go.id/search-badan-usaha-detail/R2Fxa3hPS20xV3FHU1hNd0RoOGQrQT09</t>
        </is>
      </c>
      <c r="F47" t="n">
        <v>1</v>
      </c>
      <c r="G47" t="inlineStr">
        <is>
          <t>BS001</t>
        </is>
      </c>
      <c r="H47" t="inlineStr">
        <is>
          <t>3 Juli 2023</t>
        </is>
      </c>
      <c r="I47" s="2" t="n">
        <v>46297</v>
      </c>
      <c r="J47" t="inlineStr">
        <is>
          <t>Pencabutan</t>
        </is>
      </c>
      <c r="K47" t="n">
        <v>30</v>
      </c>
      <c r="L47" t="inlineStr">
        <is>
          <t>2 Oktober 2026</t>
        </is>
      </c>
      <c r="M47" t="inlineStr">
        <is>
          <t>Konstruksi Bangunan Sipil Jalan</t>
        </is>
      </c>
      <c r="N47" t="inlineStr">
        <is>
          <t>K</t>
        </is>
      </c>
      <c r="O47" t="inlineStr">
        <is>
          <t>20231002</t>
        </is>
      </c>
      <c r="P47" t="inlineStr">
        <is>
          <t>Kalimantan Timur</t>
        </is>
      </c>
      <c r="Q47" t="inlineStr"/>
    </row>
    <row r="48">
      <c r="A48" t="inlineStr">
        <is>
          <t>DUA SATU PRATAMA</t>
        </is>
      </c>
      <c r="B48" t="inlineStr">
        <is>
          <t>Kab. Hulu Sungai Selatan</t>
        </is>
      </c>
      <c r="C48" t="inlineStr">
        <is>
          <t>051721341</t>
        </is>
      </c>
      <c r="D48" t="inlineStr">
        <is>
          <t>duasatupratama1@gmail.com</t>
        </is>
      </c>
      <c r="E48" t="inlineStr">
        <is>
          <t>https://lpjk.pu.go.id/search-badan-usaha-detail/Q0ptQlovSStKbWp5c2czTkVyUTJhUT09</t>
        </is>
      </c>
      <c r="F48" t="n">
        <v>5</v>
      </c>
      <c r="G48" t="inlineStr">
        <is>
          <t>BG002, BG009, BS001, BS002, BS004</t>
        </is>
      </c>
      <c r="H48" t="inlineStr">
        <is>
          <t>9 Maret 2023</t>
        </is>
      </c>
      <c r="I48" s="2" t="n">
        <v>46297</v>
      </c>
      <c r="J48" t="inlineStr">
        <is>
          <t>Disetujui</t>
        </is>
      </c>
      <c r="K48" t="n">
        <v>30</v>
      </c>
      <c r="L48" t="inlineStr">
        <is>
          <t>2 Oktober 2026</t>
        </is>
      </c>
      <c r="M48" t="inlineStr">
        <is>
          <t>Bangunan Sipil Jembatan, Jalan Layang, Fly Over, dan Underpass, Konstruksi Bangunan Sipil Jalan, Konstruksi Gedung Lainnya, Konstruksi Gedung Perkantoran, Konstruksi Jaringan Irigasi dan Drainase</t>
        </is>
      </c>
      <c r="N48" t="inlineStr">
        <is>
          <t>K</t>
        </is>
      </c>
      <c r="O48" t="inlineStr">
        <is>
          <t>20231001, 20231002</t>
        </is>
      </c>
      <c r="P48" t="inlineStr">
        <is>
          <t>Kalimantan Selatan</t>
        </is>
      </c>
      <c r="Q48" t="inlineStr"/>
    </row>
    <row r="49">
      <c r="A49" t="inlineStr">
        <is>
          <t>DUTA CHAMPION UTAMA</t>
        </is>
      </c>
      <c r="B49" t="inlineStr">
        <is>
          <t>Kota Adm. Jakarta Pusat</t>
        </is>
      </c>
      <c r="C49" t="inlineStr">
        <is>
          <t>08161877589</t>
        </is>
      </c>
      <c r="D49" t="inlineStr">
        <is>
          <t>ctsh777@gmail.com</t>
        </is>
      </c>
      <c r="E49" t="inlineStr">
        <is>
          <t>https://lpjk.pu.go.id/search-badan-usaha-detail/Qm9EbUI0WEhoZlRpWVNJQkh3bFdsdz09</t>
        </is>
      </c>
      <c r="F49" t="n">
        <v>1</v>
      </c>
      <c r="G49" t="inlineStr">
        <is>
          <t>IN004</t>
        </is>
      </c>
      <c r="H49" t="inlineStr">
        <is>
          <t>3 Januari 2000</t>
        </is>
      </c>
      <c r="I49" s="2" t="n">
        <v>46297</v>
      </c>
      <c r="J49" t="inlineStr">
        <is>
          <t>Pembekuan</t>
        </is>
      </c>
      <c r="K49" t="n">
        <v>30</v>
      </c>
      <c r="L49" t="inlineStr">
        <is>
          <t>2 Oktober 2026</t>
        </is>
      </c>
      <c r="M49" t="inlineStr">
        <is>
          <t>Instalasi Minyak dan Gas</t>
        </is>
      </c>
      <c r="N49" t="inlineStr">
        <is>
          <t>Spesialis</t>
        </is>
      </c>
      <c r="O49" t="inlineStr">
        <is>
          <t>20230808</t>
        </is>
      </c>
      <c r="P49" t="inlineStr">
        <is>
          <t>DKI Jakarta</t>
        </is>
      </c>
      <c r="Q49" t="inlineStr"/>
    </row>
    <row r="50">
      <c r="A50" t="inlineStr">
        <is>
          <t>EKA CIPTA PERKASA</t>
        </is>
      </c>
      <c r="B50" t="inlineStr">
        <is>
          <t>Kota Pekalongan</t>
        </is>
      </c>
      <c r="C50" t="inlineStr">
        <is>
          <t>0816692255</t>
        </is>
      </c>
      <c r="D50" t="inlineStr">
        <is>
          <t>ekaciptaperkasacv@gmail.com</t>
        </is>
      </c>
      <c r="E50" t="inlineStr">
        <is>
          <t>https://lpjk.pu.go.id/search-badan-usaha-detail/KzZ5SmtOOS9SYzB5SEx4MFZ4b09OQT09</t>
        </is>
      </c>
      <c r="F50" t="n">
        <v>3</v>
      </c>
      <c r="G50" t="inlineStr">
        <is>
          <t>BG002, BG006, BS001</t>
        </is>
      </c>
      <c r="H50" t="inlineStr">
        <is>
          <t>12 Februari 2020</t>
        </is>
      </c>
      <c r="I50" s="2" t="n">
        <v>46297</v>
      </c>
      <c r="J50" t="inlineStr">
        <is>
          <t>Disetujui</t>
        </is>
      </c>
      <c r="K50" t="n">
        <v>30</v>
      </c>
      <c r="L50" t="inlineStr">
        <is>
          <t>2 Oktober 2026</t>
        </is>
      </c>
      <c r="M50" t="inlineStr">
        <is>
          <t>Konstruksi Bangunan Sipil Jalan, Konstruksi Gedung Pendidikan, Konstruksi Gedung Perkantoran</t>
        </is>
      </c>
      <c r="N50" t="inlineStr">
        <is>
          <t>K</t>
        </is>
      </c>
      <c r="O50" t="inlineStr">
        <is>
          <t>20231003, 20231005</t>
        </is>
      </c>
      <c r="P50" t="inlineStr">
        <is>
          <t>Jawa Tengah</t>
        </is>
      </c>
      <c r="Q50" t="inlineStr"/>
    </row>
    <row r="51">
      <c r="A51" t="inlineStr">
        <is>
          <t>EKA JAYA BAROKAH</t>
        </is>
      </c>
      <c r="B51" t="inlineStr">
        <is>
          <t>Kab. Klaten</t>
        </is>
      </c>
      <c r="C51" t="inlineStr">
        <is>
          <t>085842788879</t>
        </is>
      </c>
      <c r="D51" t="inlineStr">
        <is>
          <t>haribrijo123@gmail.com</t>
        </is>
      </c>
      <c r="E51" t="inlineStr">
        <is>
          <t>https://lpjk.pu.go.id/search-badan-usaha-detail/elkveC9BRUQzdXNvbFkvRHFVdXI3QT09</t>
        </is>
      </c>
      <c r="F51" t="n">
        <v>3</v>
      </c>
      <c r="G51" t="inlineStr">
        <is>
          <t>BG002, BG009, BS004</t>
        </is>
      </c>
      <c r="H51" t="inlineStr">
        <is>
          <t>31 Juli 2007</t>
        </is>
      </c>
      <c r="I51" s="2" t="n">
        <v>46297</v>
      </c>
      <c r="J51" t="inlineStr">
        <is>
          <t>Disetujui</t>
        </is>
      </c>
      <c r="K51" t="n">
        <v>30</v>
      </c>
      <c r="L51" t="inlineStr">
        <is>
          <t>2 Oktober 2026</t>
        </is>
      </c>
      <c r="M51" t="inlineStr">
        <is>
          <t>Konstruksi Gedung Lainnya, Konstruksi Gedung Perkantoran, Konstruksi Jaringan Irigasi dan Drainase</t>
        </is>
      </c>
      <c r="N51" t="inlineStr">
        <is>
          <t>K</t>
        </is>
      </c>
      <c r="O51" t="inlineStr">
        <is>
          <t>20230929, 20231002</t>
        </is>
      </c>
      <c r="P51" t="inlineStr">
        <is>
          <t>Jawa Tengah</t>
        </is>
      </c>
      <c r="Q51" t="inlineStr"/>
    </row>
    <row r="52">
      <c r="A52" t="inlineStr">
        <is>
          <t>EKO JAYA MAKMUR</t>
        </is>
      </c>
      <c r="B52" t="inlineStr">
        <is>
          <t>Kota Surabaya</t>
        </is>
      </c>
      <c r="C52" t="inlineStr">
        <is>
          <t>081357976444</t>
        </is>
      </c>
      <c r="D52" t="inlineStr">
        <is>
          <t>ekojayamakmursby@gmail.com</t>
        </is>
      </c>
      <c r="E52" t="inlineStr">
        <is>
          <t>https://lpjk.pu.go.id/search-badan-usaha-detail/TTZsRXNiTzhBV3NBM09tK2oxcC92dz09</t>
        </is>
      </c>
      <c r="F52" t="n">
        <v>2</v>
      </c>
      <c r="G52" t="inlineStr">
        <is>
          <t>BS001, BS004</t>
        </is>
      </c>
      <c r="H52" t="inlineStr">
        <is>
          <t>20 September 2023</t>
        </is>
      </c>
      <c r="I52" s="2" t="n">
        <v>46297</v>
      </c>
      <c r="J52" t="inlineStr">
        <is>
          <t>Disetujui</t>
        </is>
      </c>
      <c r="K52" t="n">
        <v>30</v>
      </c>
      <c r="L52" t="inlineStr">
        <is>
          <t>2 Oktober 2026</t>
        </is>
      </c>
      <c r="M52" t="inlineStr">
        <is>
          <t>Konstruksi Bangunan Sipil Jalan, Konstruksi Jaringan Irigasi dan Drainase</t>
        </is>
      </c>
      <c r="N52" t="inlineStr">
        <is>
          <t>K</t>
        </is>
      </c>
      <c r="O52" t="inlineStr">
        <is>
          <t>20230930</t>
        </is>
      </c>
      <c r="P52" t="inlineStr">
        <is>
          <t>Jawa Timur</t>
        </is>
      </c>
      <c r="Q52" t="inlineStr"/>
    </row>
    <row r="53">
      <c r="A53" t="inlineStr">
        <is>
          <t>FAJAR</t>
        </is>
      </c>
      <c r="B53" t="inlineStr">
        <is>
          <t>Kab. Magetan</t>
        </is>
      </c>
      <c r="C53" t="inlineStr">
        <is>
          <t>081359909180</t>
        </is>
      </c>
      <c r="D53" t="inlineStr">
        <is>
          <t>selorejofajar15@gmail.com</t>
        </is>
      </c>
      <c r="E53" t="inlineStr">
        <is>
          <t>https://lpjk.pu.go.id/search-badan-usaha-detail/Nnc5MlNyRjU1RHpxQ05JSzFuQS9mdz09</t>
        </is>
      </c>
      <c r="F53" t="n">
        <v>2</v>
      </c>
      <c r="G53" t="inlineStr">
        <is>
          <t>BS001, BS004</t>
        </is>
      </c>
      <c r="H53" t="inlineStr">
        <is>
          <t>22 Juni 2012</t>
        </is>
      </c>
      <c r="I53" s="2" t="n">
        <v>46297</v>
      </c>
      <c r="J53" t="inlineStr">
        <is>
          <t>Disetujui</t>
        </is>
      </c>
      <c r="K53" t="n">
        <v>30</v>
      </c>
      <c r="L53" t="inlineStr">
        <is>
          <t>2 Oktober 2026</t>
        </is>
      </c>
      <c r="M53" t="inlineStr">
        <is>
          <t>Konstruksi Bangunan Sipil Jalan, Konstruksi Jaringan Irigasi dan Drainase</t>
        </is>
      </c>
      <c r="N53" t="inlineStr">
        <is>
          <t>K</t>
        </is>
      </c>
      <c r="O53" t="inlineStr">
        <is>
          <t>20230930</t>
        </is>
      </c>
      <c r="P53" t="inlineStr">
        <is>
          <t>Jawa Timur</t>
        </is>
      </c>
      <c r="Q53" t="inlineStr"/>
    </row>
    <row r="54">
      <c r="A54" t="inlineStr">
        <is>
          <t>FAJAR MULIA</t>
        </is>
      </c>
      <c r="B54" t="inlineStr">
        <is>
          <t>Kab. Tuban</t>
        </is>
      </c>
      <c r="C54" t="inlineStr">
        <is>
          <t>082234222576</t>
        </is>
      </c>
      <c r="D54" t="inlineStr">
        <is>
          <t>fajarmuliatbn.baru@gmail.com</t>
        </is>
      </c>
      <c r="E54" t="inlineStr">
        <is>
          <t>https://lpjk.pu.go.id/search-badan-usaha-detail/WmxMMGJ3RysrUlBkRkllUGNRUlhvZz09</t>
        </is>
      </c>
      <c r="F54" t="n">
        <v>1</v>
      </c>
      <c r="G54" t="inlineStr">
        <is>
          <t>BS002</t>
        </is>
      </c>
      <c r="H54" t="inlineStr">
        <is>
          <t>2 Februari 2012</t>
        </is>
      </c>
      <c r="I54" s="2" t="n">
        <v>46297</v>
      </c>
      <c r="J54" t="inlineStr">
        <is>
          <t>Pencabutan</t>
        </is>
      </c>
      <c r="K54" t="n">
        <v>30</v>
      </c>
      <c r="L54" t="inlineStr">
        <is>
          <t>2 Oktober 2026</t>
        </is>
      </c>
      <c r="M54" t="inlineStr">
        <is>
          <t>Bangunan Sipil Jembatan, Jalan Layang, Fly Over, dan Underpass</t>
        </is>
      </c>
      <c r="N54" t="inlineStr">
        <is>
          <t>K</t>
        </is>
      </c>
      <c r="O54" t="inlineStr">
        <is>
          <t>20230927</t>
        </is>
      </c>
      <c r="P54" t="inlineStr">
        <is>
          <t>Jawa Timur</t>
        </is>
      </c>
      <c r="Q54" t="inlineStr"/>
    </row>
    <row r="55">
      <c r="A55" t="inlineStr">
        <is>
          <t>FARIS CIPTA RAJASA</t>
        </is>
      </c>
      <c r="B55" t="inlineStr">
        <is>
          <t>Kab. Tangerang</t>
        </is>
      </c>
      <c r="C55" t="inlineStr">
        <is>
          <t>08128147613</t>
        </is>
      </c>
      <c r="D55" t="inlineStr">
        <is>
          <t>farisciptarajasa@gmail.com</t>
        </is>
      </c>
      <c r="E55" t="inlineStr">
        <is>
          <t>https://lpjk.pu.go.id/search-badan-usaha-detail/TnlBNTdBYXZlQW1VakJpMTEvNHR6QT09</t>
        </is>
      </c>
      <c r="F55" t="n">
        <v>2</v>
      </c>
      <c r="G55" t="inlineStr">
        <is>
          <t>BG002, BG005</t>
        </is>
      </c>
      <c r="H55" t="inlineStr">
        <is>
          <t>28 Januari 2015</t>
        </is>
      </c>
      <c r="I55" s="2" t="n">
        <v>46297</v>
      </c>
      <c r="J55" t="inlineStr">
        <is>
          <t>Disetujui</t>
        </is>
      </c>
      <c r="K55" t="n">
        <v>30</v>
      </c>
      <c r="L55" t="inlineStr">
        <is>
          <t>2 Oktober 2026</t>
        </is>
      </c>
      <c r="M55" t="inlineStr">
        <is>
          <t>Konstruksi Gedung Kesehatan, Konstruksi Gedung Perkantoran</t>
        </is>
      </c>
      <c r="N55" t="inlineStr">
        <is>
          <t>K</t>
        </is>
      </c>
      <c r="O55" t="inlineStr">
        <is>
          <t>20230930</t>
        </is>
      </c>
      <c r="P55" t="inlineStr">
        <is>
          <t>Banten</t>
        </is>
      </c>
      <c r="Q55" t="inlineStr"/>
    </row>
    <row r="56">
      <c r="A56" t="inlineStr">
        <is>
          <t>GELANTER GROUP</t>
        </is>
      </c>
      <c r="B56" t="inlineStr">
        <is>
          <t>Kab. Asahan</t>
        </is>
      </c>
      <c r="C56" t="inlineStr">
        <is>
          <t>08116712306</t>
        </is>
      </c>
      <c r="D56" t="inlineStr">
        <is>
          <t>cvgelantergroup@gmail.com</t>
        </is>
      </c>
      <c r="E56" t="inlineStr">
        <is>
          <t>https://lpjk.pu.go.id/search-badan-usaha-detail/OXVGZXMvd3VTbmp1R252a0E2dnZhdz09</t>
        </is>
      </c>
      <c r="F56" t="n">
        <v>1</v>
      </c>
      <c r="G56" t="inlineStr">
        <is>
          <t>BS004</t>
        </is>
      </c>
      <c r="H56" t="inlineStr">
        <is>
          <t>3 April 2023</t>
        </is>
      </c>
      <c r="I56" s="2" t="n">
        <v>46297</v>
      </c>
      <c r="J56" t="inlineStr">
        <is>
          <t>Pencabutan</t>
        </is>
      </c>
      <c r="K56" t="n">
        <v>30</v>
      </c>
      <c r="L56" t="inlineStr">
        <is>
          <t>2 Oktober 2026</t>
        </is>
      </c>
      <c r="M56" t="inlineStr">
        <is>
          <t>Konstruksi Jaringan Irigasi dan Drainase</t>
        </is>
      </c>
      <c r="N56" t="inlineStr">
        <is>
          <t>K</t>
        </is>
      </c>
      <c r="O56" t="inlineStr">
        <is>
          <t>20230928</t>
        </is>
      </c>
      <c r="P56" t="inlineStr">
        <is>
          <t>Sumatera Utara</t>
        </is>
      </c>
      <c r="Q56" t="inlineStr"/>
    </row>
    <row r="57">
      <c r="A57" t="inlineStr">
        <is>
          <t>GIRIMIYO</t>
        </is>
      </c>
      <c r="B57" t="inlineStr">
        <is>
          <t>Kab. Mappi</t>
        </is>
      </c>
      <c r="C57" t="inlineStr">
        <is>
          <t>082291190897</t>
        </is>
      </c>
      <c r="D57" t="inlineStr">
        <is>
          <t>girimiyocv@gmail.com</t>
        </is>
      </c>
      <c r="E57" t="inlineStr">
        <is>
          <t>https://lpjk.pu.go.id/search-badan-usaha-detail/Vys4YkU5UWsvRVBMT2d2aThOajRxUT09</t>
        </is>
      </c>
      <c r="F57" t="n">
        <v>1</v>
      </c>
      <c r="G57" t="inlineStr">
        <is>
          <t>BS001</t>
        </is>
      </c>
      <c r="H57" t="inlineStr">
        <is>
          <t>19 Maret 2021</t>
        </is>
      </c>
      <c r="I57" s="2" t="n">
        <v>46297</v>
      </c>
      <c r="J57" t="inlineStr">
        <is>
          <t>Disetujui</t>
        </is>
      </c>
      <c r="K57" t="n">
        <v>30</v>
      </c>
      <c r="L57" t="inlineStr">
        <is>
          <t>2 Oktober 2026</t>
        </is>
      </c>
      <c r="M57" t="inlineStr">
        <is>
          <t>Konstruksi Bangunan Sipil Jalan</t>
        </is>
      </c>
      <c r="N57" t="inlineStr">
        <is>
          <t>K</t>
        </is>
      </c>
      <c r="O57" t="inlineStr">
        <is>
          <t>20230907</t>
        </is>
      </c>
      <c r="P57" t="inlineStr">
        <is>
          <t>Papua</t>
        </is>
      </c>
      <c r="Q57" t="inlineStr"/>
    </row>
    <row r="58">
      <c r="A58" t="inlineStr">
        <is>
          <t>GLOBALINDO LINTAS SELARAS</t>
        </is>
      </c>
      <c r="B58" t="inlineStr">
        <is>
          <t>Kab. Sidoarjo</t>
        </is>
      </c>
      <c r="C58" t="inlineStr">
        <is>
          <t>082119227107</t>
        </is>
      </c>
      <c r="D58" t="inlineStr">
        <is>
          <t>globalindo.lintasselaras@gmail.com</t>
        </is>
      </c>
      <c r="E58" t="inlineStr">
        <is>
          <t>https://lpjk.pu.go.id/search-badan-usaha-detail/ZU1Leld4d0dTbldNL2JNRUZCZ1Q2dz09</t>
        </is>
      </c>
      <c r="F58" t="n">
        <v>2</v>
      </c>
      <c r="G58" t="inlineStr">
        <is>
          <t>BS009</t>
        </is>
      </c>
      <c r="H58" t="inlineStr">
        <is>
          <t>19 Februari 2019</t>
        </is>
      </c>
      <c r="I58" s="2" t="n">
        <v>46297</v>
      </c>
      <c r="J58" t="inlineStr">
        <is>
          <t>Disetujui</t>
        </is>
      </c>
      <c r="K58" t="n">
        <v>30</v>
      </c>
      <c r="L58" t="inlineStr">
        <is>
          <t>2 Oktober 2026</t>
        </is>
      </c>
      <c r="M58" t="inlineStr">
        <is>
          <t>Konstruksi Sentral Telekomunikasi</t>
        </is>
      </c>
      <c r="N58" t="inlineStr">
        <is>
          <t>K</t>
        </is>
      </c>
      <c r="O58" t="inlineStr">
        <is>
          <t>20230929</t>
        </is>
      </c>
      <c r="P58" t="inlineStr">
        <is>
          <t>Jawa Timur</t>
        </is>
      </c>
      <c r="Q58" t="inlineStr"/>
    </row>
    <row r="59">
      <c r="A59" t="inlineStr">
        <is>
          <t>GRAHA INTI KREASINDO</t>
        </is>
      </c>
      <c r="B59" t="inlineStr">
        <is>
          <t>Kota Adm. Jakarta Selatan</t>
        </is>
      </c>
      <c r="C59" t="inlineStr">
        <is>
          <t>02182850398</t>
        </is>
      </c>
      <c r="D59" t="inlineStr">
        <is>
          <t>grahaintikreasindo@gmail.com</t>
        </is>
      </c>
      <c r="E59" t="inlineStr">
        <is>
          <t>https://lpjk.pu.go.id/search-badan-usaha-detail/c1NRRHJPRFlLUzgyQjJXUFNLSm9YUT09</t>
        </is>
      </c>
      <c r="F59" t="n">
        <v>1</v>
      </c>
      <c r="G59" t="inlineStr">
        <is>
          <t>IN008</t>
        </is>
      </c>
      <c r="H59" t="inlineStr">
        <is>
          <t>30 Oktober 2013</t>
        </is>
      </c>
      <c r="I59" s="2" t="n">
        <v>46297</v>
      </c>
      <c r="J59" t="inlineStr">
        <is>
          <t>Disetujui</t>
        </is>
      </c>
      <c r="K59" t="n">
        <v>30</v>
      </c>
      <c r="L59" t="inlineStr">
        <is>
          <t>2 Oktober 2026</t>
        </is>
      </c>
      <c r="M59" t="inlineStr">
        <is>
          <t>Instalasi Pendingin Dan Ventilasi Udara</t>
        </is>
      </c>
      <c r="N59" t="inlineStr">
        <is>
          <t>Spesialis</t>
        </is>
      </c>
      <c r="O59" t="inlineStr">
        <is>
          <t>20230525</t>
        </is>
      </c>
      <c r="P59" t="inlineStr">
        <is>
          <t>DKI Jakarta</t>
        </is>
      </c>
      <c r="Q59" t="inlineStr"/>
    </row>
    <row r="60">
      <c r="A60" t="inlineStr">
        <is>
          <t>GRAHASINDO PRATAMA</t>
        </is>
      </c>
      <c r="B60" t="inlineStr">
        <is>
          <t>Kab. Bondowoso</t>
        </is>
      </c>
      <c r="C60" t="inlineStr">
        <is>
          <t>082228783413</t>
        </is>
      </c>
      <c r="D60" t="inlineStr">
        <is>
          <t>grahasindopratama@yahoo.com</t>
        </is>
      </c>
      <c r="E60" t="inlineStr">
        <is>
          <t>https://lpjk.pu.go.id/search-badan-usaha-detail/aEJkbFFlTXplQzBtN1VuZGhvbDNPQT09</t>
        </is>
      </c>
      <c r="F60" t="n">
        <v>7</v>
      </c>
      <c r="G60" t="inlineStr">
        <is>
          <t>BG002, BG005, BG006, BG008, BG009, BS001, BS004</t>
        </is>
      </c>
      <c r="H60" t="inlineStr">
        <is>
          <t>18 Oktober 2002</t>
        </is>
      </c>
      <c r="I60" s="2" t="n">
        <v>46297</v>
      </c>
      <c r="J60" t="inlineStr">
        <is>
          <t>Disetujui</t>
        </is>
      </c>
      <c r="K60" t="n">
        <v>30</v>
      </c>
      <c r="L60" t="inlineStr">
        <is>
          <t>2 Oktober 2026</t>
        </is>
      </c>
      <c r="M60" t="inlineStr">
        <is>
          <t>Konstruksi Bangunan Sipil Jalan, Konstruksi Gedung Kesehatan, Konstruksi Gedung Lainnya, Konstruksi Gedung Pendidikan, Konstruksi Gedung Perkantoran, Konstruksi Gedung Tempat Hiburan dan Olahraga, Konstruksi Jaringan Irigasi dan Drainase</t>
        </is>
      </c>
      <c r="N60" t="inlineStr">
        <is>
          <t>K</t>
        </is>
      </c>
      <c r="O60" t="inlineStr">
        <is>
          <t>20231002, 20231005</t>
        </is>
      </c>
      <c r="P60" t="inlineStr">
        <is>
          <t>Jawa Timur</t>
        </is>
      </c>
      <c r="Q60" t="inlineStr"/>
    </row>
    <row r="61">
      <c r="A61" t="inlineStr">
        <is>
          <t>GRHA BINTANG UTAMA</t>
        </is>
      </c>
      <c r="B61" t="inlineStr">
        <is>
          <t>Kota Adm. Jakarta Selatan</t>
        </is>
      </c>
      <c r="C61" t="inlineStr">
        <is>
          <t>02127098347</t>
        </is>
      </c>
      <c r="D61" t="inlineStr">
        <is>
          <t>pt.grhabintangutama@gmail.com</t>
        </is>
      </c>
      <c r="E61" t="inlineStr">
        <is>
          <t>https://lpjk.pu.go.id/search-badan-usaha-detail/cHFuT0doRXJFQStybmJBUEMwdGNGQT09</t>
        </is>
      </c>
      <c r="F61" t="n">
        <v>2</v>
      </c>
      <c r="G61" t="inlineStr">
        <is>
          <t>BS007, BS009</t>
        </is>
      </c>
      <c r="H61" t="inlineStr">
        <is>
          <t>5 Juni 2023</t>
        </is>
      </c>
      <c r="I61" s="2" t="n">
        <v>46297</v>
      </c>
      <c r="J61" t="inlineStr">
        <is>
          <t>Disetujui, Pencabutan</t>
        </is>
      </c>
      <c r="K61" t="n">
        <v>30</v>
      </c>
      <c r="L61" t="inlineStr">
        <is>
          <t>2 Oktober 2026</t>
        </is>
      </c>
      <c r="M61" t="inlineStr">
        <is>
          <t>Konstruksi Bangunan Sipil Elektrikal, Konstruksi Sentral Telekomunikasi</t>
        </is>
      </c>
      <c r="N61" t="inlineStr">
        <is>
          <t>K</t>
        </is>
      </c>
      <c r="O61" t="inlineStr">
        <is>
          <t>20230926</t>
        </is>
      </c>
      <c r="P61" t="inlineStr">
        <is>
          <t>DKI Jakarta</t>
        </is>
      </c>
      <c r="Q61" t="inlineStr"/>
    </row>
    <row r="62">
      <c r="A62" t="inlineStr">
        <is>
          <t>HADI JAYA</t>
        </is>
      </c>
      <c r="B62" t="inlineStr">
        <is>
          <t>Kab. Langkat</t>
        </is>
      </c>
      <c r="C62" t="inlineStr">
        <is>
          <t>081000000</t>
        </is>
      </c>
      <c r="D62" t="inlineStr">
        <is>
          <t>cv.hadijaya@yahoo.com</t>
        </is>
      </c>
      <c r="E62" t="inlineStr">
        <is>
          <t>https://lpjk.pu.go.id/search-badan-usaha-detail/eUkycXZzdFdtVHpXUzVxR3ZyNkVzUT09</t>
        </is>
      </c>
      <c r="F62" t="n">
        <v>4</v>
      </c>
      <c r="G62" t="inlineStr">
        <is>
          <t>BG009, BS001, BS002, BS004</t>
        </is>
      </c>
      <c r="H62" t="inlineStr">
        <is>
          <t>1 Februari 2010</t>
        </is>
      </c>
      <c r="I62" s="2" t="n">
        <v>46297</v>
      </c>
      <c r="J62" t="inlineStr">
        <is>
          <t>Disetujui</t>
        </is>
      </c>
      <c r="K62" t="n">
        <v>30</v>
      </c>
      <c r="L62" t="inlineStr">
        <is>
          <t>2 Oktober 2026</t>
        </is>
      </c>
      <c r="M62" t="inlineStr">
        <is>
          <t>Bangunan Sipil Jembatan, Jalan Layang, Fly Over, dan Underpass, Konstruksi Bangunan Sipil Jalan, Konstruksi Gedung Lainnya, Konstruksi Jaringan Irigasi dan Drainase</t>
        </is>
      </c>
      <c r="N62" t="inlineStr">
        <is>
          <t>K</t>
        </is>
      </c>
      <c r="O62" t="inlineStr">
        <is>
          <t>20230930, 20231005, 20231006</t>
        </is>
      </c>
      <c r="P62" t="inlineStr">
        <is>
          <t>Sumatera Utara</t>
        </is>
      </c>
      <c r="Q62" t="inlineStr"/>
    </row>
    <row r="63">
      <c r="A63" t="inlineStr">
        <is>
          <t>HAMARAYA</t>
        </is>
      </c>
      <c r="B63" t="inlineStr">
        <is>
          <t>Kab. Bandung</t>
        </is>
      </c>
      <c r="C63" t="inlineStr">
        <is>
          <t>081214945339</t>
        </is>
      </c>
      <c r="D63" t="inlineStr">
        <is>
          <t>hamaraya@yahoo.com</t>
        </is>
      </c>
      <c r="E63" t="inlineStr">
        <is>
          <t>https://lpjk.pu.go.id/search-badan-usaha-detail/aTNjWDBrWEpEdU5nRVJUSmxEZ202QT09</t>
        </is>
      </c>
      <c r="F63" t="n">
        <v>4</v>
      </c>
      <c r="G63" t="inlineStr">
        <is>
          <t>BG006, BG009, BS005</t>
        </is>
      </c>
      <c r="H63" t="inlineStr">
        <is>
          <t>24 Januari 2020</t>
        </is>
      </c>
      <c r="I63" s="2" t="n">
        <v>46297</v>
      </c>
      <c r="J63" t="inlineStr">
        <is>
          <t>Disetujui</t>
        </is>
      </c>
      <c r="K63" t="n">
        <v>30</v>
      </c>
      <c r="L63" t="inlineStr">
        <is>
          <t>2 Oktober 2026</t>
        </is>
      </c>
      <c r="M63" t="inlineStr">
        <is>
          <t>Konstruksi Bangunan Sipil Pengolahan Air Bersih, Konstruksi Gedung Lainnya, Konstruksi Gedung Pendidikan</t>
        </is>
      </c>
      <c r="N63" t="inlineStr">
        <is>
          <t>K</t>
        </is>
      </c>
      <c r="O63" t="inlineStr">
        <is>
          <t>20231003</t>
        </is>
      </c>
      <c r="P63" t="inlineStr">
        <is>
          <t>Jawa Barat</t>
        </is>
      </c>
      <c r="Q63" t="inlineStr"/>
    </row>
    <row r="64">
      <c r="A64" t="inlineStr">
        <is>
          <t>INDO SUPLAI SENTOSA</t>
        </is>
      </c>
      <c r="B64" t="inlineStr">
        <is>
          <t>Kota Bandung</t>
        </is>
      </c>
      <c r="C64" t="inlineStr">
        <is>
          <t>082115500333</t>
        </is>
      </c>
      <c r="D64" t="inlineStr">
        <is>
          <t>indosuplaisentosa3@gmail.com</t>
        </is>
      </c>
      <c r="E64" t="inlineStr">
        <is>
          <t>https://lpjk.pu.go.id/search-badan-usaha-detail/WDN6VytzNERDemRaZ1lzcU9UL3V2dz09</t>
        </is>
      </c>
      <c r="F64" t="n">
        <v>2</v>
      </c>
      <c r="G64" t="inlineStr">
        <is>
          <t>BS001, BS004</t>
        </is>
      </c>
      <c r="H64" t="inlineStr">
        <is>
          <t>19 Agustus 2019</t>
        </is>
      </c>
      <c r="I64" s="2" t="n">
        <v>46297</v>
      </c>
      <c r="J64" t="inlineStr">
        <is>
          <t>Disetujui</t>
        </is>
      </c>
      <c r="K64" t="n">
        <v>30</v>
      </c>
      <c r="L64" t="inlineStr">
        <is>
          <t>2 Oktober 2026</t>
        </is>
      </c>
      <c r="M64" t="inlineStr">
        <is>
          <t>Konstruksi Bangunan Sipil Jalan, Konstruksi Jaringan Irigasi dan Drainase</t>
        </is>
      </c>
      <c r="N64" t="inlineStr">
        <is>
          <t>K</t>
        </is>
      </c>
      <c r="O64" t="inlineStr">
        <is>
          <t>20230929, 20230930</t>
        </is>
      </c>
      <c r="P64" t="inlineStr">
        <is>
          <t>Jawa Barat</t>
        </is>
      </c>
      <c r="Q64" t="inlineStr"/>
    </row>
    <row r="65">
      <c r="A65" t="inlineStr">
        <is>
          <t>INFRA SAHABAT SEJAHTERA</t>
        </is>
      </c>
      <c r="B65" t="inlineStr">
        <is>
          <t>Kota Medan</t>
        </is>
      </c>
      <c r="C65" t="inlineStr">
        <is>
          <t>081396464613</t>
        </is>
      </c>
      <c r="D65" t="inlineStr">
        <is>
          <t>infrasahabatsejahtera@gmail.com</t>
        </is>
      </c>
      <c r="E65" t="inlineStr">
        <is>
          <t>https://lpjk.pu.go.id/search-badan-usaha-detail/TTJIMGRNOWZ3MTRRZFM3MWtDU3hHdz09</t>
        </is>
      </c>
      <c r="F65" t="n">
        <v>2</v>
      </c>
      <c r="G65" t="inlineStr">
        <is>
          <t>BG001, BG006</t>
        </is>
      </c>
      <c r="H65" t="inlineStr">
        <is>
          <t>10 Februari 2022</t>
        </is>
      </c>
      <c r="I65" s="2" t="n">
        <v>46297</v>
      </c>
      <c r="J65" t="inlineStr">
        <is>
          <t>Disetujui</t>
        </is>
      </c>
      <c r="K65" t="n">
        <v>30</v>
      </c>
      <c r="L65" t="inlineStr">
        <is>
          <t>2 Oktober 2026</t>
        </is>
      </c>
      <c r="M65" t="inlineStr">
        <is>
          <t>Konstruksi Gedung Hunian, Konstruksi Gedung Pendidikan</t>
        </is>
      </c>
      <c r="N65" t="inlineStr">
        <is>
          <t>K</t>
        </is>
      </c>
      <c r="O65" t="inlineStr">
        <is>
          <t>20230920</t>
        </is>
      </c>
      <c r="P65" t="inlineStr">
        <is>
          <t>Sumatera Utara</t>
        </is>
      </c>
      <c r="Q65" t="inlineStr"/>
    </row>
    <row r="66">
      <c r="A66" t="inlineStr">
        <is>
          <t>INSANI ABADI</t>
        </is>
      </c>
      <c r="B66" t="inlineStr">
        <is>
          <t>Kota Tanjung Pinang</t>
        </is>
      </c>
      <c r="C66" t="inlineStr">
        <is>
          <t>085264492352</t>
        </is>
      </c>
      <c r="D66" t="inlineStr">
        <is>
          <t>insaniabadi@yahoo.co.id</t>
        </is>
      </c>
      <c r="E66" t="inlineStr">
        <is>
          <t>https://lpjk.pu.go.id/search-badan-usaha-detail/aUpNd0xrZGx2U2kxVElaaGd4TjhWQT09</t>
        </is>
      </c>
      <c r="F66" t="n">
        <v>2</v>
      </c>
      <c r="G66" t="inlineStr">
        <is>
          <t>BS001</t>
        </is>
      </c>
      <c r="H66" t="inlineStr">
        <is>
          <t>18 Februari 2003</t>
        </is>
      </c>
      <c r="I66" s="2" t="n">
        <v>46297</v>
      </c>
      <c r="J66" t="inlineStr">
        <is>
          <t>Disetujui</t>
        </is>
      </c>
      <c r="K66" t="n">
        <v>30</v>
      </c>
      <c r="L66" t="inlineStr">
        <is>
          <t>2 Oktober 2026</t>
        </is>
      </c>
      <c r="M66" t="inlineStr">
        <is>
          <t>Konstruksi Bangunan Sipil Jalan</t>
        </is>
      </c>
      <c r="N66" t="inlineStr">
        <is>
          <t>K</t>
        </is>
      </c>
      <c r="O66" t="inlineStr">
        <is>
          <t>20230927</t>
        </is>
      </c>
      <c r="P66" t="inlineStr">
        <is>
          <t>Kepulauan Riau</t>
        </is>
      </c>
      <c r="Q66" t="inlineStr"/>
    </row>
    <row r="67">
      <c r="A67" t="inlineStr">
        <is>
          <t>INTAN KARYA MANDIRI</t>
        </is>
      </c>
      <c r="B67" t="inlineStr">
        <is>
          <t>Kab. Jember</t>
        </is>
      </c>
      <c r="C67" t="inlineStr">
        <is>
          <t>0331486640</t>
        </is>
      </c>
      <c r="D67" t="inlineStr">
        <is>
          <t>ikm.indonesia@yahoo.co.id</t>
        </is>
      </c>
      <c r="E67" t="inlineStr">
        <is>
          <t>https://lpjk.pu.go.id/search-badan-usaha-detail/QWN6MEdsKytPL2FuZGtBZlUxVmxXUT09</t>
        </is>
      </c>
      <c r="F67" t="n">
        <v>1</v>
      </c>
      <c r="G67" t="inlineStr">
        <is>
          <t>BS002</t>
        </is>
      </c>
      <c r="H67" t="inlineStr">
        <is>
          <t>6 Januari 2007</t>
        </is>
      </c>
      <c r="I67" s="2" t="n">
        <v>46297</v>
      </c>
      <c r="J67" t="inlineStr">
        <is>
          <t>Disetujui</t>
        </is>
      </c>
      <c r="K67" t="n">
        <v>30</v>
      </c>
      <c r="L67" t="inlineStr">
        <is>
          <t>2 Oktober 2026</t>
        </is>
      </c>
      <c r="M67" t="inlineStr">
        <is>
          <t>Bangunan Sipil Jembatan, Jalan Layang, Fly Over, dan Underpass</t>
        </is>
      </c>
      <c r="N67" t="inlineStr">
        <is>
          <t>K</t>
        </is>
      </c>
      <c r="O67" t="inlineStr">
        <is>
          <t>20230927</t>
        </is>
      </c>
      <c r="P67" t="inlineStr">
        <is>
          <t>Jawa Timur</t>
        </is>
      </c>
      <c r="Q67" t="inlineStr"/>
    </row>
    <row r="68">
      <c r="A68" t="inlineStr">
        <is>
          <t>IRSAN</t>
        </is>
      </c>
      <c r="B68" t="inlineStr">
        <is>
          <t>Kab. Kulon Progo</t>
        </is>
      </c>
      <c r="C68" t="inlineStr">
        <is>
          <t>0274775286</t>
        </is>
      </c>
      <c r="D68" t="inlineStr">
        <is>
          <t>cv.irsan@gmail.com</t>
        </is>
      </c>
      <c r="E68" t="inlineStr">
        <is>
          <t>https://lpjk.pu.go.id/search-badan-usaha-detail/Q05HT0JNTFNVaEpkcFBUckczYVltUT09</t>
        </is>
      </c>
      <c r="F68" t="n">
        <v>1</v>
      </c>
      <c r="G68" t="inlineStr">
        <is>
          <t>BS001</t>
        </is>
      </c>
      <c r="H68" t="inlineStr">
        <is>
          <t>16 Juli 1997</t>
        </is>
      </c>
      <c r="I68" s="2" t="n">
        <v>46297</v>
      </c>
      <c r="J68" t="inlineStr">
        <is>
          <t>Disetujui</t>
        </is>
      </c>
      <c r="K68" t="n">
        <v>30</v>
      </c>
      <c r="L68" t="inlineStr">
        <is>
          <t>2 Oktober 2026</t>
        </is>
      </c>
      <c r="M68" t="inlineStr">
        <is>
          <t>Konstruksi Bangunan Sipil Jalan</t>
        </is>
      </c>
      <c r="N68" t="inlineStr">
        <is>
          <t>K</t>
        </is>
      </c>
      <c r="O68" t="inlineStr">
        <is>
          <t>20230911</t>
        </is>
      </c>
      <c r="P68" t="inlineStr">
        <is>
          <t>DI Yogyakarta</t>
        </is>
      </c>
      <c r="Q68" t="inlineStr"/>
    </row>
    <row r="69">
      <c r="A69" t="inlineStr">
        <is>
          <t>JAYA SAMPURNA ABADI</t>
        </is>
      </c>
      <c r="B69" t="inlineStr">
        <is>
          <t>Kota Palembang</t>
        </is>
      </c>
      <c r="C69" t="inlineStr">
        <is>
          <t>082183966766</t>
        </is>
      </c>
      <c r="D69" t="inlineStr">
        <is>
          <t>jayasampurnabadi@yahoo.com</t>
        </is>
      </c>
      <c r="E69" t="inlineStr">
        <is>
          <t>https://lpjk.pu.go.id/search-badan-usaha-detail/a3pHL2pkNXlpdzhWM1ZWaTdEdXd1dz09</t>
        </is>
      </c>
      <c r="F69" t="n">
        <v>1</v>
      </c>
      <c r="G69" t="inlineStr">
        <is>
          <t>BS001</t>
        </is>
      </c>
      <c r="H69" t="inlineStr">
        <is>
          <t>27 Juli 2016</t>
        </is>
      </c>
      <c r="I69" s="2" t="n">
        <v>46297</v>
      </c>
      <c r="J69" t="inlineStr">
        <is>
          <t>Pencabutan</t>
        </is>
      </c>
      <c r="K69" t="n">
        <v>30</v>
      </c>
      <c r="L69" t="inlineStr">
        <is>
          <t>2 Oktober 2026</t>
        </is>
      </c>
      <c r="M69" t="inlineStr">
        <is>
          <t>Konstruksi Bangunan Sipil Jalan</t>
        </is>
      </c>
      <c r="N69" t="inlineStr">
        <is>
          <t>K</t>
        </is>
      </c>
      <c r="O69" t="inlineStr">
        <is>
          <t>20230928</t>
        </is>
      </c>
      <c r="P69" t="inlineStr">
        <is>
          <t>Sumatera Selatan</t>
        </is>
      </c>
      <c r="Q69" t="inlineStr"/>
    </row>
    <row r="70">
      <c r="A70" t="inlineStr">
        <is>
          <t>KALIMANTAN AGUNG PERKASA</t>
        </is>
      </c>
      <c r="B70" t="inlineStr">
        <is>
          <t>Kota Bontang</t>
        </is>
      </c>
      <c r="C70" t="inlineStr">
        <is>
          <t>0811580797</t>
        </is>
      </c>
      <c r="D70" t="inlineStr">
        <is>
          <t>cvkalimantanintiteknik@gmail.com</t>
        </is>
      </c>
      <c r="E70" t="inlineStr">
        <is>
          <t>https://lpjk.pu.go.id/search-badan-usaha-detail/WllOaUtsbmdEaGQwcFgzNEx4RU5Ddz09</t>
        </is>
      </c>
      <c r="F70" t="n">
        <v>2</v>
      </c>
      <c r="G70" t="inlineStr">
        <is>
          <t>BG009</t>
        </is>
      </c>
      <c r="H70" t="inlineStr">
        <is>
          <t>21 September 2006</t>
        </is>
      </c>
      <c r="I70" s="2" t="n">
        <v>46297</v>
      </c>
      <c r="J70" t="inlineStr">
        <is>
          <t>Disetujui</t>
        </is>
      </c>
      <c r="K70" t="n">
        <v>30</v>
      </c>
      <c r="L70" t="inlineStr">
        <is>
          <t>2 Oktober 2026</t>
        </is>
      </c>
      <c r="M70" t="inlineStr">
        <is>
          <t>Konstruksi Gedung Lainnya</t>
        </is>
      </c>
      <c r="N70" t="inlineStr">
        <is>
          <t>K</t>
        </is>
      </c>
      <c r="O70" t="inlineStr">
        <is>
          <t>20230926</t>
        </is>
      </c>
      <c r="P70" t="inlineStr">
        <is>
          <t>Kalimantan Timur</t>
        </is>
      </c>
      <c r="Q70" t="inlineStr"/>
    </row>
    <row r="71">
      <c r="A71" t="inlineStr">
        <is>
          <t>KALIMUTU MITRA PERKASA</t>
        </is>
      </c>
      <c r="B71" t="inlineStr">
        <is>
          <t>Kota Adm. Jakarta Barat</t>
        </is>
      </c>
      <c r="C71" t="inlineStr">
        <is>
          <t>02156960197</t>
        </is>
      </c>
      <c r="D71" t="inlineStr">
        <is>
          <t>sales@kalimutu.com</t>
        </is>
      </c>
      <c r="E71" t="inlineStr">
        <is>
          <t>https://lpjk.pu.go.id/search-badan-usaha-detail/dUVDT1hGS2RxWWIya0p1VndXS3Vrdz09</t>
        </is>
      </c>
      <c r="F71" t="n">
        <v>1</v>
      </c>
      <c r="G71" t="inlineStr">
        <is>
          <t>BG001</t>
        </is>
      </c>
      <c r="H71" t="inlineStr">
        <is>
          <t>2 April 2007</t>
        </is>
      </c>
      <c r="I71" s="2" t="n">
        <v>46297</v>
      </c>
      <c r="J71" t="inlineStr">
        <is>
          <t>Disetujui</t>
        </is>
      </c>
      <c r="K71" t="n">
        <v>30</v>
      </c>
      <c r="L71" t="inlineStr">
        <is>
          <t>2 Oktober 2026</t>
        </is>
      </c>
      <c r="M71" t="inlineStr">
        <is>
          <t>Konstruksi Gedung Hunian</t>
        </is>
      </c>
      <c r="N71" t="inlineStr">
        <is>
          <t>K</t>
        </is>
      </c>
      <c r="O71" t="inlineStr">
        <is>
          <t>20230825</t>
        </is>
      </c>
      <c r="P71" t="inlineStr">
        <is>
          <t>DKI Jakarta</t>
        </is>
      </c>
      <c r="Q71" t="inlineStr"/>
    </row>
    <row r="72">
      <c r="A72" t="inlineStr">
        <is>
          <t>KARYA MANDIRI KONTRUKSI</t>
        </is>
      </c>
      <c r="B72" t="inlineStr">
        <is>
          <t>Kota Padang</t>
        </is>
      </c>
      <c r="C72" t="inlineStr">
        <is>
          <t>081363141712</t>
        </is>
      </c>
      <c r="D72" t="inlineStr">
        <is>
          <t>ptkaryamandirikontruksi@gmail.com</t>
        </is>
      </c>
      <c r="E72" t="inlineStr">
        <is>
          <t>https://lpjk.pu.go.id/search-badan-usaha-detail/cnJLUW9LTWt5SFdBblBHRS9uKzVDUT09</t>
        </is>
      </c>
      <c r="F72" t="n">
        <v>1</v>
      </c>
      <c r="G72" t="inlineStr">
        <is>
          <t>BG005</t>
        </is>
      </c>
      <c r="H72" t="inlineStr">
        <is>
          <t>18 Juli 2023</t>
        </is>
      </c>
      <c r="I72" s="2" t="n">
        <v>46297</v>
      </c>
      <c r="J72" t="inlineStr">
        <is>
          <t>Disetujui</t>
        </is>
      </c>
      <c r="K72" t="n">
        <v>30</v>
      </c>
      <c r="L72" t="inlineStr">
        <is>
          <t>2 Oktober 2026</t>
        </is>
      </c>
      <c r="M72" t="inlineStr">
        <is>
          <t>Konstruksi Gedung Kesehatan</t>
        </is>
      </c>
      <c r="N72" t="inlineStr">
        <is>
          <t>K</t>
        </is>
      </c>
      <c r="O72" t="inlineStr">
        <is>
          <t>20230922</t>
        </is>
      </c>
      <c r="P72" t="inlineStr">
        <is>
          <t>Sumatera Barat</t>
        </is>
      </c>
      <c r="Q72" t="inlineStr"/>
    </row>
    <row r="73">
      <c r="A73" t="inlineStr">
        <is>
          <t>KARYA PENA MAS</t>
        </is>
      </c>
      <c r="B73" t="inlineStr">
        <is>
          <t>Kab. Labuhanbatu</t>
        </is>
      </c>
      <c r="C73" t="inlineStr">
        <is>
          <t>081362434007</t>
        </is>
      </c>
      <c r="D73" t="inlineStr">
        <is>
          <t>ttony7204@gmail.com</t>
        </is>
      </c>
      <c r="E73" t="inlineStr">
        <is>
          <t>https://lpjk.pu.go.id/search-badan-usaha-detail/ODVia2Ivanp2dHZidnlzUUJWc0FBdz09</t>
        </is>
      </c>
      <c r="F73" t="n">
        <v>1</v>
      </c>
      <c r="G73" t="inlineStr">
        <is>
          <t>BG001</t>
        </is>
      </c>
      <c r="H73" t="inlineStr">
        <is>
          <t>26 Mei 2003</t>
        </is>
      </c>
      <c r="I73" s="2" t="n">
        <v>46297</v>
      </c>
      <c r="J73" t="inlineStr">
        <is>
          <t>Disetujui</t>
        </is>
      </c>
      <c r="K73" t="n">
        <v>30</v>
      </c>
      <c r="L73" t="inlineStr">
        <is>
          <t>2 Oktober 2026</t>
        </is>
      </c>
      <c r="M73" t="inlineStr">
        <is>
          <t>Konstruksi Gedung Hunian</t>
        </is>
      </c>
      <c r="N73" t="inlineStr">
        <is>
          <t>K</t>
        </is>
      </c>
      <c r="O73" t="inlineStr">
        <is>
          <t>20230929</t>
        </is>
      </c>
      <c r="P73" t="inlineStr">
        <is>
          <t>Sumatera Utara</t>
        </is>
      </c>
      <c r="Q73" t="inlineStr"/>
    </row>
    <row r="74">
      <c r="A74" t="inlineStr">
        <is>
          <t>KARYA SEJATI MANDIRI</t>
        </is>
      </c>
      <c r="B74" t="inlineStr">
        <is>
          <t>Kab. Gresik</t>
        </is>
      </c>
      <c r="C74" t="inlineStr">
        <is>
          <t>081331902478</t>
        </is>
      </c>
      <c r="D74" t="inlineStr">
        <is>
          <t>karyasm_cv@yahoo.com</t>
        </is>
      </c>
      <c r="E74" t="inlineStr">
        <is>
          <t>https://lpjk.pu.go.id/search-badan-usaha-detail/bi9RRzhSbEJ6MkpjdGpPMjkvU0ZQQT09</t>
        </is>
      </c>
      <c r="F74" t="n">
        <v>1</v>
      </c>
      <c r="G74" t="inlineStr">
        <is>
          <t>BS001</t>
        </is>
      </c>
      <c r="H74" t="inlineStr">
        <is>
          <t>10 Juni 2020</t>
        </is>
      </c>
      <c r="I74" s="2" t="n">
        <v>46297</v>
      </c>
      <c r="J74" t="inlineStr">
        <is>
          <t>Pencabutan</t>
        </is>
      </c>
      <c r="K74" t="n">
        <v>30</v>
      </c>
      <c r="L74" t="inlineStr">
        <is>
          <t>2 Oktober 2026</t>
        </is>
      </c>
      <c r="M74" t="inlineStr">
        <is>
          <t>Konstruksi Bangunan Sipil Jalan</t>
        </is>
      </c>
      <c r="N74" t="inlineStr">
        <is>
          <t>K</t>
        </is>
      </c>
      <c r="O74" t="inlineStr">
        <is>
          <t>20230830</t>
        </is>
      </c>
      <c r="P74" t="inlineStr">
        <is>
          <t>Jawa Timur</t>
        </is>
      </c>
      <c r="Q74" t="inlineStr"/>
    </row>
    <row r="75">
      <c r="A75" t="inlineStr">
        <is>
          <t>KARYA SOLUSI CONSULTANT</t>
        </is>
      </c>
      <c r="B75" t="inlineStr">
        <is>
          <t>Kota Bontang</t>
        </is>
      </c>
      <c r="C75" t="inlineStr">
        <is>
          <t>05483552017</t>
        </is>
      </c>
      <c r="D75" t="inlineStr">
        <is>
          <t>ksc.karyamandiri@gmail.com</t>
        </is>
      </c>
      <c r="E75" t="inlineStr">
        <is>
          <t>https://lpjk.pu.go.id/search-badan-usaha-detail/MlNFek83Mkk4cDJTMHFOa25kVTh4Zz09</t>
        </is>
      </c>
      <c r="F75" t="n">
        <v>3</v>
      </c>
      <c r="G75" t="inlineStr">
        <is>
          <t>RK001, RK002, RK003</t>
        </is>
      </c>
      <c r="H75" t="inlineStr">
        <is>
          <t>29 Januari 2020</t>
        </is>
      </c>
      <c r="I75" s="2" t="n">
        <v>46297</v>
      </c>
      <c r="J75" t="inlineStr">
        <is>
          <t>Disetujui</t>
        </is>
      </c>
      <c r="K75" t="n">
        <v>30</v>
      </c>
      <c r="L75" t="inlineStr">
        <is>
          <t>2 Oktober 2026</t>
        </is>
      </c>
      <c r="M75" t="inlineStr">
        <is>
          <t>Jasa Rekayasa Konstruksi Bangunan Gedung Hunian dan Non Hunian, Jasa Rekayasa Pekerjaan Teknik Sipil Sumber Daya Air, Jasa Rekayasa Pekerjaan Teknik Sipil Transportasi</t>
        </is>
      </c>
      <c r="N75" t="inlineStr">
        <is>
          <t>K</t>
        </is>
      </c>
      <c r="O75" t="inlineStr">
        <is>
          <t>20230920</t>
        </is>
      </c>
      <c r="P75" t="inlineStr">
        <is>
          <t>Kalimantan Timur</t>
        </is>
      </c>
      <c r="Q75" t="inlineStr"/>
    </row>
    <row r="76">
      <c r="A76" t="inlineStr">
        <is>
          <t>KARYA SUKSES PERSADA</t>
        </is>
      </c>
      <c r="B76" t="inlineStr">
        <is>
          <t>Kab. Ketapang</t>
        </is>
      </c>
      <c r="C76" t="inlineStr">
        <is>
          <t>081347443392</t>
        </is>
      </c>
      <c r="D76" t="inlineStr">
        <is>
          <t>persadakaryasukses@gmail.com</t>
        </is>
      </c>
      <c r="E76" t="inlineStr">
        <is>
          <t>https://lpjk.pu.go.id/search-badan-usaha-detail/M25OSFdGOTZpSGhSbUJwdnNjN043dz09</t>
        </is>
      </c>
      <c r="F76" t="n">
        <v>1</v>
      </c>
      <c r="G76" t="inlineStr">
        <is>
          <t>BS001</t>
        </is>
      </c>
      <c r="H76" t="inlineStr">
        <is>
          <t>4 Februari 2025</t>
        </is>
      </c>
      <c r="I76" s="2" t="n">
        <v>46297</v>
      </c>
      <c r="J76" t="inlineStr">
        <is>
          <t>Disetujui</t>
        </is>
      </c>
      <c r="K76" t="n">
        <v>30</v>
      </c>
      <c r="L76" t="inlineStr">
        <is>
          <t>2 Oktober 2026</t>
        </is>
      </c>
      <c r="M76" t="inlineStr">
        <is>
          <t>Konstruksi Bangunan Sipil Jalan</t>
        </is>
      </c>
      <c r="N76" t="inlineStr">
        <is>
          <t>K</t>
        </is>
      </c>
      <c r="O76" t="inlineStr">
        <is>
          <t>20231002</t>
        </is>
      </c>
      <c r="P76" t="inlineStr">
        <is>
          <t>Kalimantan Barat</t>
        </is>
      </c>
      <c r="Q76" t="inlineStr"/>
    </row>
    <row r="77">
      <c r="A77" t="inlineStr">
        <is>
          <t>KARYA UTAMA</t>
        </is>
      </c>
      <c r="B77" t="inlineStr">
        <is>
          <t>Kab. Bulungan</t>
        </is>
      </c>
      <c r="C77" t="inlineStr">
        <is>
          <t>08125408320</t>
        </is>
      </c>
      <c r="D77" t="inlineStr">
        <is>
          <t>KARYA8UTAMA@GMAIL.COM</t>
        </is>
      </c>
      <c r="E77" t="inlineStr">
        <is>
          <t>https://lpjk.pu.go.id/search-badan-usaha-detail/ZFgrYnIwUXpGS0RhU2RxcFc4QVRYdz09</t>
        </is>
      </c>
      <c r="F77" t="n">
        <v>2</v>
      </c>
      <c r="G77" t="inlineStr">
        <is>
          <t>BG005, BG006</t>
        </is>
      </c>
      <c r="H77" t="inlineStr">
        <is>
          <t>21 Desember 2002</t>
        </is>
      </c>
      <c r="I77" s="2" t="n">
        <v>46297</v>
      </c>
      <c r="J77" t="inlineStr">
        <is>
          <t>Disetujui</t>
        </is>
      </c>
      <c r="K77" t="n">
        <v>30</v>
      </c>
      <c r="L77" t="inlineStr">
        <is>
          <t>2 Oktober 2026</t>
        </is>
      </c>
      <c r="M77" t="inlineStr">
        <is>
          <t>Konstruksi Gedung Kesehatan, Konstruksi Gedung Pendidikan</t>
        </is>
      </c>
      <c r="N77" t="inlineStr">
        <is>
          <t>K</t>
        </is>
      </c>
      <c r="O77" t="inlineStr">
        <is>
          <t>20230201, 20231009</t>
        </is>
      </c>
      <c r="P77" t="inlineStr">
        <is>
          <t>Kalimantan Utara</t>
        </is>
      </c>
      <c r="Q77" t="inlineStr"/>
    </row>
    <row r="78">
      <c r="A78" t="inlineStr">
        <is>
          <t>KEMBANG NAILA PRATAMA</t>
        </is>
      </c>
      <c r="B78" t="inlineStr">
        <is>
          <t>Kota Pontianak</t>
        </is>
      </c>
      <c r="C78" t="inlineStr">
        <is>
          <t>081345221409</t>
        </is>
      </c>
      <c r="D78" t="inlineStr">
        <is>
          <t>kembangnailapratama46@gmail.com</t>
        </is>
      </c>
      <c r="E78" t="inlineStr">
        <is>
          <t>https://lpjk.pu.go.id/search-badan-usaha-detail/Z3pjcWVmNmordm9oM1NHSThCdjJiZz09</t>
        </is>
      </c>
      <c r="F78" t="n">
        <v>4</v>
      </c>
      <c r="G78" t="inlineStr">
        <is>
          <t>BG002, BG005, BG006, BS001</t>
        </is>
      </c>
      <c r="H78" t="inlineStr">
        <is>
          <t>31 Oktober 2008</t>
        </is>
      </c>
      <c r="I78" s="2" t="n">
        <v>46297</v>
      </c>
      <c r="J78" t="inlineStr">
        <is>
          <t>Disetujui</t>
        </is>
      </c>
      <c r="K78" t="n">
        <v>30</v>
      </c>
      <c r="L78" t="inlineStr">
        <is>
          <t>2 Oktober 2026</t>
        </is>
      </c>
      <c r="M78" t="inlineStr">
        <is>
          <t>Konstruksi Bangunan Sipil Jalan, Konstruksi Gedung Kesehatan, Konstruksi Gedung Pendidikan, Konstruksi Gedung Perkantoran</t>
        </is>
      </c>
      <c r="N78" t="inlineStr">
        <is>
          <t>K</t>
        </is>
      </c>
      <c r="O78" t="inlineStr">
        <is>
          <t>20230927</t>
        </is>
      </c>
      <c r="P78" t="inlineStr">
        <is>
          <t>Kalimantan Barat</t>
        </is>
      </c>
      <c r="Q78" t="inlineStr"/>
    </row>
    <row r="79">
      <c r="A79" t="inlineStr">
        <is>
          <t>KOLEGA EKSTERIOR INTERIOR</t>
        </is>
      </c>
      <c r="B79" t="inlineStr">
        <is>
          <t>Kab. Paser</t>
        </is>
      </c>
      <c r="C79" t="inlineStr">
        <is>
          <t>085248841018</t>
        </is>
      </c>
      <c r="D79" t="inlineStr">
        <is>
          <t>kolegaeksteriorinterior@gmail.com</t>
        </is>
      </c>
      <c r="E79" t="inlineStr">
        <is>
          <t>https://lpjk.pu.go.id/search-badan-usaha-detail/NFI5UHNERjdwUDg2ZG1oQzNOc1RxUT09</t>
        </is>
      </c>
      <c r="F79" t="n">
        <v>4</v>
      </c>
      <c r="G79" t="inlineStr">
        <is>
          <t>BG008, BG009, BS001, PB004</t>
        </is>
      </c>
      <c r="H79" t="inlineStr">
        <is>
          <t>15 September 2023</t>
        </is>
      </c>
      <c r="I79" s="2" t="n">
        <v>46297</v>
      </c>
      <c r="J79" t="inlineStr">
        <is>
          <t>Disetujui, Pembekuan</t>
        </is>
      </c>
      <c r="K79" t="n">
        <v>30</v>
      </c>
      <c r="L79" t="inlineStr">
        <is>
          <t>2 Oktober 2026</t>
        </is>
      </c>
      <c r="M79" t="inlineStr">
        <is>
          <t>Dekorasi Interior, Konstruksi Bangunan Sipil Jalan, Konstruksi Gedung Lainnya, Konstruksi Gedung Tempat Hiburan dan Olahraga</t>
        </is>
      </c>
      <c r="N79" t="inlineStr">
        <is>
          <t>K, Spesialis</t>
        </is>
      </c>
      <c r="O79" t="inlineStr">
        <is>
          <t>20231003</t>
        </is>
      </c>
      <c r="P79" t="inlineStr">
        <is>
          <t>Kalimantan Timur</t>
        </is>
      </c>
      <c r="Q79" t="inlineStr"/>
    </row>
    <row r="80">
      <c r="A80" t="inlineStr">
        <is>
          <t>LANGGENG JAYA</t>
        </is>
      </c>
      <c r="B80" t="inlineStr">
        <is>
          <t>Kota Magelang</t>
        </is>
      </c>
      <c r="C80" t="inlineStr">
        <is>
          <t>N/A</t>
        </is>
      </c>
      <c r="D80" t="inlineStr">
        <is>
          <t>N/A</t>
        </is>
      </c>
      <c r="E80" t="inlineStr">
        <is>
          <t>https://lpjk.pu.go.id/search-badan-usaha-detail/eWtIODgvYmltOHpodUQyalN4SGhpZz09</t>
        </is>
      </c>
      <c r="F80" t="n">
        <v>3</v>
      </c>
      <c r="G80" t="inlineStr">
        <is>
          <t>BG004, BG005, BS004</t>
        </is>
      </c>
      <c r="H80" t="inlineStr"/>
      <c r="I80" s="2" t="n">
        <v>46297</v>
      </c>
      <c r="J80" t="inlineStr">
        <is>
          <t>Disetujui</t>
        </is>
      </c>
      <c r="K80" t="n">
        <v>30</v>
      </c>
      <c r="L80" t="inlineStr">
        <is>
          <t>2 Oktober 2026</t>
        </is>
      </c>
      <c r="M80" t="inlineStr">
        <is>
          <t>Konstruksi Gedung Kesehatan, Konstruksi Gedung Perbelanjaan, Konstruksi Jaringan Irigasi dan Drainase</t>
        </is>
      </c>
      <c r="N80" t="inlineStr">
        <is>
          <t>K</t>
        </is>
      </c>
      <c r="O80" t="inlineStr">
        <is>
          <t>20230929, 20231002, 20231003</t>
        </is>
      </c>
      <c r="P80" t="inlineStr">
        <is>
          <t>Jawa Tengah</t>
        </is>
      </c>
      <c r="Q80" t="inlineStr"/>
    </row>
    <row r="81">
      <c r="A81" t="inlineStr">
        <is>
          <t>LINGGAJATI</t>
        </is>
      </c>
      <c r="B81" t="inlineStr">
        <is>
          <t>Kota Malang</t>
        </is>
      </c>
      <c r="C81" t="inlineStr">
        <is>
          <t>085790950955</t>
        </is>
      </c>
      <c r="D81" t="inlineStr">
        <is>
          <t>linggajaticonstruction@gmail.com</t>
        </is>
      </c>
      <c r="E81" t="inlineStr">
        <is>
          <t>https://lpjk.pu.go.id/search-badan-usaha-detail/bCtJRDJmcXBaT1Z0TzV5cmRmUVQrdz09</t>
        </is>
      </c>
      <c r="F81" t="n">
        <v>1</v>
      </c>
      <c r="G81" t="inlineStr">
        <is>
          <t>BS005</t>
        </is>
      </c>
      <c r="H81" t="inlineStr">
        <is>
          <t>30 Agustus 2023</t>
        </is>
      </c>
      <c r="I81" s="2" t="n">
        <v>46297</v>
      </c>
      <c r="J81" t="inlineStr">
        <is>
          <t>Disetujui</t>
        </is>
      </c>
      <c r="K81" t="n">
        <v>30</v>
      </c>
      <c r="L81" t="inlineStr">
        <is>
          <t>2 Oktober 2026</t>
        </is>
      </c>
      <c r="M81" t="inlineStr">
        <is>
          <t>Konstruksi Bangunan Sipil Pengolahan Air Bersih</t>
        </is>
      </c>
      <c r="N81" t="inlineStr">
        <is>
          <t>K</t>
        </is>
      </c>
      <c r="O81" t="inlineStr">
        <is>
          <t>20231002</t>
        </is>
      </c>
      <c r="P81" t="inlineStr">
        <is>
          <t>Jawa Timur</t>
        </is>
      </c>
      <c r="Q81" t="inlineStr"/>
    </row>
    <row r="82">
      <c r="A82" t="inlineStr">
        <is>
          <t>LUTFI BANGUN PERSADA</t>
        </is>
      </c>
      <c r="B82" t="inlineStr">
        <is>
          <t>Kab. Sidoarjo</t>
        </is>
      </c>
      <c r="C82" t="inlineStr">
        <is>
          <t>082139838992</t>
        </is>
      </c>
      <c r="D82" t="inlineStr">
        <is>
          <t>lb.persada@gmail.com</t>
        </is>
      </c>
      <c r="E82" t="inlineStr">
        <is>
          <t>https://lpjk.pu.go.id/search-badan-usaha-detail/WVc2Y3VaQytOMUFMWXpxemttQzNJQT09</t>
        </is>
      </c>
      <c r="F82" t="n">
        <v>1</v>
      </c>
      <c r="G82" t="inlineStr">
        <is>
          <t>BS004</t>
        </is>
      </c>
      <c r="H82" t="inlineStr">
        <is>
          <t>2 September 2006</t>
        </is>
      </c>
      <c r="I82" s="2" t="n">
        <v>46297</v>
      </c>
      <c r="J82" t="inlineStr">
        <is>
          <t>Disetujui</t>
        </is>
      </c>
      <c r="K82" t="n">
        <v>30</v>
      </c>
      <c r="L82" t="inlineStr">
        <is>
          <t>2 Oktober 2026</t>
        </is>
      </c>
      <c r="M82" t="inlineStr">
        <is>
          <t>Konstruksi Jaringan Irigasi dan Drainase</t>
        </is>
      </c>
      <c r="N82" t="inlineStr">
        <is>
          <t>K</t>
        </is>
      </c>
      <c r="O82" t="inlineStr">
        <is>
          <t>20230921</t>
        </is>
      </c>
      <c r="P82" t="inlineStr">
        <is>
          <t>Jawa Timur</t>
        </is>
      </c>
      <c r="Q82" t="inlineStr"/>
    </row>
    <row r="83">
      <c r="A83" t="inlineStr">
        <is>
          <t>MAHAKAM CITRA NUSANTARA</t>
        </is>
      </c>
      <c r="B83" t="inlineStr">
        <is>
          <t>Kota Samarinda</t>
        </is>
      </c>
      <c r="C83" t="inlineStr">
        <is>
          <t>085249946413</t>
        </is>
      </c>
      <c r="D83" t="inlineStr">
        <is>
          <t>cv_mcn@yahoo.co.id</t>
        </is>
      </c>
      <c r="E83" t="inlineStr">
        <is>
          <t>https://lpjk.pu.go.id/search-badan-usaha-detail/YmJwK2J5Ym5TemxCNndGQStUVWVHdz09</t>
        </is>
      </c>
      <c r="F83" t="n">
        <v>2</v>
      </c>
      <c r="G83" t="inlineStr">
        <is>
          <t>BG006</t>
        </is>
      </c>
      <c r="H83" t="inlineStr">
        <is>
          <t>17 Desember 2021</t>
        </is>
      </c>
      <c r="I83" s="2" t="n">
        <v>46297</v>
      </c>
      <c r="J83" t="inlineStr">
        <is>
          <t>Pencabutan</t>
        </is>
      </c>
      <c r="K83" t="n">
        <v>30</v>
      </c>
      <c r="L83" t="inlineStr">
        <is>
          <t>2 Oktober 2026</t>
        </is>
      </c>
      <c r="M83" t="inlineStr">
        <is>
          <t>Konstruksi Gedung Pendidikan</t>
        </is>
      </c>
      <c r="N83" t="inlineStr">
        <is>
          <t>K</t>
        </is>
      </c>
      <c r="O83" t="inlineStr">
        <is>
          <t>20230730</t>
        </is>
      </c>
      <c r="P83" t="inlineStr">
        <is>
          <t>Kalimantan Timur</t>
        </is>
      </c>
      <c r="Q83" t="inlineStr"/>
    </row>
    <row r="84">
      <c r="A84" t="inlineStr">
        <is>
          <t>MANDIRI JAYA MOK</t>
        </is>
      </c>
      <c r="B84" t="inlineStr">
        <is>
          <t>Kota Palembang</t>
        </is>
      </c>
      <c r="C84" t="inlineStr">
        <is>
          <t>0711710859</t>
        </is>
      </c>
      <c r="D84" t="inlineStr">
        <is>
          <t>mandirijayamok@yahoo.com</t>
        </is>
      </c>
      <c r="E84" t="inlineStr">
        <is>
          <t>https://lpjk.pu.go.id/search-badan-usaha-detail/bjNtV3FPWlJFb0JqcURmTkdEUXhndz09</t>
        </is>
      </c>
      <c r="F84" t="n">
        <v>1</v>
      </c>
      <c r="G84" t="inlineStr">
        <is>
          <t>BG009</t>
        </is>
      </c>
      <c r="H84" t="inlineStr">
        <is>
          <t>9 September 2008</t>
        </is>
      </c>
      <c r="I84" s="2" t="n">
        <v>46297</v>
      </c>
      <c r="J84" t="inlineStr">
        <is>
          <t>Disetujui</t>
        </is>
      </c>
      <c r="K84" t="n">
        <v>30</v>
      </c>
      <c r="L84" t="inlineStr">
        <is>
          <t>2 Oktober 2026</t>
        </is>
      </c>
      <c r="M84" t="inlineStr">
        <is>
          <t>Konstruksi Gedung Lainnya</t>
        </is>
      </c>
      <c r="N84" t="inlineStr">
        <is>
          <t>K</t>
        </is>
      </c>
      <c r="O84" t="inlineStr">
        <is>
          <t>20230930</t>
        </is>
      </c>
      <c r="P84" t="inlineStr">
        <is>
          <t>Sumatera Selatan</t>
        </is>
      </c>
      <c r="Q84" t="inlineStr"/>
    </row>
    <row r="85">
      <c r="A85" t="inlineStr">
        <is>
          <t>MANGGALA KARYA NUSANTARA</t>
        </is>
      </c>
      <c r="B85" t="inlineStr">
        <is>
          <t>Kab. Boyolali</t>
        </is>
      </c>
      <c r="C85" t="inlineStr">
        <is>
          <t>082151152377</t>
        </is>
      </c>
      <c r="D85" t="inlineStr">
        <is>
          <t>ptmanggalakaryanusantara@gmail.com</t>
        </is>
      </c>
      <c r="E85" t="inlineStr">
        <is>
          <t>https://lpjk.pu.go.id/search-badan-usaha-detail/VzlSUGFiR2U2c1hyeG5ndXVPMmk1UT09</t>
        </is>
      </c>
      <c r="F85" t="n">
        <v>1</v>
      </c>
      <c r="G85" t="inlineStr">
        <is>
          <t>BS001</t>
        </is>
      </c>
      <c r="H85" t="inlineStr">
        <is>
          <t>12 September 2023</t>
        </is>
      </c>
      <c r="I85" s="2" t="n">
        <v>46297</v>
      </c>
      <c r="J85" t="inlineStr">
        <is>
          <t>Pencabutan</t>
        </is>
      </c>
      <c r="K85" t="n">
        <v>30</v>
      </c>
      <c r="L85" t="inlineStr">
        <is>
          <t>2 Oktober 2026</t>
        </is>
      </c>
      <c r="M85" t="inlineStr">
        <is>
          <t>Konstruksi Bangunan Sipil Jalan</t>
        </is>
      </c>
      <c r="N85" t="inlineStr">
        <is>
          <t>K</t>
        </is>
      </c>
      <c r="O85" t="inlineStr">
        <is>
          <t>20230926</t>
        </is>
      </c>
      <c r="P85" t="inlineStr">
        <is>
          <t>Jawa Tengah</t>
        </is>
      </c>
      <c r="Q85" t="inlineStr"/>
    </row>
    <row r="86">
      <c r="A86" t="inlineStr">
        <is>
          <t>MAYA GROUP</t>
        </is>
      </c>
      <c r="B86" t="inlineStr">
        <is>
          <t>Kab. Pasaman Barat</t>
        </is>
      </c>
      <c r="C86" t="inlineStr">
        <is>
          <t>081270379540</t>
        </is>
      </c>
      <c r="D86" t="inlineStr">
        <is>
          <t>rahmanmayagroup@gmail.com</t>
        </is>
      </c>
      <c r="E86" t="inlineStr">
        <is>
          <t>https://lpjk.pu.go.id/search-badan-usaha-detail/UE5KZ2ZmU2pBNlh4TVcwR0lKdnVndz09</t>
        </is>
      </c>
      <c r="F86" t="n">
        <v>1</v>
      </c>
      <c r="G86" t="inlineStr">
        <is>
          <t>BS002</t>
        </is>
      </c>
      <c r="H86" t="inlineStr">
        <is>
          <t>23 Mei 2013</t>
        </is>
      </c>
      <c r="I86" s="2" t="n">
        <v>46297</v>
      </c>
      <c r="J86" t="inlineStr">
        <is>
          <t>Disetujui</t>
        </is>
      </c>
      <c r="K86" t="n">
        <v>30</v>
      </c>
      <c r="L86" t="inlineStr">
        <is>
          <t>2 Oktober 2026</t>
        </is>
      </c>
      <c r="M86" t="inlineStr">
        <is>
          <t>Bangunan Sipil Jembatan, Jalan Layang, Fly Over, dan Underpass</t>
        </is>
      </c>
      <c r="N86" t="inlineStr">
        <is>
          <t>K</t>
        </is>
      </c>
      <c r="O86" t="inlineStr">
        <is>
          <t>20230926</t>
        </is>
      </c>
      <c r="P86" t="inlineStr">
        <is>
          <t>Sumatera Barat</t>
        </is>
      </c>
      <c r="Q86" t="inlineStr"/>
    </row>
    <row r="87">
      <c r="A87" t="inlineStr">
        <is>
          <t>MITRA CIPTA BANGUN</t>
        </is>
      </c>
      <c r="B87" t="inlineStr">
        <is>
          <t>Kab. Sidoarjo</t>
        </is>
      </c>
      <c r="C87" t="inlineStr">
        <is>
          <t>082232053861</t>
        </is>
      </c>
      <c r="D87" t="inlineStr">
        <is>
          <t>mitra.cipta.bangun.indonesia@gmail.com</t>
        </is>
      </c>
      <c r="E87" t="inlineStr">
        <is>
          <t>https://lpjk.pu.go.id/search-badan-usaha-detail/S0NGVTJadVc0Q3R4WXN2a0ZualV4Zz09</t>
        </is>
      </c>
      <c r="F87" t="n">
        <v>1</v>
      </c>
      <c r="G87" t="inlineStr">
        <is>
          <t>BG009</t>
        </is>
      </c>
      <c r="H87" t="inlineStr">
        <is>
          <t>8 Februari 2014</t>
        </is>
      </c>
      <c r="I87" s="2" t="n">
        <v>46297</v>
      </c>
      <c r="J87" t="inlineStr">
        <is>
          <t>Disetujui</t>
        </is>
      </c>
      <c r="K87" t="n">
        <v>30</v>
      </c>
      <c r="L87" t="inlineStr">
        <is>
          <t>2 Oktober 2026</t>
        </is>
      </c>
      <c r="M87" t="inlineStr">
        <is>
          <t>Konstruksi Gedung Lainnya</t>
        </is>
      </c>
      <c r="N87" t="inlineStr">
        <is>
          <t>K</t>
        </is>
      </c>
      <c r="O87" t="inlineStr">
        <is>
          <t>20230929</t>
        </is>
      </c>
      <c r="P87" t="inlineStr">
        <is>
          <t>Jawa Timur</t>
        </is>
      </c>
      <c r="Q87" t="inlineStr"/>
    </row>
    <row r="88">
      <c r="A88" t="inlineStr">
        <is>
          <t>MITRA PRINTIS</t>
        </is>
      </c>
      <c r="B88" t="inlineStr">
        <is>
          <t>Kab. Banyuasin</t>
        </is>
      </c>
      <c r="C88" t="inlineStr">
        <is>
          <t>081361513133</t>
        </is>
      </c>
      <c r="D88" t="inlineStr">
        <is>
          <t>mitraperintis.cv@gmail.com</t>
        </is>
      </c>
      <c r="E88" t="inlineStr">
        <is>
          <t>https://lpjk.pu.go.id/search-badan-usaha-detail/dU1JVUtWNWZCa3dONXNLanJCa1RwZz09</t>
        </is>
      </c>
      <c r="F88" t="n">
        <v>1</v>
      </c>
      <c r="G88" t="inlineStr">
        <is>
          <t>BG006</t>
        </is>
      </c>
      <c r="H88" t="inlineStr">
        <is>
          <t>19 Januari 2015</t>
        </is>
      </c>
      <c r="I88" s="2" t="n">
        <v>46297</v>
      </c>
      <c r="J88" t="inlineStr">
        <is>
          <t>Disetujui</t>
        </is>
      </c>
      <c r="K88" t="n">
        <v>30</v>
      </c>
      <c r="L88" t="inlineStr">
        <is>
          <t>2 Oktober 2026</t>
        </is>
      </c>
      <c r="M88" t="inlineStr">
        <is>
          <t>Konstruksi Gedung Pendidikan</t>
        </is>
      </c>
      <c r="N88" t="inlineStr">
        <is>
          <t>K</t>
        </is>
      </c>
      <c r="O88" t="inlineStr">
        <is>
          <t>20230915</t>
        </is>
      </c>
      <c r="P88" t="inlineStr">
        <is>
          <t>Sumatera Selatan</t>
        </is>
      </c>
      <c r="Q88" t="inlineStr"/>
    </row>
    <row r="89">
      <c r="A89" t="inlineStr">
        <is>
          <t>MITRA PUTRA AULIA</t>
        </is>
      </c>
      <c r="B89" t="inlineStr">
        <is>
          <t>Kota Medan</t>
        </is>
      </c>
      <c r="C89" t="inlineStr">
        <is>
          <t>08116144060</t>
        </is>
      </c>
      <c r="D89" t="inlineStr">
        <is>
          <t>ptmitraputraaulia@gmail.com</t>
        </is>
      </c>
      <c r="E89" t="inlineStr">
        <is>
          <t>https://lpjk.pu.go.id/search-badan-usaha-detail/bldCZ2dzQzYrdUljNHNVcHBvZ2J2QT09</t>
        </is>
      </c>
      <c r="F89" t="n">
        <v>1</v>
      </c>
      <c r="G89" t="inlineStr">
        <is>
          <t>BG002</t>
        </is>
      </c>
      <c r="H89" t="inlineStr">
        <is>
          <t>7 September 2023</t>
        </is>
      </c>
      <c r="I89" s="2" t="n">
        <v>46297</v>
      </c>
      <c r="J89" t="inlineStr">
        <is>
          <t>Disetujui</t>
        </is>
      </c>
      <c r="K89" t="n">
        <v>30</v>
      </c>
      <c r="L89" t="inlineStr">
        <is>
          <t>2 Oktober 2026</t>
        </is>
      </c>
      <c r="M89" t="inlineStr">
        <is>
          <t>Konstruksi Gedung Perkantoran</t>
        </is>
      </c>
      <c r="N89" t="inlineStr">
        <is>
          <t>K</t>
        </is>
      </c>
      <c r="O89" t="inlineStr">
        <is>
          <t>20230922</t>
        </is>
      </c>
      <c r="P89" t="inlineStr">
        <is>
          <t>Sumatera Utara</t>
        </is>
      </c>
      <c r="Q89" t="inlineStr"/>
    </row>
    <row r="90">
      <c r="A90" t="inlineStr">
        <is>
          <t>MUGI KARYA PERSADA</t>
        </is>
      </c>
      <c r="B90" t="inlineStr">
        <is>
          <t>Kab. Agam</t>
        </is>
      </c>
      <c r="C90" t="inlineStr">
        <is>
          <t>081372720393</t>
        </is>
      </c>
      <c r="D90" t="inlineStr">
        <is>
          <t>mugikaryapersada@gmail.com</t>
        </is>
      </c>
      <c r="E90" t="inlineStr">
        <is>
          <t>https://lpjk.pu.go.id/search-badan-usaha-detail/Q0hyS0NUaVZCcGhrNjQ5Rk9UcktrZz09</t>
        </is>
      </c>
      <c r="F90" t="n">
        <v>4</v>
      </c>
      <c r="G90" t="inlineStr">
        <is>
          <t>BG001, BG002, BG004, BG007</t>
        </is>
      </c>
      <c r="H90" t="inlineStr">
        <is>
          <t>10 Desember 2020</t>
        </is>
      </c>
      <c r="I90" s="2" t="n">
        <v>46297</v>
      </c>
      <c r="J90" t="inlineStr">
        <is>
          <t>Disetujui</t>
        </is>
      </c>
      <c r="K90" t="n">
        <v>30</v>
      </c>
      <c r="L90" t="inlineStr">
        <is>
          <t>2 Oktober 2026</t>
        </is>
      </c>
      <c r="M90" t="inlineStr">
        <is>
          <t>Konstruksi Gedung Hunian, Konstruksi Gedung Penginapan, Konstruksi Gedung Perbelanjaan, Konstruksi Gedung Perkantoran</t>
        </is>
      </c>
      <c r="N90" t="inlineStr">
        <is>
          <t>K</t>
        </is>
      </c>
      <c r="O90" t="inlineStr">
        <is>
          <t>20231002</t>
        </is>
      </c>
      <c r="P90" t="inlineStr">
        <is>
          <t>Sumatera Barat</t>
        </is>
      </c>
      <c r="Q90" t="inlineStr"/>
    </row>
    <row r="91">
      <c r="A91" t="inlineStr">
        <is>
          <t>MULTI JAYA TEKNIK</t>
        </is>
      </c>
      <c r="B91" t="inlineStr">
        <is>
          <t>Kab. Batu Bara</t>
        </is>
      </c>
      <c r="C91" t="inlineStr">
        <is>
          <t>082165242348</t>
        </is>
      </c>
      <c r="D91" t="inlineStr">
        <is>
          <t>multijayateknik.pt@gmail.com</t>
        </is>
      </c>
      <c r="E91" t="inlineStr">
        <is>
          <t>https://lpjk.pu.go.id/search-badan-usaha-detail/b2creUZheEdvN2Vzc2gvdThPVDV1Zz09</t>
        </is>
      </c>
      <c r="F91" t="n">
        <v>1</v>
      </c>
      <c r="G91" t="inlineStr">
        <is>
          <t>BS007</t>
        </is>
      </c>
      <c r="H91" t="inlineStr">
        <is>
          <t>14 September 2023</t>
        </is>
      </c>
      <c r="I91" s="2" t="n">
        <v>46297</v>
      </c>
      <c r="J91" t="inlineStr">
        <is>
          <t>Pencabutan</t>
        </is>
      </c>
      <c r="K91" t="n">
        <v>30</v>
      </c>
      <c r="L91" t="inlineStr">
        <is>
          <t>2 Oktober 2026</t>
        </is>
      </c>
      <c r="M91" t="inlineStr">
        <is>
          <t>Konstruksi Bangunan Sipil Elektrikal</t>
        </is>
      </c>
      <c r="N91" t="inlineStr">
        <is>
          <t>K</t>
        </is>
      </c>
      <c r="O91" t="inlineStr">
        <is>
          <t>20230929</t>
        </is>
      </c>
      <c r="P91" t="inlineStr">
        <is>
          <t>Sumatera Utara</t>
        </is>
      </c>
      <c r="Q91" t="inlineStr"/>
    </row>
    <row r="92">
      <c r="A92" t="inlineStr">
        <is>
          <t>MULTI PERSADA INTERNUSA</t>
        </is>
      </c>
      <c r="B92" t="inlineStr">
        <is>
          <t>Kota Bandung</t>
        </is>
      </c>
      <c r="C92" t="inlineStr">
        <is>
          <t>-</t>
        </is>
      </c>
      <c r="D92" t="inlineStr">
        <is>
          <t>multipersadainternusa25@gmail.com</t>
        </is>
      </c>
      <c r="E92" t="inlineStr">
        <is>
          <t>https://lpjk.pu.go.id/search-badan-usaha-detail/aFJxZTNsRURZMHVzSnpaSlFEdlNUUT09</t>
        </is>
      </c>
      <c r="F92" t="n">
        <v>1</v>
      </c>
      <c r="G92" t="inlineStr">
        <is>
          <t>BS001</t>
        </is>
      </c>
      <c r="H92" t="inlineStr">
        <is>
          <t>24 April 1997</t>
        </is>
      </c>
      <c r="I92" s="2" t="n">
        <v>46297</v>
      </c>
      <c r="J92" t="inlineStr">
        <is>
          <t>Disetujui</t>
        </is>
      </c>
      <c r="K92" t="n">
        <v>30</v>
      </c>
      <c r="L92" t="inlineStr">
        <is>
          <t>2 Oktober 2026</t>
        </is>
      </c>
      <c r="M92" t="inlineStr">
        <is>
          <t>Konstruksi Bangunan Sipil Jalan</t>
        </is>
      </c>
      <c r="N92" t="inlineStr">
        <is>
          <t>K</t>
        </is>
      </c>
      <c r="O92" t="inlineStr">
        <is>
          <t>20231002</t>
        </is>
      </c>
      <c r="P92" t="inlineStr">
        <is>
          <t>Jawa Barat</t>
        </is>
      </c>
      <c r="Q92" t="inlineStr"/>
    </row>
    <row r="93">
      <c r="A93" t="inlineStr">
        <is>
          <t>MUTIARA CISADANE</t>
        </is>
      </c>
      <c r="B93" t="inlineStr">
        <is>
          <t>Kab. Tangerang</t>
        </is>
      </c>
      <c r="C93" t="inlineStr">
        <is>
          <t>02159370924</t>
        </is>
      </c>
      <c r="D93" t="inlineStr">
        <is>
          <t>mutiaracisadane.office@gmail.com</t>
        </is>
      </c>
      <c r="E93" t="inlineStr">
        <is>
          <t>https://lpjk.pu.go.id/search-badan-usaha-detail/cVc1VVY4d0hvdWpWQ3VEclk3UnlYUT09</t>
        </is>
      </c>
      <c r="F93" t="n">
        <v>2</v>
      </c>
      <c r="G93" t="inlineStr">
        <is>
          <t>BS010</t>
        </is>
      </c>
      <c r="H93" t="inlineStr">
        <is>
          <t>20 Desember 2004</t>
        </is>
      </c>
      <c r="I93" s="2" t="n">
        <v>46297</v>
      </c>
      <c r="J93" t="inlineStr">
        <is>
          <t>Disetujui</t>
        </is>
      </c>
      <c r="K93" t="n">
        <v>30</v>
      </c>
      <c r="L93" t="inlineStr">
        <is>
          <t>2 Oktober 2026</t>
        </is>
      </c>
      <c r="M93" t="inlineStr">
        <is>
          <t>Konstruksi Bangunan Prasarana Sumber Daya Air</t>
        </is>
      </c>
      <c r="N93" t="inlineStr">
        <is>
          <t>K</t>
        </is>
      </c>
      <c r="O93" t="inlineStr">
        <is>
          <t>20230911</t>
        </is>
      </c>
      <c r="P93" t="inlineStr">
        <is>
          <t>Banten</t>
        </is>
      </c>
      <c r="Q93" t="inlineStr"/>
    </row>
    <row r="94">
      <c r="A94" t="inlineStr">
        <is>
          <t>NATAMA KARYA JAYA</t>
        </is>
      </c>
      <c r="B94" t="inlineStr">
        <is>
          <t>Kota Medan</t>
        </is>
      </c>
      <c r="C94" t="inlineStr">
        <is>
          <t>0617861651</t>
        </is>
      </c>
      <c r="D94" t="inlineStr">
        <is>
          <t>natamakaryajaya@gmail.com</t>
        </is>
      </c>
      <c r="E94" t="inlineStr">
        <is>
          <t>https://lpjk.pu.go.id/search-badan-usaha-detail/V2d0N2RnZGp4U3AvR1kxMFBFSFZYUT09</t>
        </is>
      </c>
      <c r="F94" t="n">
        <v>2</v>
      </c>
      <c r="G94" t="inlineStr">
        <is>
          <t>IN002</t>
        </is>
      </c>
      <c r="H94" t="inlineStr">
        <is>
          <t>13 April 2007</t>
        </is>
      </c>
      <c r="I94" s="2" t="n">
        <v>46297</v>
      </c>
      <c r="J94" t="inlineStr">
        <is>
          <t>Pembekuan</t>
        </is>
      </c>
      <c r="K94" t="n">
        <v>30</v>
      </c>
      <c r="L94" t="inlineStr">
        <is>
          <t>2 Oktober 2026</t>
        </is>
      </c>
      <c r="M94" t="inlineStr">
        <is>
          <t>Instalasi Telekomunikasi</t>
        </is>
      </c>
      <c r="N94" t="inlineStr">
        <is>
          <t>Spesialis</t>
        </is>
      </c>
      <c r="O94" t="inlineStr">
        <is>
          <t>20230927</t>
        </is>
      </c>
      <c r="P94" t="inlineStr">
        <is>
          <t>Sumatera Utara</t>
        </is>
      </c>
      <c r="Q94" t="inlineStr"/>
    </row>
    <row r="95">
      <c r="A95" t="inlineStr">
        <is>
          <t>NUR AINI</t>
        </is>
      </c>
      <c r="B95" t="inlineStr">
        <is>
          <t>Kab. Kediri</t>
        </is>
      </c>
      <c r="C95" t="inlineStr">
        <is>
          <t>085733237617</t>
        </is>
      </c>
      <c r="D95" t="inlineStr">
        <is>
          <t>nuraini_cv@yahoo.com</t>
        </is>
      </c>
      <c r="E95" t="inlineStr">
        <is>
          <t>https://lpjk.pu.go.id/search-badan-usaha-detail/NWxRT25vOWhJcFRueTNpaWdmWUZNQT09</t>
        </is>
      </c>
      <c r="F95" t="n">
        <v>1</v>
      </c>
      <c r="G95" t="inlineStr">
        <is>
          <t>BG009</t>
        </is>
      </c>
      <c r="H95" t="inlineStr">
        <is>
          <t>5 Juli 2007</t>
        </is>
      </c>
      <c r="I95" s="2" t="n">
        <v>46297</v>
      </c>
      <c r="J95" t="inlineStr">
        <is>
          <t>Disetujui</t>
        </is>
      </c>
      <c r="K95" t="n">
        <v>30</v>
      </c>
      <c r="L95" t="inlineStr">
        <is>
          <t>2 Oktober 2026</t>
        </is>
      </c>
      <c r="M95" t="inlineStr">
        <is>
          <t>Konstruksi Gedung Lainnya</t>
        </is>
      </c>
      <c r="N95" t="inlineStr">
        <is>
          <t>K</t>
        </is>
      </c>
      <c r="O95" t="inlineStr">
        <is>
          <t>20230922</t>
        </is>
      </c>
      <c r="P95" t="inlineStr">
        <is>
          <t>Jawa Timur</t>
        </is>
      </c>
      <c r="Q95" t="inlineStr"/>
    </row>
    <row r="96">
      <c r="A96" t="inlineStr">
        <is>
          <t>PERINTIS PROTEKSI SEJAHTERA</t>
        </is>
      </c>
      <c r="B96" t="inlineStr">
        <is>
          <t>Kota Adm. Jakarta Utara</t>
        </is>
      </c>
      <c r="C96" t="inlineStr">
        <is>
          <t>0216400751</t>
        </is>
      </c>
      <c r="D96" t="inlineStr">
        <is>
          <t>perintisproteksisejahtera91@gmail.com</t>
        </is>
      </c>
      <c r="E96" t="inlineStr">
        <is>
          <t>https://lpjk.pu.go.id/search-badan-usaha-detail/QVJsQzV1SXpqTllnYUF1dHRIc3JFUT09</t>
        </is>
      </c>
      <c r="F96" t="n">
        <v>1</v>
      </c>
      <c r="G96" t="inlineStr">
        <is>
          <t>BS011</t>
        </is>
      </c>
      <c r="H96" t="inlineStr">
        <is>
          <t>9 Desember 1991</t>
        </is>
      </c>
      <c r="I96" s="2" t="n">
        <v>46297</v>
      </c>
      <c r="J96" t="inlineStr">
        <is>
          <t>Disetujui</t>
        </is>
      </c>
      <c r="K96" t="n">
        <v>30</v>
      </c>
      <c r="L96" t="inlineStr">
        <is>
          <t>2 Oktober 2026</t>
        </is>
      </c>
      <c r="M96" t="inlineStr">
        <is>
          <t>Konstruksi Bangunan Pelabuhan Bukan Perikanan</t>
        </is>
      </c>
      <c r="N96" t="inlineStr">
        <is>
          <t>M</t>
        </is>
      </c>
      <c r="O96" t="inlineStr">
        <is>
          <t>20230925</t>
        </is>
      </c>
      <c r="P96" t="inlineStr">
        <is>
          <t>DKI Jakarta</t>
        </is>
      </c>
      <c r="Q96" t="inlineStr"/>
    </row>
    <row r="97">
      <c r="A97" t="inlineStr">
        <is>
          <t>PRIMA GLOBAL TECHNIC</t>
        </is>
      </c>
      <c r="B97" t="inlineStr">
        <is>
          <t>Kota Balikpapan</t>
        </is>
      </c>
      <c r="C97" t="inlineStr">
        <is>
          <t>082150223255</t>
        </is>
      </c>
      <c r="D97" t="inlineStr">
        <is>
          <t>pgt.bpn@gmail.com</t>
        </is>
      </c>
      <c r="E97" t="inlineStr">
        <is>
          <t>https://lpjk.pu.go.id/search-badan-usaha-detail/Zm5BQWdCbnEvZUJEWUg5dk41eXR0Zz09</t>
        </is>
      </c>
      <c r="F97" t="n">
        <v>2</v>
      </c>
      <c r="G97" t="inlineStr">
        <is>
          <t>BG001, BS001</t>
        </is>
      </c>
      <c r="H97" t="inlineStr">
        <is>
          <t>19 September 2015</t>
        </is>
      </c>
      <c r="I97" s="2" t="n">
        <v>46297</v>
      </c>
      <c r="J97" t="inlineStr">
        <is>
          <t>Disetujui, Pencabutan</t>
        </is>
      </c>
      <c r="K97" t="n">
        <v>30</v>
      </c>
      <c r="L97" t="inlineStr">
        <is>
          <t>2 Oktober 2026</t>
        </is>
      </c>
      <c r="M97" t="inlineStr">
        <is>
          <t>Konstruksi Bangunan Sipil Jalan, Konstruksi Gedung Hunian</t>
        </is>
      </c>
      <c r="N97" t="inlineStr">
        <is>
          <t>K</t>
        </is>
      </c>
      <c r="O97" t="inlineStr">
        <is>
          <t>20230608, 20231002</t>
        </is>
      </c>
      <c r="P97" t="inlineStr">
        <is>
          <t>Kalimantan Timur</t>
        </is>
      </c>
      <c r="Q97" t="inlineStr"/>
    </row>
    <row r="98">
      <c r="A98" t="inlineStr">
        <is>
          <t>PRIMA MEGAH IRSA</t>
        </is>
      </c>
      <c r="B98" t="inlineStr">
        <is>
          <t>Kab. Gresik</t>
        </is>
      </c>
      <c r="C98" t="inlineStr">
        <is>
          <t>0811125585</t>
        </is>
      </c>
      <c r="D98" t="inlineStr">
        <is>
          <t>makhrudy@yahoo.com</t>
        </is>
      </c>
      <c r="E98" t="inlineStr">
        <is>
          <t>https://lpjk.pu.go.id/search-badan-usaha-detail/VkFUdXhMSVY4R2VyVk43SUhzbkFoUT09</t>
        </is>
      </c>
      <c r="F98" t="n">
        <v>2</v>
      </c>
      <c r="G98" t="inlineStr">
        <is>
          <t>BG009, IN001</t>
        </is>
      </c>
      <c r="H98" t="inlineStr">
        <is>
          <t>13 Maret 2010</t>
        </is>
      </c>
      <c r="I98" s="2" t="n">
        <v>46297</v>
      </c>
      <c r="J98" t="inlineStr">
        <is>
          <t>Disetujui</t>
        </is>
      </c>
      <c r="K98" t="n">
        <v>30</v>
      </c>
      <c r="L98" t="inlineStr">
        <is>
          <t>2 Oktober 2026</t>
        </is>
      </c>
      <c r="M98" t="inlineStr">
        <is>
          <t>Instalasi Mekanikal, Konstruksi Gedung Lainnya</t>
        </is>
      </c>
      <c r="N98" t="inlineStr">
        <is>
          <t>M, Spesialis</t>
        </is>
      </c>
      <c r="O98" t="inlineStr">
        <is>
          <t>20230919, 20230929</t>
        </is>
      </c>
      <c r="P98" t="inlineStr">
        <is>
          <t>Jawa Timur</t>
        </is>
      </c>
      <c r="Q98" t="inlineStr"/>
    </row>
    <row r="99">
      <c r="A99" t="inlineStr">
        <is>
          <t>PURNAMA INSAN GLOBAL</t>
        </is>
      </c>
      <c r="B99" t="inlineStr">
        <is>
          <t>Kota Adm. Jakarta Pusat</t>
        </is>
      </c>
      <c r="C99" t="inlineStr">
        <is>
          <t>0213511698</t>
        </is>
      </c>
      <c r="D99" t="inlineStr">
        <is>
          <t>purnamaiglobal@gmail.com</t>
        </is>
      </c>
      <c r="E99" t="inlineStr">
        <is>
          <t>https://lpjk.pu.go.id/search-badan-usaha-detail/bVJDNGRNcWhSc05wOGQrNUlYWXVCQT09</t>
        </is>
      </c>
      <c r="F99" t="n">
        <v>2</v>
      </c>
      <c r="G99" t="inlineStr">
        <is>
          <t>BS009</t>
        </is>
      </c>
      <c r="H99" t="inlineStr">
        <is>
          <t>20 November 2021</t>
        </is>
      </c>
      <c r="I99" s="2" t="n">
        <v>46297</v>
      </c>
      <c r="J99" t="inlineStr">
        <is>
          <t>Pencabutan</t>
        </is>
      </c>
      <c r="K99" t="n">
        <v>30</v>
      </c>
      <c r="L99" t="inlineStr">
        <is>
          <t>2 Oktober 2026</t>
        </is>
      </c>
      <c r="M99" t="inlineStr">
        <is>
          <t>Konstruksi Sentral Telekomunikasi</t>
        </is>
      </c>
      <c r="N99" t="inlineStr">
        <is>
          <t>K</t>
        </is>
      </c>
      <c r="O99" t="inlineStr">
        <is>
          <t>20230928</t>
        </is>
      </c>
      <c r="P99" t="inlineStr">
        <is>
          <t>DKI Jakarta</t>
        </is>
      </c>
      <c r="Q99" t="inlineStr"/>
    </row>
    <row r="100">
      <c r="A100" t="inlineStr">
        <is>
          <t>PUTRA BATAM MANDIRI</t>
        </is>
      </c>
      <c r="B100" t="inlineStr">
        <is>
          <t>Kota Batam</t>
        </is>
      </c>
      <c r="C100" t="inlineStr">
        <is>
          <t>0778455327</t>
        </is>
      </c>
      <c r="D100" t="inlineStr">
        <is>
          <t>pbm@jeniputra.com</t>
        </is>
      </c>
      <c r="E100" t="inlineStr">
        <is>
          <t>https://lpjk.pu.go.id/search-badan-usaha-detail/SCszU2JTVUhZUnQyUTBsZjdEQjk0QT09</t>
        </is>
      </c>
      <c r="F100" t="n">
        <v>2</v>
      </c>
      <c r="G100" t="inlineStr">
        <is>
          <t>BS001, BS004</t>
        </is>
      </c>
      <c r="H100" t="inlineStr">
        <is>
          <t>11 November 2014</t>
        </is>
      </c>
      <c r="I100" s="2" t="n">
        <v>46297</v>
      </c>
      <c r="J100" t="inlineStr">
        <is>
          <t>Pencabutan</t>
        </is>
      </c>
      <c r="K100" t="n">
        <v>30</v>
      </c>
      <c r="L100" t="inlineStr">
        <is>
          <t>2 Oktober 2026</t>
        </is>
      </c>
      <c r="M100" t="inlineStr">
        <is>
          <t>Konstruksi Bangunan Sipil Jalan, Konstruksi Jaringan Irigasi dan Drainase</t>
        </is>
      </c>
      <c r="N100" t="inlineStr">
        <is>
          <t>K</t>
        </is>
      </c>
      <c r="O100" t="inlineStr">
        <is>
          <t>20230929</t>
        </is>
      </c>
      <c r="P100" t="inlineStr">
        <is>
          <t>Kepulauan Riau</t>
        </is>
      </c>
      <c r="Q100" t="inlineStr"/>
    </row>
    <row r="101">
      <c r="A101" t="inlineStr">
        <is>
          <t>PUTRA NIJEJE WETASBER PUTRA</t>
        </is>
      </c>
      <c r="B101" t="inlineStr">
        <is>
          <t>Kab. Jayawijaya</t>
        </is>
      </c>
      <c r="C101" t="inlineStr">
        <is>
          <t>0895801273819</t>
        </is>
      </c>
      <c r="D101" t="inlineStr">
        <is>
          <t>cvputranijejewetasberputra@gmail.com</t>
        </is>
      </c>
      <c r="E101" t="inlineStr">
        <is>
          <t>https://lpjk.pu.go.id/search-badan-usaha-detail/Z2MyNU9aV2ozSlBMSERZNTBxMlN6dz09</t>
        </is>
      </c>
      <c r="F101" t="n">
        <v>1</v>
      </c>
      <c r="G101" t="inlineStr">
        <is>
          <t>BS001</t>
        </is>
      </c>
      <c r="H101" t="inlineStr">
        <is>
          <t>29 September 2023</t>
        </is>
      </c>
      <c r="I101" s="2" t="n">
        <v>46297</v>
      </c>
      <c r="J101" t="inlineStr">
        <is>
          <t>Disetujui</t>
        </is>
      </c>
      <c r="K101" t="n">
        <v>30</v>
      </c>
      <c r="L101" t="inlineStr">
        <is>
          <t>2 Oktober 2026</t>
        </is>
      </c>
      <c r="M101" t="inlineStr">
        <is>
          <t>Konstruksi Bangunan Sipil Jalan</t>
        </is>
      </c>
      <c r="N101" t="inlineStr">
        <is>
          <t>K</t>
        </is>
      </c>
      <c r="O101" t="inlineStr">
        <is>
          <t>20231001</t>
        </is>
      </c>
      <c r="P101" t="inlineStr">
        <is>
          <t>Papua</t>
        </is>
      </c>
      <c r="Q101" t="inlineStr"/>
    </row>
    <row r="102">
      <c r="A102" t="inlineStr">
        <is>
          <t>PUTRA SULTAN GEMILANG</t>
        </is>
      </c>
      <c r="B102" t="inlineStr">
        <is>
          <t>Kota Banda Aceh</t>
        </is>
      </c>
      <c r="C102" t="inlineStr">
        <is>
          <t>082363848767</t>
        </is>
      </c>
      <c r="D102" t="inlineStr">
        <is>
          <t>putrasultangemilang@gmail.com</t>
        </is>
      </c>
      <c r="E102" t="inlineStr">
        <is>
          <t>https://lpjk.pu.go.id/search-badan-usaha-detail/K1E5Uk5MdldKbXBkUnB4QzBxVDJSdz09</t>
        </is>
      </c>
      <c r="F102" t="n">
        <v>1</v>
      </c>
      <c r="G102" t="inlineStr">
        <is>
          <t>BS002</t>
        </is>
      </c>
      <c r="H102" t="inlineStr">
        <is>
          <t>7 Januari 2021</t>
        </is>
      </c>
      <c r="I102" s="2" t="n">
        <v>46297</v>
      </c>
      <c r="J102" t="inlineStr">
        <is>
          <t>Disetujui</t>
        </is>
      </c>
      <c r="K102" t="n">
        <v>30</v>
      </c>
      <c r="L102" t="inlineStr">
        <is>
          <t>2 Oktober 2026</t>
        </is>
      </c>
      <c r="M102" t="inlineStr">
        <is>
          <t>Bangunan Sipil Jembatan, Jalan Layang, Fly Over, dan Underpass</t>
        </is>
      </c>
      <c r="N102" t="inlineStr">
        <is>
          <t>K</t>
        </is>
      </c>
      <c r="O102" t="inlineStr">
        <is>
          <t>20230926</t>
        </is>
      </c>
      <c r="P102" t="inlineStr">
        <is>
          <t>Aceh</t>
        </is>
      </c>
      <c r="Q102" t="inlineStr"/>
    </row>
    <row r="103">
      <c r="A103" t="inlineStr">
        <is>
          <t>PUTRA SUSESUBA SUKSES</t>
        </is>
      </c>
      <c r="B103" t="inlineStr">
        <is>
          <t>Kota Batam</t>
        </is>
      </c>
      <c r="C103" t="inlineStr">
        <is>
          <t>082172720679</t>
        </is>
      </c>
      <c r="D103" t="inlineStr">
        <is>
          <t>putrasusesubasukses@yahoo.com</t>
        </is>
      </c>
      <c r="E103" t="inlineStr">
        <is>
          <t>https://lpjk.pu.go.id/search-badan-usaha-detail/TXZvUzVUWmd5U1lIbGtRZWErdnFwUT09</t>
        </is>
      </c>
      <c r="F103" t="n">
        <v>1</v>
      </c>
      <c r="G103" t="inlineStr">
        <is>
          <t>BS001</t>
        </is>
      </c>
      <c r="H103" t="inlineStr">
        <is>
          <t>4 Oktober 2016</t>
        </is>
      </c>
      <c r="I103" s="2" t="n">
        <v>46297</v>
      </c>
      <c r="J103" t="inlineStr">
        <is>
          <t>Disetujui</t>
        </is>
      </c>
      <c r="K103" t="n">
        <v>30</v>
      </c>
      <c r="L103" t="inlineStr">
        <is>
          <t>2 Oktober 2026</t>
        </is>
      </c>
      <c r="M103" t="inlineStr">
        <is>
          <t>Konstruksi Bangunan Sipil Jalan</t>
        </is>
      </c>
      <c r="N103" t="inlineStr">
        <is>
          <t>K</t>
        </is>
      </c>
      <c r="O103" t="inlineStr">
        <is>
          <t>20231002</t>
        </is>
      </c>
      <c r="P103" t="inlineStr">
        <is>
          <t>Kepulauan Riau</t>
        </is>
      </c>
      <c r="Q103" t="inlineStr"/>
    </row>
    <row r="104">
      <c r="A104" t="inlineStr">
        <is>
          <t>PUTRA TELADAN</t>
        </is>
      </c>
      <c r="B104" t="inlineStr">
        <is>
          <t>Kab. Trenggalek</t>
        </is>
      </c>
      <c r="C104" t="inlineStr">
        <is>
          <t>085334044881</t>
        </is>
      </c>
      <c r="D104" t="inlineStr">
        <is>
          <t>cvputrateladan@gmail.com</t>
        </is>
      </c>
      <c r="E104" t="inlineStr">
        <is>
          <t>https://lpjk.pu.go.id/search-badan-usaha-detail/ZWpzT1E0QWRaSW9vU3NoRzFCWUhXQT09</t>
        </is>
      </c>
      <c r="F104" t="n">
        <v>1</v>
      </c>
      <c r="G104" t="inlineStr">
        <is>
          <t>BS004</t>
        </is>
      </c>
      <c r="H104" t="inlineStr">
        <is>
          <t>26 Februari 2020</t>
        </is>
      </c>
      <c r="I104" s="2" t="n">
        <v>46297</v>
      </c>
      <c r="J104" t="inlineStr">
        <is>
          <t>Disetujui</t>
        </is>
      </c>
      <c r="K104" t="n">
        <v>30</v>
      </c>
      <c r="L104" t="inlineStr">
        <is>
          <t>2 Oktober 2026</t>
        </is>
      </c>
      <c r="M104" t="inlineStr">
        <is>
          <t>Konstruksi Jaringan Irigasi dan Drainase</t>
        </is>
      </c>
      <c r="N104" t="inlineStr">
        <is>
          <t>K</t>
        </is>
      </c>
      <c r="O104" t="inlineStr">
        <is>
          <t>20230927</t>
        </is>
      </c>
      <c r="P104" t="inlineStr">
        <is>
          <t>Jawa Timur</t>
        </is>
      </c>
      <c r="Q104" t="inlineStr"/>
    </row>
    <row r="105">
      <c r="A105" t="inlineStr">
        <is>
          <t>RAFFA HELICAL BRONZE</t>
        </is>
      </c>
      <c r="B105" t="inlineStr">
        <is>
          <t>Kota Cilegon</t>
        </is>
      </c>
      <c r="C105" t="inlineStr">
        <is>
          <t>0254398388</t>
        </is>
      </c>
      <c r="D105" t="inlineStr">
        <is>
          <t>pt.raffahelical@yahoo.co.id</t>
        </is>
      </c>
      <c r="E105" t="inlineStr">
        <is>
          <t>https://lpjk.pu.go.id/search-badan-usaha-detail/cGZZSE9lTUxuNW5FMk9SRWI0cldBUT09</t>
        </is>
      </c>
      <c r="F105" t="n">
        <v>4</v>
      </c>
      <c r="G105" t="inlineStr">
        <is>
          <t>BG003, BS009</t>
        </is>
      </c>
      <c r="H105" t="inlineStr">
        <is>
          <t>19 Mei 2010</t>
        </is>
      </c>
      <c r="I105" s="2" t="n">
        <v>46297</v>
      </c>
      <c r="J105" t="inlineStr">
        <is>
          <t>Disetujui</t>
        </is>
      </c>
      <c r="K105" t="n">
        <v>30</v>
      </c>
      <c r="L105" t="inlineStr">
        <is>
          <t>2 Oktober 2026</t>
        </is>
      </c>
      <c r="M105" t="inlineStr">
        <is>
          <t>Konstruksi Gedung Industri, Konstruksi Sentral Telekomunikasi</t>
        </is>
      </c>
      <c r="N105" t="inlineStr">
        <is>
          <t>K</t>
        </is>
      </c>
      <c r="O105" t="inlineStr">
        <is>
          <t>20231002, 20231003</t>
        </is>
      </c>
      <c r="P105" t="inlineStr">
        <is>
          <t>Banten</t>
        </is>
      </c>
      <c r="Q105" t="inlineStr"/>
    </row>
    <row r="106">
      <c r="A106" t="inlineStr">
        <is>
          <t>RATU SOLIHIN</t>
        </is>
      </c>
      <c r="B106" t="inlineStr">
        <is>
          <t>Kota Palembang</t>
        </is>
      </c>
      <c r="C106" t="inlineStr">
        <is>
          <t>0711542548</t>
        </is>
      </c>
      <c r="D106" t="inlineStr">
        <is>
          <t>ratusolihin01@gmail.com</t>
        </is>
      </c>
      <c r="E106" t="inlineStr">
        <is>
          <t>https://lpjk.pu.go.id/search-badan-usaha-detail/S1RtWXh3VWY0Y1lDRk1BUE44RDVuZz09</t>
        </is>
      </c>
      <c r="F106" t="n">
        <v>1</v>
      </c>
      <c r="G106" t="inlineStr">
        <is>
          <t>BS002</t>
        </is>
      </c>
      <c r="H106" t="inlineStr">
        <is>
          <t>9 Oktober 2001</t>
        </is>
      </c>
      <c r="I106" s="2" t="n">
        <v>46297</v>
      </c>
      <c r="J106" t="inlineStr">
        <is>
          <t>Disetujui</t>
        </is>
      </c>
      <c r="K106" t="n">
        <v>30</v>
      </c>
      <c r="L106" t="inlineStr">
        <is>
          <t>2 Oktober 2026</t>
        </is>
      </c>
      <c r="M106" t="inlineStr">
        <is>
          <t>Bangunan Sipil Jembatan, Jalan Layang, Fly Over, dan Underpass</t>
        </is>
      </c>
      <c r="N106" t="inlineStr">
        <is>
          <t>K</t>
        </is>
      </c>
      <c r="O106" t="inlineStr">
        <is>
          <t>20230929</t>
        </is>
      </c>
      <c r="P106" t="inlineStr">
        <is>
          <t>Sumatera Selatan</t>
        </is>
      </c>
      <c r="Q106" t="inlineStr"/>
    </row>
    <row r="107">
      <c r="A107" t="inlineStr">
        <is>
          <t>RENDJANA HARSA KARYA</t>
        </is>
      </c>
      <c r="B107" t="inlineStr">
        <is>
          <t>Kota Bandung</t>
        </is>
      </c>
      <c r="C107" t="inlineStr">
        <is>
          <t>082240247588</t>
        </is>
      </c>
      <c r="D107" t="inlineStr">
        <is>
          <t>karyarendjanaharsa@gmail.com</t>
        </is>
      </c>
      <c r="E107" t="inlineStr">
        <is>
          <t>https://lpjk.pu.go.id/search-badan-usaha-detail/R2xGejZURWNBWGw1UTFQdmJGanYvUT09</t>
        </is>
      </c>
      <c r="F107" t="n">
        <v>6</v>
      </c>
      <c r="G107" t="inlineStr">
        <is>
          <t>BG001, BG009, BS001</t>
        </is>
      </c>
      <c r="H107" t="inlineStr">
        <is>
          <t>28 Agustus 2023</t>
        </is>
      </c>
      <c r="I107" s="2" t="n">
        <v>46297</v>
      </c>
      <c r="J107" t="inlineStr">
        <is>
          <t>Disetujui</t>
        </is>
      </c>
      <c r="K107" t="n">
        <v>30</v>
      </c>
      <c r="L107" t="inlineStr">
        <is>
          <t>2 Oktober 2026</t>
        </is>
      </c>
      <c r="M107" t="inlineStr">
        <is>
          <t>Konstruksi Bangunan Sipil Jalan, Konstruksi Gedung Hunian, Konstruksi Gedung Lainnya</t>
        </is>
      </c>
      <c r="N107" t="inlineStr">
        <is>
          <t>K</t>
        </is>
      </c>
      <c r="O107" t="inlineStr">
        <is>
          <t>20231002</t>
        </is>
      </c>
      <c r="P107" t="inlineStr">
        <is>
          <t>Jawa Barat</t>
        </is>
      </c>
      <c r="Q107" t="inlineStr"/>
    </row>
    <row r="108">
      <c r="A108" t="inlineStr">
        <is>
          <t>REZKANA CIPTA KONSTRUKSI</t>
        </is>
      </c>
      <c r="B108" t="inlineStr">
        <is>
          <t>Kab. Sumbawa Barat</t>
        </is>
      </c>
      <c r="C108" t="inlineStr">
        <is>
          <t>082339383964</t>
        </is>
      </c>
      <c r="D108" t="inlineStr">
        <is>
          <t>rezkananciptakonstruksi@gmail.com</t>
        </is>
      </c>
      <c r="E108" t="inlineStr">
        <is>
          <t>https://lpjk.pu.go.id/search-badan-usaha-detail/bUxkQnVQYlFpdGhLdjFOWWVrN09aZz09</t>
        </is>
      </c>
      <c r="F108" t="n">
        <v>7</v>
      </c>
      <c r="G108" t="inlineStr">
        <is>
          <t>BG002, BG004, BG005, BG006, BG009, BS001</t>
        </is>
      </c>
      <c r="H108" t="inlineStr">
        <is>
          <t>23 November 2020</t>
        </is>
      </c>
      <c r="I108" s="2" t="n">
        <v>46297</v>
      </c>
      <c r="J108" t="inlineStr">
        <is>
          <t>Disetujui, Pencabutan</t>
        </is>
      </c>
      <c r="K108" t="n">
        <v>30</v>
      </c>
      <c r="L108" t="inlineStr">
        <is>
          <t>2 Oktober 2026</t>
        </is>
      </c>
      <c r="M108" t="inlineStr">
        <is>
          <t>Konstruksi Bangunan Sipil Jalan, Konstruksi Gedung Kesehatan, Konstruksi Gedung Lainnya, Konstruksi Gedung Pendidikan, Konstruksi Gedung Perbelanjaan, Konstruksi Gedung Perkantoran</t>
        </is>
      </c>
      <c r="N108" t="inlineStr">
        <is>
          <t>K</t>
        </is>
      </c>
      <c r="O108" t="inlineStr">
        <is>
          <t>20230315, 20231002, 20231003, 20231004</t>
        </is>
      </c>
      <c r="P108" t="inlineStr">
        <is>
          <t>Nusa Tenggara Barat</t>
        </is>
      </c>
      <c r="Q108" t="inlineStr"/>
    </row>
    <row r="109">
      <c r="A109" t="inlineStr">
        <is>
          <t>RHACINDO ADI PERSADA</t>
        </is>
      </c>
      <c r="B109" t="inlineStr">
        <is>
          <t>Kab. Bandung</t>
        </is>
      </c>
      <c r="C109" t="inlineStr">
        <is>
          <t>0225947463</t>
        </is>
      </c>
      <c r="D109" t="inlineStr">
        <is>
          <t>rhacindoadi@gmail.com</t>
        </is>
      </c>
      <c r="E109" t="inlineStr">
        <is>
          <t>https://lpjk.pu.go.id/search-badan-usaha-detail/TWFUeVkxQmYyQVlITWJUcWVkRmxQUT09</t>
        </is>
      </c>
      <c r="F109" t="n">
        <v>3</v>
      </c>
      <c r="G109" t="inlineStr">
        <is>
          <t>BS001, BS002, BS004</t>
        </is>
      </c>
      <c r="H109" t="inlineStr">
        <is>
          <t>3 Maret 2001</t>
        </is>
      </c>
      <c r="I109" s="2" t="n">
        <v>46297</v>
      </c>
      <c r="J109" t="inlineStr">
        <is>
          <t>Disetujui</t>
        </is>
      </c>
      <c r="K109" t="n">
        <v>30</v>
      </c>
      <c r="L109" t="inlineStr">
        <is>
          <t>2 Oktober 2026</t>
        </is>
      </c>
      <c r="M109" t="inlineStr">
        <is>
          <t>Bangunan Sipil Jembatan, Jalan Layang, Fly Over, dan Underpass, Konstruksi Bangunan Sipil Jalan, Konstruksi Jaringan Irigasi dan Drainase</t>
        </is>
      </c>
      <c r="N109" t="inlineStr">
        <is>
          <t>K</t>
        </is>
      </c>
      <c r="O109" t="inlineStr">
        <is>
          <t>20230929, 20231003</t>
        </is>
      </c>
      <c r="P109" t="inlineStr">
        <is>
          <t>Jawa Barat</t>
        </is>
      </c>
      <c r="Q109" t="inlineStr"/>
    </row>
    <row r="110">
      <c r="A110" t="inlineStr">
        <is>
          <t>SABA BONAJAYA</t>
        </is>
      </c>
      <c r="B110" t="inlineStr">
        <is>
          <t>Kota Adm. Jakarta Barat</t>
        </is>
      </c>
      <c r="C110" t="inlineStr">
        <is>
          <t>081297817909</t>
        </is>
      </c>
      <c r="D110" t="inlineStr">
        <is>
          <t>sababonajaya@yahoo.com</t>
        </is>
      </c>
      <c r="E110" t="inlineStr">
        <is>
          <t>https://lpjk.pu.go.id/search-badan-usaha-detail/ZGx3K0Z4SkpoTVFQRTk0RVlnV1crQT09</t>
        </is>
      </c>
      <c r="F110" t="n">
        <v>1</v>
      </c>
      <c r="G110" t="inlineStr">
        <is>
          <t>BS001</t>
        </is>
      </c>
      <c r="H110" t="inlineStr">
        <is>
          <t>15 Februari 2008</t>
        </is>
      </c>
      <c r="I110" s="2" t="n">
        <v>46297</v>
      </c>
      <c r="J110" t="inlineStr">
        <is>
          <t>Disetujui</t>
        </is>
      </c>
      <c r="K110" t="n">
        <v>30</v>
      </c>
      <c r="L110" t="inlineStr">
        <is>
          <t>2 Oktober 2026</t>
        </is>
      </c>
      <c r="M110" t="inlineStr">
        <is>
          <t>Konstruksi Bangunan Sipil Jalan</t>
        </is>
      </c>
      <c r="N110" t="inlineStr">
        <is>
          <t>K</t>
        </is>
      </c>
      <c r="O110" t="inlineStr">
        <is>
          <t>20230928</t>
        </is>
      </c>
      <c r="P110" t="inlineStr">
        <is>
          <t>DKI Jakarta</t>
        </is>
      </c>
      <c r="Q110" t="inlineStr"/>
    </row>
    <row r="111">
      <c r="A111" t="inlineStr">
        <is>
          <t>SAHAT ALIKAYA</t>
        </is>
      </c>
      <c r="B111" t="inlineStr">
        <is>
          <t>Kab. Tuban</t>
        </is>
      </c>
      <c r="C111" t="inlineStr">
        <is>
          <t>081216738376</t>
        </is>
      </c>
      <c r="D111" t="inlineStr">
        <is>
          <t>cvsahatalikaya@gmail.com</t>
        </is>
      </c>
      <c r="E111" t="inlineStr">
        <is>
          <t>https://lpjk.pu.go.id/search-badan-usaha-detail/MkhVYTNRSklaeCtBWm5kb0g0UVRqUT09</t>
        </is>
      </c>
      <c r="F111" t="n">
        <v>2</v>
      </c>
      <c r="G111" t="inlineStr">
        <is>
          <t>BG006, BS004</t>
        </is>
      </c>
      <c r="H111" t="inlineStr">
        <is>
          <t>29 Juli 2023</t>
        </is>
      </c>
      <c r="I111" s="2" t="n">
        <v>46297</v>
      </c>
      <c r="J111" t="inlineStr">
        <is>
          <t>Disetujui</t>
        </is>
      </c>
      <c r="K111" t="n">
        <v>30</v>
      </c>
      <c r="L111" t="inlineStr">
        <is>
          <t>2 Oktober 2026</t>
        </is>
      </c>
      <c r="M111" t="inlineStr">
        <is>
          <t>Konstruksi Gedung Pendidikan, Konstruksi Jaringan Irigasi dan Drainase</t>
        </is>
      </c>
      <c r="N111" t="inlineStr">
        <is>
          <t>K</t>
        </is>
      </c>
      <c r="O111" t="inlineStr">
        <is>
          <t>20231002, 20231003</t>
        </is>
      </c>
      <c r="P111" t="inlineStr">
        <is>
          <t>Jawa Timur</t>
        </is>
      </c>
      <c r="Q111" t="inlineStr"/>
    </row>
    <row r="112">
      <c r="A112" t="inlineStr">
        <is>
          <t>SANGKAREANG KARYATAMA SEJAHTERA</t>
        </is>
      </c>
      <c r="B112" t="inlineStr">
        <is>
          <t>Kota Mataram</t>
        </is>
      </c>
      <c r="C112" t="inlineStr">
        <is>
          <t>082341868967</t>
        </is>
      </c>
      <c r="D112" t="inlineStr">
        <is>
          <t>sangkareang.pt@gmail.com</t>
        </is>
      </c>
      <c r="E112" t="inlineStr">
        <is>
          <t>https://lpjk.pu.go.id/search-badan-usaha-detail/R05OcHd6SHRkZ3VyU2tXOCt1Si96Zz09</t>
        </is>
      </c>
      <c r="F112" t="n">
        <v>1</v>
      </c>
      <c r="G112" t="inlineStr">
        <is>
          <t>BG003</t>
        </is>
      </c>
      <c r="H112" t="inlineStr">
        <is>
          <t>21 Desember 2015</t>
        </is>
      </c>
      <c r="I112" s="2" t="n">
        <v>46297</v>
      </c>
      <c r="J112" t="inlineStr">
        <is>
          <t>Pencabutan</t>
        </is>
      </c>
      <c r="K112" t="n">
        <v>30</v>
      </c>
      <c r="L112" t="inlineStr">
        <is>
          <t>2 Oktober 2026</t>
        </is>
      </c>
      <c r="M112" t="inlineStr">
        <is>
          <t>Konstruksi Gedung Industri</t>
        </is>
      </c>
      <c r="N112" t="inlineStr">
        <is>
          <t>K</t>
        </is>
      </c>
      <c r="O112" t="inlineStr">
        <is>
          <t>20230927</t>
        </is>
      </c>
      <c r="P112" t="inlineStr">
        <is>
          <t>Nusa Tenggara Barat</t>
        </is>
      </c>
      <c r="Q112" t="inlineStr"/>
    </row>
    <row r="113">
      <c r="A113" t="inlineStr">
        <is>
          <t>SANSKARA SANJAYA ANANTA</t>
        </is>
      </c>
      <c r="B113" t="inlineStr">
        <is>
          <t>Kota Adm. Jakarta Selatan</t>
        </is>
      </c>
      <c r="C113" t="inlineStr">
        <is>
          <t>081296292738</t>
        </is>
      </c>
      <c r="D113" t="inlineStr">
        <is>
          <t>sanskarageneralcontractor@gmail.com</t>
        </is>
      </c>
      <c r="E113" t="inlineStr">
        <is>
          <t>https://lpjk.pu.go.id/search-badan-usaha-detail/Um5HSklVV2E4blV2aFloK2JtSmNldz09</t>
        </is>
      </c>
      <c r="F113" t="n">
        <v>1</v>
      </c>
      <c r="G113" t="inlineStr">
        <is>
          <t>BG006</t>
        </is>
      </c>
      <c r="H113" t="inlineStr">
        <is>
          <t>1 September 2022</t>
        </is>
      </c>
      <c r="I113" s="2" t="n">
        <v>46297</v>
      </c>
      <c r="J113" t="inlineStr">
        <is>
          <t>Disetujui</t>
        </is>
      </c>
      <c r="K113" t="n">
        <v>30</v>
      </c>
      <c r="L113" t="inlineStr">
        <is>
          <t>2 Oktober 2026</t>
        </is>
      </c>
      <c r="M113" t="inlineStr">
        <is>
          <t>Konstruksi Gedung Pendidikan</t>
        </is>
      </c>
      <c r="N113" t="inlineStr">
        <is>
          <t>K</t>
        </is>
      </c>
      <c r="O113" t="inlineStr">
        <is>
          <t>20230927</t>
        </is>
      </c>
      <c r="P113" t="inlineStr">
        <is>
          <t>DKI Jakarta</t>
        </is>
      </c>
      <c r="Q113" t="inlineStr"/>
    </row>
    <row r="114">
      <c r="A114" t="inlineStr">
        <is>
          <t>SATRIA UTAMA</t>
        </is>
      </c>
      <c r="B114" t="inlineStr">
        <is>
          <t>Kab. Karanganyar</t>
        </is>
      </c>
      <c r="C114" t="inlineStr">
        <is>
          <t>082134387811</t>
        </is>
      </c>
      <c r="D114" t="inlineStr">
        <is>
          <t>satriautama1974@yahoo.co.id</t>
        </is>
      </c>
      <c r="E114" t="inlineStr">
        <is>
          <t>https://lpjk.pu.go.id/search-badan-usaha-detail/SC9sbTFZMG54VmVDb0xyR0xxZ01tZz09</t>
        </is>
      </c>
      <c r="F114" t="n">
        <v>2</v>
      </c>
      <c r="G114" t="inlineStr">
        <is>
          <t>BG009, BS004</t>
        </is>
      </c>
      <c r="H114" t="inlineStr">
        <is>
          <t>19 Juni 2004</t>
        </is>
      </c>
      <c r="I114" s="2" t="n">
        <v>46297</v>
      </c>
      <c r="J114" t="inlineStr">
        <is>
          <t>Disetujui</t>
        </is>
      </c>
      <c r="K114" t="n">
        <v>30</v>
      </c>
      <c r="L114" t="inlineStr">
        <is>
          <t>2 Oktober 2026</t>
        </is>
      </c>
      <c r="M114" t="inlineStr">
        <is>
          <t>Konstruksi Gedung Lainnya, Konstruksi Jaringan Irigasi dan Drainase</t>
        </is>
      </c>
      <c r="N114" t="inlineStr">
        <is>
          <t>K</t>
        </is>
      </c>
      <c r="O114" t="inlineStr">
        <is>
          <t>20230904, 20230927</t>
        </is>
      </c>
      <c r="P114" t="inlineStr">
        <is>
          <t>Jawa Tengah</t>
        </is>
      </c>
      <c r="Q114" t="inlineStr"/>
    </row>
    <row r="115">
      <c r="A115" t="inlineStr">
        <is>
          <t>SHAKA ARKATAMA</t>
        </is>
      </c>
      <c r="B115" t="inlineStr">
        <is>
          <t>Kab. Jember</t>
        </is>
      </c>
      <c r="C115" t="inlineStr">
        <is>
          <t>082336452301</t>
        </is>
      </c>
      <c r="D115" t="inlineStr">
        <is>
          <t>shakaarkatama.cv@gmail.com</t>
        </is>
      </c>
      <c r="E115" t="inlineStr">
        <is>
          <t>https://lpjk.pu.go.id/search-badan-usaha-detail/bnp2RlU4U0pZUXprcmg3MGx4SWthUT09</t>
        </is>
      </c>
      <c r="F115" t="n">
        <v>1</v>
      </c>
      <c r="G115" t="inlineStr">
        <is>
          <t>BS004</t>
        </is>
      </c>
      <c r="H115" t="inlineStr">
        <is>
          <t>24 Februari 2021</t>
        </is>
      </c>
      <c r="I115" s="2" t="n">
        <v>46297</v>
      </c>
      <c r="J115" t="inlineStr">
        <is>
          <t>Disetujui</t>
        </is>
      </c>
      <c r="K115" t="n">
        <v>30</v>
      </c>
      <c r="L115" t="inlineStr">
        <is>
          <t>2 Oktober 2026</t>
        </is>
      </c>
      <c r="M115" t="inlineStr">
        <is>
          <t>Konstruksi Jaringan Irigasi dan Drainase</t>
        </is>
      </c>
      <c r="N115" t="inlineStr">
        <is>
          <t>K</t>
        </is>
      </c>
      <c r="O115" t="inlineStr">
        <is>
          <t>20230926</t>
        </is>
      </c>
      <c r="P115" t="inlineStr">
        <is>
          <t>Jawa Timur</t>
        </is>
      </c>
      <c r="Q115" t="inlineStr"/>
    </row>
    <row r="116">
      <c r="A116" t="inlineStr">
        <is>
          <t>SHAKA PRIMA UTAMA</t>
        </is>
      </c>
      <c r="B116" t="inlineStr">
        <is>
          <t>Kota Pangkal Pinang</t>
        </is>
      </c>
      <c r="C116" t="inlineStr">
        <is>
          <t>081271910220</t>
        </is>
      </c>
      <c r="D116" t="inlineStr">
        <is>
          <t>cvshakaprimautama@gmail.com</t>
        </is>
      </c>
      <c r="E116" t="inlineStr">
        <is>
          <t>https://lpjk.pu.go.id/search-badan-usaha-detail/aGJDeHJqazBtZ3dqUnlYZ0o4a0VHZz09</t>
        </is>
      </c>
      <c r="F116" t="n">
        <v>1</v>
      </c>
      <c r="G116" t="inlineStr">
        <is>
          <t>BS001</t>
        </is>
      </c>
      <c r="H116" t="inlineStr">
        <is>
          <t>31 Juli 2023</t>
        </is>
      </c>
      <c r="I116" s="2" t="n">
        <v>46297</v>
      </c>
      <c r="J116" t="inlineStr">
        <is>
          <t>Disetujui</t>
        </is>
      </c>
      <c r="K116" t="n">
        <v>30</v>
      </c>
      <c r="L116" t="inlineStr">
        <is>
          <t>2 Oktober 2026</t>
        </is>
      </c>
      <c r="M116" t="inlineStr">
        <is>
          <t>Konstruksi Bangunan Sipil Jalan</t>
        </is>
      </c>
      <c r="N116" t="inlineStr">
        <is>
          <t>K</t>
        </is>
      </c>
      <c r="O116" t="inlineStr">
        <is>
          <t>20230927</t>
        </is>
      </c>
      <c r="P116" t="inlineStr">
        <is>
          <t>Kepulauan Bangka Belitung</t>
        </is>
      </c>
      <c r="Q116" t="inlineStr"/>
    </row>
    <row r="117">
      <c r="A117" t="inlineStr">
        <is>
          <t>SHANGHAI BAOYE GROUP CORP., LTD</t>
        </is>
      </c>
      <c r="B117" t="inlineStr">
        <is>
          <t>Kota Adm. Jakarta Pusat</t>
        </is>
      </c>
      <c r="C117" t="inlineStr">
        <is>
          <t>081315335078</t>
        </is>
      </c>
      <c r="D117" t="inlineStr">
        <is>
          <t>shanghaibaoye49@gmail.com</t>
        </is>
      </c>
      <c r="E117" t="inlineStr">
        <is>
          <t>https://lpjk.pu.go.id/search-badan-usaha-detail/N0RCNnJGSDNEazR6WWNoQmp4UHd4QT09</t>
        </is>
      </c>
      <c r="F117" t="n">
        <v>1</v>
      </c>
      <c r="G117" t="inlineStr">
        <is>
          <t>BS002</t>
        </is>
      </c>
      <c r="H117" t="inlineStr">
        <is>
          <t>24 Juni 2022</t>
        </is>
      </c>
      <c r="I117" s="2" t="n">
        <v>46297</v>
      </c>
      <c r="J117" t="inlineStr">
        <is>
          <t>Disetujui</t>
        </is>
      </c>
      <c r="K117" t="n">
        <v>30</v>
      </c>
      <c r="L117" t="inlineStr">
        <is>
          <t>2 Oktober 2026</t>
        </is>
      </c>
      <c r="M117" t="inlineStr">
        <is>
          <t>Bangunan Sipil Jembatan, Jalan Layang, Fly Over, dan Underpass</t>
        </is>
      </c>
      <c r="N117" t="inlineStr">
        <is>
          <t>B</t>
        </is>
      </c>
      <c r="O117" t="inlineStr">
        <is>
          <t>20230925</t>
        </is>
      </c>
      <c r="P117" t="inlineStr">
        <is>
          <t>DKI Jakarta</t>
        </is>
      </c>
      <c r="Q117" t="inlineStr"/>
    </row>
    <row r="118">
      <c r="A118" t="inlineStr">
        <is>
          <t>SINAR MEKAR JAYA</t>
        </is>
      </c>
      <c r="B118" t="inlineStr">
        <is>
          <t>Kab. Bandung</t>
        </is>
      </c>
      <c r="C118" t="inlineStr">
        <is>
          <t>02287833646</t>
        </is>
      </c>
      <c r="D118" t="inlineStr">
        <is>
          <t>pt.sinar_mekarjaya@yahoo.com</t>
        </is>
      </c>
      <c r="E118" t="inlineStr">
        <is>
          <t>https://lpjk.pu.go.id/search-badan-usaha-detail/VWRXcVlxZEQ2MGROTTZRVVBqa0NXUT09</t>
        </is>
      </c>
      <c r="F118" t="n">
        <v>1</v>
      </c>
      <c r="G118" t="inlineStr">
        <is>
          <t>BG003</t>
        </is>
      </c>
      <c r="H118" t="inlineStr">
        <is>
          <t>20 Januari 2017</t>
        </is>
      </c>
      <c r="I118" s="2" t="n">
        <v>46297</v>
      </c>
      <c r="J118" t="inlineStr">
        <is>
          <t>Pencabutan</t>
        </is>
      </c>
      <c r="K118" t="n">
        <v>30</v>
      </c>
      <c r="L118" t="inlineStr">
        <is>
          <t>2 Oktober 2026</t>
        </is>
      </c>
      <c r="M118" t="inlineStr">
        <is>
          <t>Konstruksi Gedung Industri</t>
        </is>
      </c>
      <c r="N118" t="inlineStr">
        <is>
          <t>B</t>
        </is>
      </c>
      <c r="O118" t="inlineStr">
        <is>
          <t>20230824</t>
        </is>
      </c>
      <c r="P118" t="inlineStr">
        <is>
          <t>Jawa Barat</t>
        </is>
      </c>
      <c r="Q118" t="inlineStr"/>
    </row>
    <row r="119">
      <c r="A119" t="inlineStr">
        <is>
          <t>SINAR PAPUA PIYAIYE</t>
        </is>
      </c>
      <c r="B119" t="inlineStr">
        <is>
          <t>Kab. Nabire</t>
        </is>
      </c>
      <c r="C119" t="inlineStr">
        <is>
          <t>081247747728</t>
        </is>
      </c>
      <c r="D119" t="inlineStr">
        <is>
          <t>sinarpiyaiye@gmail.com</t>
        </is>
      </c>
      <c r="E119" t="inlineStr">
        <is>
          <t>https://lpjk.pu.go.id/search-badan-usaha-detail/cWVOL1RWN0VDOEJkZ1lqL0J1cllFZz09</t>
        </is>
      </c>
      <c r="F119" t="n">
        <v>2</v>
      </c>
      <c r="G119" t="inlineStr">
        <is>
          <t>BG001, BS001</t>
        </is>
      </c>
      <c r="H119" t="inlineStr">
        <is>
          <t>9 Desember 2016</t>
        </is>
      </c>
      <c r="I119" s="2" t="n">
        <v>46297</v>
      </c>
      <c r="J119" t="inlineStr">
        <is>
          <t>Disetujui</t>
        </is>
      </c>
      <c r="K119" t="n">
        <v>30</v>
      </c>
      <c r="L119" t="inlineStr">
        <is>
          <t>2 Oktober 2026</t>
        </is>
      </c>
      <c r="M119" t="inlineStr">
        <is>
          <t>Konstruksi Bangunan Sipil Jalan, Konstruksi Gedung Hunian</t>
        </is>
      </c>
      <c r="N119" t="inlineStr">
        <is>
          <t>K</t>
        </is>
      </c>
      <c r="O119" t="inlineStr">
        <is>
          <t>20231002</t>
        </is>
      </c>
      <c r="P119" t="inlineStr">
        <is>
          <t>Papua</t>
        </is>
      </c>
      <c r="Q119" t="inlineStr"/>
    </row>
    <row r="120">
      <c r="A120" t="inlineStr">
        <is>
          <t>SINAR SALWA PERSADA</t>
        </is>
      </c>
      <c r="B120" t="inlineStr">
        <is>
          <t>Kota Bengkulu</t>
        </is>
      </c>
      <c r="C120" t="inlineStr">
        <is>
          <t>081368189253</t>
        </is>
      </c>
      <c r="D120" t="inlineStr">
        <is>
          <t>sinarsalwapersada@gmail.com</t>
        </is>
      </c>
      <c r="E120" t="inlineStr">
        <is>
          <t>https://lpjk.pu.go.id/search-badan-usaha-detail/Yiszclo1bmd0U2x2TEl6SlYrVVhPQT09</t>
        </is>
      </c>
      <c r="F120" t="n">
        <v>8</v>
      </c>
      <c r="G120" t="inlineStr">
        <is>
          <t>BG001, BG002, BG004, BG005, BG006, BS001, BS002, BS005</t>
        </is>
      </c>
      <c r="H120" t="inlineStr">
        <is>
          <t>20 September 2023</t>
        </is>
      </c>
      <c r="I120" s="2" t="n">
        <v>46297</v>
      </c>
      <c r="J120" t="inlineStr">
        <is>
          <t>Disetujui</t>
        </is>
      </c>
      <c r="K120" t="n">
        <v>30</v>
      </c>
      <c r="L120" t="inlineStr">
        <is>
          <t>2 Oktober 2026</t>
        </is>
      </c>
      <c r="M120" t="inlineStr">
        <is>
          <t>Bangunan Sipil Jembatan, Jalan Layang, Fly Over, dan Underpass, Konstruksi Bangunan Sipil Jalan, Konstruksi Bangunan Sipil Pengolahan Air Bersih, Konstruksi Gedung Hunian, Konstruksi Gedung Kesehatan, Konstruksi Gedung Pendidikan, Konstruksi Gedung Perbelanjaan, Konstruksi Gedung Perkantoran</t>
        </is>
      </c>
      <c r="N120" t="inlineStr">
        <is>
          <t>K</t>
        </is>
      </c>
      <c r="O120" t="inlineStr">
        <is>
          <t>20230929</t>
        </is>
      </c>
      <c r="P120" t="inlineStr">
        <is>
          <t>Bengkulu</t>
        </is>
      </c>
      <c r="Q120" t="inlineStr"/>
    </row>
    <row r="121">
      <c r="A121" t="inlineStr">
        <is>
          <t>SUMBER ANUGRAH MANDIRI</t>
        </is>
      </c>
      <c r="B121" t="inlineStr">
        <is>
          <t>Kab. Magetan</t>
        </is>
      </c>
      <c r="C121" t="inlineStr">
        <is>
          <t>081235598057</t>
        </is>
      </c>
      <c r="D121" t="inlineStr">
        <is>
          <t>cv.sumberanugrahmandiri@gmail.com</t>
        </is>
      </c>
      <c r="E121" t="inlineStr">
        <is>
          <t>https://lpjk.pu.go.id/search-badan-usaha-detail/SXhnOWFNVnByeXFqWXMrYllsbE90QT09</t>
        </is>
      </c>
      <c r="F121" t="n">
        <v>2</v>
      </c>
      <c r="G121" t="inlineStr">
        <is>
          <t>BS001, BS010</t>
        </is>
      </c>
      <c r="H121" t="inlineStr">
        <is>
          <t>15 Juli 2011</t>
        </is>
      </c>
      <c r="I121" s="2" t="n">
        <v>46297</v>
      </c>
      <c r="J121" t="inlineStr">
        <is>
          <t>Pencabutan</t>
        </is>
      </c>
      <c r="K121" t="n">
        <v>30</v>
      </c>
      <c r="L121" t="inlineStr">
        <is>
          <t>2 Oktober 2026</t>
        </is>
      </c>
      <c r="M121" t="inlineStr">
        <is>
          <t>Konstruksi Bangunan Prasarana Sumber Daya Air, Konstruksi Bangunan Sipil Jalan</t>
        </is>
      </c>
      <c r="N121" t="inlineStr">
        <is>
          <t>K</t>
        </is>
      </c>
      <c r="O121" t="inlineStr">
        <is>
          <t>20231002, 20231004</t>
        </is>
      </c>
      <c r="P121" t="inlineStr">
        <is>
          <t>Jawa Timur</t>
        </is>
      </c>
      <c r="Q121" t="inlineStr"/>
    </row>
    <row r="122">
      <c r="A122" t="inlineStr">
        <is>
          <t>SUMBER BERKAH PERKASA</t>
        </is>
      </c>
      <c r="B122" t="inlineStr">
        <is>
          <t>Kab. Jayapura</t>
        </is>
      </c>
      <c r="C122" t="inlineStr">
        <is>
          <t>085254849353</t>
        </is>
      </c>
      <c r="D122" t="inlineStr">
        <is>
          <t>muhammadrojiqin@gmail.com</t>
        </is>
      </c>
      <c r="E122" t="inlineStr">
        <is>
          <t>https://lpjk.pu.go.id/search-badan-usaha-detail/OGNJeFdaTndOY25INE9IZThsNStkZz09</t>
        </is>
      </c>
      <c r="F122" t="n">
        <v>1</v>
      </c>
      <c r="G122" t="inlineStr">
        <is>
          <t>PL005</t>
        </is>
      </c>
      <c r="H122" t="inlineStr">
        <is>
          <t>8 April 2021</t>
        </is>
      </c>
      <c r="I122" s="2" t="n">
        <v>46297</v>
      </c>
      <c r="J122" t="inlineStr">
        <is>
          <t>Pembekuan</t>
        </is>
      </c>
      <c r="K122" t="n">
        <v>30</v>
      </c>
      <c r="L122" t="inlineStr">
        <is>
          <t>2 Oktober 2026</t>
        </is>
      </c>
      <c r="M122" t="inlineStr">
        <is>
          <t>Pembuatan/Pengeboran Sumur Air Tanah</t>
        </is>
      </c>
      <c r="N122" t="inlineStr">
        <is>
          <t>Spesialis</t>
        </is>
      </c>
      <c r="O122" t="inlineStr">
        <is>
          <t>20230928</t>
        </is>
      </c>
      <c r="P122" t="inlineStr">
        <is>
          <t>Papua</t>
        </is>
      </c>
      <c r="Q122" t="inlineStr"/>
    </row>
    <row r="123">
      <c r="A123" t="inlineStr">
        <is>
          <t>SWADAYA BHAKTI GUNA</t>
        </is>
      </c>
      <c r="B123" t="inlineStr">
        <is>
          <t>Kota Samarinda</t>
        </is>
      </c>
      <c r="C123" t="inlineStr">
        <is>
          <t>0811552914</t>
        </is>
      </c>
      <c r="D123" t="inlineStr">
        <is>
          <t>swadaya.bhaktiguna77@gmail.com</t>
        </is>
      </c>
      <c r="E123" t="inlineStr">
        <is>
          <t>https://lpjk.pu.go.id/search-badan-usaha-detail/RTN6Y3dYYUNiODZVTXIxbElCYkw0QT09</t>
        </is>
      </c>
      <c r="F123" t="n">
        <v>3</v>
      </c>
      <c r="G123" t="inlineStr">
        <is>
          <t>BG006, BG009, BS001</t>
        </is>
      </c>
      <c r="H123" t="inlineStr">
        <is>
          <t>17 Februari 2007</t>
        </is>
      </c>
      <c r="I123" s="2" t="n">
        <v>46297</v>
      </c>
      <c r="J123" t="inlineStr">
        <is>
          <t>Disetujui</t>
        </is>
      </c>
      <c r="K123" t="n">
        <v>30</v>
      </c>
      <c r="L123" t="inlineStr">
        <is>
          <t>2 Oktober 2026</t>
        </is>
      </c>
      <c r="M123" t="inlineStr">
        <is>
          <t>Konstruksi Bangunan Sipil Jalan, Konstruksi Gedung Lainnya, Konstruksi Gedung Pendidikan</t>
        </is>
      </c>
      <c r="N123" t="inlineStr">
        <is>
          <t>K, M</t>
        </is>
      </c>
      <c r="O123" t="inlineStr">
        <is>
          <t>20230929</t>
        </is>
      </c>
      <c r="P123" t="inlineStr">
        <is>
          <t>Kalimantan Timur</t>
        </is>
      </c>
      <c r="Q123" t="inlineStr"/>
    </row>
    <row r="124">
      <c r="A124" t="inlineStr">
        <is>
          <t>SWADAYA GRAHA</t>
        </is>
      </c>
      <c r="B124" t="inlineStr">
        <is>
          <t>Kab. Gresik</t>
        </is>
      </c>
      <c r="C124" t="inlineStr">
        <is>
          <t>031394477</t>
        </is>
      </c>
      <c r="D124" t="inlineStr">
        <is>
          <t>contact@swadayagraha.com</t>
        </is>
      </c>
      <c r="E124" t="inlineStr">
        <is>
          <t>https://lpjk.pu.go.id/search-badan-usaha-detail/bjkvUU5VeXZQMFlZSUZZK0lnOUt3Zz09</t>
        </is>
      </c>
      <c r="F124" t="n">
        <v>1</v>
      </c>
      <c r="G124" t="inlineStr">
        <is>
          <t>IN001</t>
        </is>
      </c>
      <c r="H124" t="inlineStr">
        <is>
          <t>11 November 1985</t>
        </is>
      </c>
      <c r="I124" s="2" t="n">
        <v>46297</v>
      </c>
      <c r="J124" t="inlineStr">
        <is>
          <t>Pencabutan</t>
        </is>
      </c>
      <c r="K124" t="n">
        <v>30</v>
      </c>
      <c r="L124" t="inlineStr">
        <is>
          <t>2 Oktober 2026</t>
        </is>
      </c>
      <c r="M124" t="inlineStr">
        <is>
          <t>Instalasi Mekanikal</t>
        </is>
      </c>
      <c r="N124" t="inlineStr">
        <is>
          <t>Spesialis</t>
        </is>
      </c>
      <c r="O124" t="inlineStr">
        <is>
          <t>20230926</t>
        </is>
      </c>
      <c r="P124" t="inlineStr">
        <is>
          <t>Jawa Timur</t>
        </is>
      </c>
      <c r="Q124" t="inlineStr"/>
    </row>
    <row r="125">
      <c r="A125" t="inlineStr">
        <is>
          <t>TABINA JAYA MANDIRI</t>
        </is>
      </c>
      <c r="B125" t="inlineStr">
        <is>
          <t>Kota Banda Aceh</t>
        </is>
      </c>
      <c r="C125" t="inlineStr">
        <is>
          <t>082363848767</t>
        </is>
      </c>
      <c r="D125" t="inlineStr">
        <is>
          <t>tabinajayamandiri@gmail.com</t>
        </is>
      </c>
      <c r="E125" t="inlineStr">
        <is>
          <t>https://lpjk.pu.go.id/search-badan-usaha-detail/SEdRamlTeHdkRmJNenM2eTNPeEo5QT09</t>
        </is>
      </c>
      <c r="F125" t="n">
        <v>3</v>
      </c>
      <c r="G125" t="inlineStr">
        <is>
          <t>PB009, PL004, PL005</t>
        </is>
      </c>
      <c r="H125" t="inlineStr">
        <is>
          <t>7 September 2023</t>
        </is>
      </c>
      <c r="I125" s="2" t="n">
        <v>46297</v>
      </c>
      <c r="J125" t="inlineStr">
        <is>
          <t>Disetujui</t>
        </is>
      </c>
      <c r="K125" t="n">
        <v>30</v>
      </c>
      <c r="L125" t="inlineStr">
        <is>
          <t>2 Oktober 2026</t>
        </is>
      </c>
      <c r="M125" t="inlineStr">
        <is>
          <t>Pekerjaan Tanah, Pembersihan dan Perapihan Bangunan Gedung dan/atau Bangunan Sipil, Pembuatan/Pengeboran Sumur Air Tanah</t>
        </is>
      </c>
      <c r="N125" t="inlineStr">
        <is>
          <t>Spesialis</t>
        </is>
      </c>
      <c r="O125" t="inlineStr">
        <is>
          <t>20230922, 20230929</t>
        </is>
      </c>
      <c r="P125" t="inlineStr">
        <is>
          <t>Aceh</t>
        </is>
      </c>
      <c r="Q125" t="inlineStr"/>
    </row>
    <row r="126">
      <c r="A126" t="inlineStr">
        <is>
          <t>TANGGUL JAYA</t>
        </is>
      </c>
      <c r="B126" t="inlineStr">
        <is>
          <t>Kota Surakarta</t>
        </is>
      </c>
      <c r="C126" t="inlineStr">
        <is>
          <t>0271654341</t>
        </is>
      </c>
      <c r="D126" t="inlineStr">
        <is>
          <t>tangguljaya83@yahoo.com</t>
        </is>
      </c>
      <c r="E126" t="inlineStr">
        <is>
          <t>https://lpjk.pu.go.id/search-badan-usaha-detail/VzBuVmJNOUJadWx4RUQ2QzkzN3ZIZz09</t>
        </is>
      </c>
      <c r="F126" t="n">
        <v>1</v>
      </c>
      <c r="G126" t="inlineStr">
        <is>
          <t>BS001</t>
        </is>
      </c>
      <c r="H126" t="inlineStr">
        <is>
          <t>7 Februari 1983</t>
        </is>
      </c>
      <c r="I126" s="2" t="n">
        <v>46297</v>
      </c>
      <c r="J126" t="inlineStr">
        <is>
          <t>Disetujui</t>
        </is>
      </c>
      <c r="K126" t="n">
        <v>30</v>
      </c>
      <c r="L126" t="inlineStr">
        <is>
          <t>2 Oktober 2026</t>
        </is>
      </c>
      <c r="M126" t="inlineStr">
        <is>
          <t>Konstruksi Bangunan Sipil Jalan</t>
        </is>
      </c>
      <c r="N126" t="inlineStr">
        <is>
          <t>M</t>
        </is>
      </c>
      <c r="O126" t="inlineStr">
        <is>
          <t>20230918</t>
        </is>
      </c>
      <c r="P126" t="inlineStr">
        <is>
          <t>Jawa Tengah</t>
        </is>
      </c>
      <c r="Q126" t="inlineStr"/>
    </row>
    <row r="127">
      <c r="A127" t="inlineStr">
        <is>
          <t>TANI HARAPAN</t>
        </is>
      </c>
      <c r="B127" t="inlineStr">
        <is>
          <t>Kab. Langkat</t>
        </is>
      </c>
      <c r="C127" t="inlineStr">
        <is>
          <t>081263097766</t>
        </is>
      </c>
      <c r="D127" t="inlineStr">
        <is>
          <t>cv.taniharapan@yahoo.com</t>
        </is>
      </c>
      <c r="E127" t="inlineStr">
        <is>
          <t>https://lpjk.pu.go.id/search-badan-usaha-detail/N05TaDNxSjF2UFkxWC9RcEpQa2x6dz09</t>
        </is>
      </c>
      <c r="F127" t="n">
        <v>2</v>
      </c>
      <c r="G127" t="inlineStr">
        <is>
          <t>BG009, BS001</t>
        </is>
      </c>
      <c r="H127" t="inlineStr">
        <is>
          <t>27 Juni 2007</t>
        </is>
      </c>
      <c r="I127" s="2" t="n">
        <v>46297</v>
      </c>
      <c r="J127" t="inlineStr">
        <is>
          <t>Disetujui</t>
        </is>
      </c>
      <c r="K127" t="n">
        <v>30</v>
      </c>
      <c r="L127" t="inlineStr">
        <is>
          <t>2 Oktober 2026</t>
        </is>
      </c>
      <c r="M127" t="inlineStr">
        <is>
          <t>Konstruksi Bangunan Sipil Jalan, Konstruksi Gedung Lainnya</t>
        </is>
      </c>
      <c r="N127" t="inlineStr">
        <is>
          <t>K</t>
        </is>
      </c>
      <c r="O127" t="inlineStr">
        <is>
          <t>20230624, 20231002</t>
        </is>
      </c>
      <c r="P127" t="inlineStr">
        <is>
          <t>Sumatera Utara</t>
        </is>
      </c>
      <c r="Q127" t="inlineStr"/>
    </row>
    <row r="128">
      <c r="A128" t="inlineStr">
        <is>
          <t>TEGAR RAJAWALI PERKASA</t>
        </is>
      </c>
      <c r="B128" t="inlineStr">
        <is>
          <t>Kab. Landak</t>
        </is>
      </c>
      <c r="C128" t="inlineStr">
        <is>
          <t>082270223137</t>
        </is>
      </c>
      <c r="D128" t="inlineStr">
        <is>
          <t>pt.tegarrajawali137@gmail.com</t>
        </is>
      </c>
      <c r="E128" t="inlineStr">
        <is>
          <t>https://lpjk.pu.go.id/search-badan-usaha-detail/MGl1c3E3WmtGbHpPaVc2UWVpbG8xdz09</t>
        </is>
      </c>
      <c r="F128" t="n">
        <v>2</v>
      </c>
      <c r="G128" t="inlineStr">
        <is>
          <t>BS001, BS002</t>
        </is>
      </c>
      <c r="H128" t="inlineStr">
        <is>
          <t>1 April 2006</t>
        </is>
      </c>
      <c r="I128" s="2" t="n">
        <v>46297</v>
      </c>
      <c r="J128" t="inlineStr">
        <is>
          <t>Disetujui</t>
        </is>
      </c>
      <c r="K128" t="n">
        <v>30</v>
      </c>
      <c r="L128" t="inlineStr">
        <is>
          <t>2 Oktober 2026</t>
        </is>
      </c>
      <c r="M128" t="inlineStr">
        <is>
          <t>Bangunan Sipil Jembatan, Jalan Layang, Fly Over, dan Underpass, Konstruksi Bangunan Sipil Jalan</t>
        </is>
      </c>
      <c r="N128" t="inlineStr">
        <is>
          <t>K</t>
        </is>
      </c>
      <c r="O128" t="inlineStr">
        <is>
          <t>20230927</t>
        </is>
      </c>
      <c r="P128" t="inlineStr">
        <is>
          <t>Kalimantan Barat</t>
        </is>
      </c>
      <c r="Q128" t="inlineStr"/>
    </row>
    <row r="129">
      <c r="A129" t="inlineStr">
        <is>
          <t>TIRTA KENCANA SELARAS</t>
        </is>
      </c>
      <c r="B129" t="inlineStr">
        <is>
          <t>Kota Tangerang Selatan</t>
        </is>
      </c>
      <c r="C129" t="inlineStr">
        <is>
          <t>0212915569</t>
        </is>
      </c>
      <c r="D129" t="inlineStr">
        <is>
          <t>tirtaselaras@gmail.com</t>
        </is>
      </c>
      <c r="E129" t="inlineStr">
        <is>
          <t>https://lpjk.pu.go.id/search-badan-usaha-detail/ZFJRQ0ZUUUNFSkpOK0VsZFlreE5IUT09</t>
        </is>
      </c>
      <c r="F129" t="n">
        <v>2</v>
      </c>
      <c r="G129" t="inlineStr">
        <is>
          <t>BG003, BG009</t>
        </is>
      </c>
      <c r="H129" t="inlineStr">
        <is>
          <t>25 November 2010</t>
        </is>
      </c>
      <c r="I129" s="2" t="n">
        <v>46297</v>
      </c>
      <c r="J129" t="inlineStr">
        <is>
          <t>Disetujui, Pencabutan</t>
        </is>
      </c>
      <c r="K129" t="n">
        <v>30</v>
      </c>
      <c r="L129" t="inlineStr">
        <is>
          <t>2 Oktober 2026</t>
        </is>
      </c>
      <c r="M129" t="inlineStr">
        <is>
          <t>Konstruksi Gedung Industri, Konstruksi Gedung Lainnya</t>
        </is>
      </c>
      <c r="N129" t="inlineStr">
        <is>
          <t>K</t>
        </is>
      </c>
      <c r="O129" t="inlineStr">
        <is>
          <t>20230622, 20231001</t>
        </is>
      </c>
      <c r="P129" t="inlineStr">
        <is>
          <t>Banten</t>
        </is>
      </c>
      <c r="Q129" t="inlineStr"/>
    </row>
    <row r="130">
      <c r="A130" t="inlineStr">
        <is>
          <t>TRI DARMA JAYA</t>
        </is>
      </c>
      <c r="B130" t="inlineStr">
        <is>
          <t>Kota Samarinda</t>
        </is>
      </c>
      <c r="C130" t="inlineStr">
        <is>
          <t>081242095333</t>
        </is>
      </c>
      <c r="D130" t="inlineStr">
        <is>
          <t>tridarmajaya@yahoo.com</t>
        </is>
      </c>
      <c r="E130" t="inlineStr">
        <is>
          <t>https://lpjk.pu.go.id/search-badan-usaha-detail/U2VsVHFhUkRnczdYR0xzL0VTT0dHQT09</t>
        </is>
      </c>
      <c r="F130" t="n">
        <v>2</v>
      </c>
      <c r="G130" t="inlineStr">
        <is>
          <t>BS001, BS004</t>
        </is>
      </c>
      <c r="H130" t="inlineStr">
        <is>
          <t>1 April 2020</t>
        </is>
      </c>
      <c r="I130" s="2" t="n">
        <v>46297</v>
      </c>
      <c r="J130" t="inlineStr">
        <is>
          <t>Disetujui</t>
        </is>
      </c>
      <c r="K130" t="n">
        <v>30</v>
      </c>
      <c r="L130" t="inlineStr">
        <is>
          <t>2 Oktober 2026</t>
        </is>
      </c>
      <c r="M130" t="inlineStr">
        <is>
          <t>Konstruksi Bangunan Sipil Jalan, Konstruksi Jaringan Irigasi dan Drainase</t>
        </is>
      </c>
      <c r="N130" t="inlineStr">
        <is>
          <t>K</t>
        </is>
      </c>
      <c r="O130" t="inlineStr">
        <is>
          <t>20230926</t>
        </is>
      </c>
      <c r="P130" t="inlineStr">
        <is>
          <t>Kalimantan Timur</t>
        </is>
      </c>
      <c r="Q130" t="inlineStr"/>
    </row>
    <row r="131">
      <c r="A131" t="inlineStr">
        <is>
          <t>TRI KARTIKA SARI</t>
        </is>
      </c>
      <c r="B131" t="inlineStr">
        <is>
          <t>Kab. Muaro Jambi</t>
        </is>
      </c>
      <c r="C131" t="inlineStr">
        <is>
          <t>085288942160</t>
        </is>
      </c>
      <c r="D131" t="inlineStr">
        <is>
          <t>cvkartikasari2023@gmail.com</t>
        </is>
      </c>
      <c r="E131" t="inlineStr">
        <is>
          <t>https://lpjk.pu.go.id/search-badan-usaha-detail/OVZWc1NBQlFyWUd5VGpXcGFlSU9oQT09</t>
        </is>
      </c>
      <c r="F131" t="n">
        <v>1</v>
      </c>
      <c r="G131" t="inlineStr">
        <is>
          <t>BS001</t>
        </is>
      </c>
      <c r="H131" t="inlineStr">
        <is>
          <t>31 Juli 2023</t>
        </is>
      </c>
      <c r="I131" s="2" t="n">
        <v>46297</v>
      </c>
      <c r="J131" t="inlineStr">
        <is>
          <t>Disetujui</t>
        </is>
      </c>
      <c r="K131" t="n">
        <v>30</v>
      </c>
      <c r="L131" t="inlineStr">
        <is>
          <t>2 Oktober 2026</t>
        </is>
      </c>
      <c r="M131" t="inlineStr">
        <is>
          <t>Konstruksi Bangunan Sipil Jalan</t>
        </is>
      </c>
      <c r="N131" t="inlineStr">
        <is>
          <t>K</t>
        </is>
      </c>
      <c r="O131" t="inlineStr">
        <is>
          <t>20230929</t>
        </is>
      </c>
      <c r="P131" t="inlineStr">
        <is>
          <t>Jambi</t>
        </is>
      </c>
      <c r="Q131" t="inlineStr"/>
    </row>
    <row r="132">
      <c r="A132" t="inlineStr">
        <is>
          <t>TRI UTAMA</t>
        </is>
      </c>
      <c r="B132" t="inlineStr">
        <is>
          <t>Kab. Bandung</t>
        </is>
      </c>
      <c r="C132" t="inlineStr">
        <is>
          <t>082121450500</t>
        </is>
      </c>
      <c r="D132" t="inlineStr">
        <is>
          <t>cv.tri.utama15@gmail.com</t>
        </is>
      </c>
      <c r="E132" t="inlineStr">
        <is>
          <t>https://lpjk.pu.go.id/search-badan-usaha-detail/WklQN3ZiemxYdkU2cU9VUUsyN2VMZz09</t>
        </is>
      </c>
      <c r="F132" t="n">
        <v>4</v>
      </c>
      <c r="G132" t="inlineStr">
        <is>
          <t>BG009, BS001, BS004, BS005</t>
        </is>
      </c>
      <c r="H132" t="inlineStr">
        <is>
          <t>8 Oktober 2003</t>
        </is>
      </c>
      <c r="I132" s="2" t="n">
        <v>46297</v>
      </c>
      <c r="J132" t="inlineStr">
        <is>
          <t>Disetujui</t>
        </is>
      </c>
      <c r="K132" t="n">
        <v>30</v>
      </c>
      <c r="L132" t="inlineStr">
        <is>
          <t>2 Oktober 2026</t>
        </is>
      </c>
      <c r="M132" t="inlineStr">
        <is>
          <t>Konstruksi Bangunan Sipil Jalan, Konstruksi Bangunan Sipil Pengolahan Air Bersih, Konstruksi Gedung Lainnya, Konstruksi Jaringan Irigasi dan Drainase</t>
        </is>
      </c>
      <c r="N132" t="inlineStr">
        <is>
          <t>K</t>
        </is>
      </c>
      <c r="O132" t="inlineStr">
        <is>
          <t>20230927, 20231002</t>
        </is>
      </c>
      <c r="P132" t="inlineStr">
        <is>
          <t>Jawa Barat</t>
        </is>
      </c>
      <c r="Q132" t="inlineStr"/>
    </row>
    <row r="133">
      <c r="A133" t="inlineStr">
        <is>
          <t>TRIAS MANUNGGAL</t>
        </is>
      </c>
      <c r="B133" t="inlineStr">
        <is>
          <t>Kota Bandung</t>
        </is>
      </c>
      <c r="C133" t="inlineStr">
        <is>
          <t>0227273832</t>
        </is>
      </c>
      <c r="D133" t="inlineStr">
        <is>
          <t>triasman@yahoo.co.id</t>
        </is>
      </c>
      <c r="E133" t="inlineStr">
        <is>
          <t>https://lpjk.pu.go.id/search-badan-usaha-detail/R2c0a0xKR2RYTzNQTGJGSVQxdEtwQT09</t>
        </is>
      </c>
      <c r="F133" t="n">
        <v>4</v>
      </c>
      <c r="G133" t="inlineStr">
        <is>
          <t>BG006, BG009</t>
        </is>
      </c>
      <c r="H133" t="inlineStr">
        <is>
          <t>19 Juli 1999</t>
        </is>
      </c>
      <c r="I133" s="2" t="n">
        <v>46297</v>
      </c>
      <c r="J133" t="inlineStr">
        <is>
          <t>Disetujui</t>
        </is>
      </c>
      <c r="K133" t="n">
        <v>30</v>
      </c>
      <c r="L133" t="inlineStr">
        <is>
          <t>2 Oktober 2026</t>
        </is>
      </c>
      <c r="M133" t="inlineStr">
        <is>
          <t>Konstruksi Gedung Lainnya, Konstruksi Gedung Pendidikan</t>
        </is>
      </c>
      <c r="N133" t="inlineStr">
        <is>
          <t>K</t>
        </is>
      </c>
      <c r="O133" t="inlineStr">
        <is>
          <t>20230930</t>
        </is>
      </c>
      <c r="P133" t="inlineStr">
        <is>
          <t>Jawa Barat</t>
        </is>
      </c>
      <c r="Q133" t="inlineStr"/>
    </row>
    <row r="134">
      <c r="A134" t="inlineStr">
        <is>
          <t>TRIASINDOMIX</t>
        </is>
      </c>
      <c r="B134" t="inlineStr">
        <is>
          <t>Kab. Sidoarjo</t>
        </is>
      </c>
      <c r="C134" t="inlineStr">
        <is>
          <t>081330788592</t>
        </is>
      </c>
      <c r="D134" t="inlineStr">
        <is>
          <t>mixtriasindo@gmail.com</t>
        </is>
      </c>
      <c r="E134" t="inlineStr">
        <is>
          <t>https://lpjk.pu.go.id/search-badan-usaha-detail/Sys2OVJjZEVqSWV1YzF1NG1qYytoUT09</t>
        </is>
      </c>
      <c r="F134" t="n">
        <v>2</v>
      </c>
      <c r="G134" t="inlineStr">
        <is>
          <t>KK008, PL003</t>
        </is>
      </c>
      <c r="H134" t="inlineStr">
        <is>
          <t>20 Maret 2010</t>
        </is>
      </c>
      <c r="I134" s="2" t="n">
        <v>46297</v>
      </c>
      <c r="J134" t="inlineStr">
        <is>
          <t>Pembekuan</t>
        </is>
      </c>
      <c r="K134" t="n">
        <v>30</v>
      </c>
      <c r="L134" t="inlineStr">
        <is>
          <t>2 Oktober 2026</t>
        </is>
      </c>
      <c r="M134" t="inlineStr">
        <is>
          <t>Penyiapan Lahan Konstruksi, Perkerasan Aspal</t>
        </is>
      </c>
      <c r="N134" t="inlineStr">
        <is>
          <t>Spesialis</t>
        </is>
      </c>
      <c r="O134" t="inlineStr">
        <is>
          <t>20230927, 20230930</t>
        </is>
      </c>
      <c r="P134" t="inlineStr">
        <is>
          <t>Jawa Timur</t>
        </is>
      </c>
      <c r="Q134" t="inlineStr"/>
    </row>
    <row r="135">
      <c r="A135" t="inlineStr">
        <is>
          <t>TRIATMA TRUNTUM KONSTRUKSINDO</t>
        </is>
      </c>
      <c r="B135" t="inlineStr">
        <is>
          <t>Kota Adm. Jakarta Barat</t>
        </is>
      </c>
      <c r="C135" t="inlineStr">
        <is>
          <t>02129866319</t>
        </is>
      </c>
      <c r="D135" t="inlineStr">
        <is>
          <t>pt.triatmatruntumkonstruksindo@gmail.com</t>
        </is>
      </c>
      <c r="E135" t="inlineStr">
        <is>
          <t>https://lpjk.pu.go.id/search-badan-usaha-detail/QVBhOU5FSjB2RU1wTFhmYTJRRWhpZz09</t>
        </is>
      </c>
      <c r="F135" t="n">
        <v>1</v>
      </c>
      <c r="G135" t="inlineStr">
        <is>
          <t>AR001</t>
        </is>
      </c>
      <c r="H135" t="inlineStr">
        <is>
          <t>13 September 2019</t>
        </is>
      </c>
      <c r="I135" s="2" t="n">
        <v>46297</v>
      </c>
      <c r="J135" t="inlineStr">
        <is>
          <t>Disetujui</t>
        </is>
      </c>
      <c r="K135" t="n">
        <v>30</v>
      </c>
      <c r="L135" t="inlineStr">
        <is>
          <t>2 Oktober 2026</t>
        </is>
      </c>
      <c r="M135" t="inlineStr">
        <is>
          <t>Jasa Arsitektural Bangunan Gedung Hunian dan Non Hunian</t>
        </is>
      </c>
      <c r="N135" t="inlineStr">
        <is>
          <t>K</t>
        </is>
      </c>
      <c r="O135" t="inlineStr">
        <is>
          <t>20230926</t>
        </is>
      </c>
      <c r="P135" t="inlineStr">
        <is>
          <t>DKI Jakarta</t>
        </is>
      </c>
      <c r="Q135" t="inlineStr"/>
    </row>
    <row r="136">
      <c r="A136" t="inlineStr">
        <is>
          <t>TRISTAR JAYA PERKASA</t>
        </is>
      </c>
      <c r="B136" t="inlineStr">
        <is>
          <t>Kab. Parigi Moutong</t>
        </is>
      </c>
      <c r="C136" t="inlineStr">
        <is>
          <t>0811456708</t>
        </is>
      </c>
      <c r="D136" t="inlineStr">
        <is>
          <t>jtr.tristar@gmail.com</t>
        </is>
      </c>
      <c r="E136" t="inlineStr">
        <is>
          <t>https://lpjk.pu.go.id/search-badan-usaha-detail/MFpCWDRYbGhvYitjMDJqbkpaQ3czUT09</t>
        </is>
      </c>
      <c r="F136" t="n">
        <v>3</v>
      </c>
      <c r="G136" t="inlineStr">
        <is>
          <t>BG009</t>
        </is>
      </c>
      <c r="H136" t="inlineStr">
        <is>
          <t>29 Maret 2021</t>
        </is>
      </c>
      <c r="I136" s="2" t="n">
        <v>46297</v>
      </c>
      <c r="J136" t="inlineStr">
        <is>
          <t>Disetujui</t>
        </is>
      </c>
      <c r="K136" t="n">
        <v>30</v>
      </c>
      <c r="L136" t="inlineStr">
        <is>
          <t>2 Oktober 2026</t>
        </is>
      </c>
      <c r="M136" t="inlineStr">
        <is>
          <t>Konstruksi Gedung Lainnya</t>
        </is>
      </c>
      <c r="N136" t="inlineStr">
        <is>
          <t>K</t>
        </is>
      </c>
      <c r="O136" t="inlineStr">
        <is>
          <t>20231002</t>
        </is>
      </c>
      <c r="P136" t="inlineStr">
        <is>
          <t>Sulawesi Tengah</t>
        </is>
      </c>
      <c r="Q136" t="inlineStr"/>
    </row>
    <row r="137">
      <c r="A137" t="inlineStr">
        <is>
          <t>TUNAS INDAH JAYA BETON</t>
        </is>
      </c>
      <c r="B137" t="inlineStr">
        <is>
          <t>Kab. Banyuwangi</t>
        </is>
      </c>
      <c r="C137" t="inlineStr">
        <is>
          <t>082231419600</t>
        </is>
      </c>
      <c r="D137" t="inlineStr">
        <is>
          <t>jayabeton.bwi@gmail.com</t>
        </is>
      </c>
      <c r="E137" t="inlineStr">
        <is>
          <t>https://lpjk.pu.go.id/search-badan-usaha-detail/QXNPdUR4UEVmVjhYbDJzS1JHblBFQT09</t>
        </is>
      </c>
      <c r="F137" t="n">
        <v>1</v>
      </c>
      <c r="G137" t="inlineStr">
        <is>
          <t>BS001</t>
        </is>
      </c>
      <c r="H137" t="inlineStr">
        <is>
          <t>24 Januari 2023</t>
        </is>
      </c>
      <c r="I137" s="2" t="n">
        <v>46297</v>
      </c>
      <c r="J137" t="inlineStr">
        <is>
          <t>Disetujui</t>
        </is>
      </c>
      <c r="K137" t="n">
        <v>30</v>
      </c>
      <c r="L137" t="inlineStr">
        <is>
          <t>2 Oktober 2026</t>
        </is>
      </c>
      <c r="M137" t="inlineStr">
        <is>
          <t>Konstruksi Bangunan Sipil Jalan</t>
        </is>
      </c>
      <c r="N137" t="inlineStr">
        <is>
          <t>K</t>
        </is>
      </c>
      <c r="O137" t="inlineStr">
        <is>
          <t>20230927</t>
        </is>
      </c>
      <c r="P137" t="inlineStr">
        <is>
          <t>Jawa Timur</t>
        </is>
      </c>
      <c r="Q137" t="inlineStr"/>
    </row>
    <row r="138">
      <c r="A138" t="inlineStr">
        <is>
          <t>ULFA FAJRUL MUSTANIR</t>
        </is>
      </c>
      <c r="B138" t="inlineStr">
        <is>
          <t>Kab. Aceh Selatan</t>
        </is>
      </c>
      <c r="C138" t="inlineStr">
        <is>
          <t>085260840034</t>
        </is>
      </c>
      <c r="D138" t="inlineStr">
        <is>
          <t>cv.ulfafajrul@gmail.com</t>
        </is>
      </c>
      <c r="E138" t="inlineStr">
        <is>
          <t>https://lpjk.pu.go.id/search-badan-usaha-detail/YnJoZ2YxWDYxa0c2bnRQdXUzdEpaUT09</t>
        </is>
      </c>
      <c r="F138" t="n">
        <v>1</v>
      </c>
      <c r="G138" t="inlineStr">
        <is>
          <t>BS001</t>
        </is>
      </c>
      <c r="H138" t="inlineStr">
        <is>
          <t>15 Mei 2020</t>
        </is>
      </c>
      <c r="I138" s="2" t="n">
        <v>46297</v>
      </c>
      <c r="J138" t="inlineStr">
        <is>
          <t>Disetujui</t>
        </is>
      </c>
      <c r="K138" t="n">
        <v>30</v>
      </c>
      <c r="L138" t="inlineStr">
        <is>
          <t>2 Oktober 2026</t>
        </is>
      </c>
      <c r="M138" t="inlineStr">
        <is>
          <t>Konstruksi Bangunan Sipil Jalan</t>
        </is>
      </c>
      <c r="N138" t="inlineStr">
        <is>
          <t>K</t>
        </is>
      </c>
      <c r="O138" t="inlineStr">
        <is>
          <t>20230927</t>
        </is>
      </c>
      <c r="P138" t="inlineStr">
        <is>
          <t>Aceh</t>
        </is>
      </c>
      <c r="Q138" t="inlineStr"/>
    </row>
    <row r="139">
      <c r="A139" t="inlineStr">
        <is>
          <t>USAHA JAYA ANUGERAH</t>
        </is>
      </c>
      <c r="B139" t="inlineStr">
        <is>
          <t>Kab. Ogan Komering Ulu</t>
        </is>
      </c>
      <c r="C139" t="inlineStr">
        <is>
          <t>085366002355</t>
        </is>
      </c>
      <c r="D139" t="inlineStr">
        <is>
          <t>usahajayaanugerah2023@gmail.com</t>
        </is>
      </c>
      <c r="E139" t="inlineStr">
        <is>
          <t>https://lpjk.pu.go.id/search-badan-usaha-detail/MnF5Q3cva01NVVI5bkRjem5GUnJ5dz09</t>
        </is>
      </c>
      <c r="F139" t="n">
        <v>3</v>
      </c>
      <c r="G139" t="inlineStr">
        <is>
          <t>BG002, BG005, BG006</t>
        </is>
      </c>
      <c r="H139" t="inlineStr">
        <is>
          <t>9 September 2023</t>
        </is>
      </c>
      <c r="I139" s="2" t="n">
        <v>46297</v>
      </c>
      <c r="J139" t="inlineStr">
        <is>
          <t>Disetujui</t>
        </is>
      </c>
      <c r="K139" t="n">
        <v>30</v>
      </c>
      <c r="L139" t="inlineStr">
        <is>
          <t>2 Oktober 2026</t>
        </is>
      </c>
      <c r="M139" t="inlineStr">
        <is>
          <t>Konstruksi Gedung Kesehatan, Konstruksi Gedung Pendidikan, Konstruksi Gedung Perkantoran</t>
        </is>
      </c>
      <c r="N139" t="inlineStr">
        <is>
          <t>K</t>
        </is>
      </c>
      <c r="O139" t="inlineStr">
        <is>
          <t>20230929</t>
        </is>
      </c>
      <c r="P139" t="inlineStr">
        <is>
          <t>Sumatera Selatan</t>
        </is>
      </c>
      <c r="Q139" t="inlineStr"/>
    </row>
    <row r="140">
      <c r="A140" t="inlineStr">
        <is>
          <t>UTAMA KARYA MANDIRI</t>
        </is>
      </c>
      <c r="B140" t="inlineStr">
        <is>
          <t>Kab. Kulon Progo</t>
        </is>
      </c>
      <c r="C140" t="inlineStr">
        <is>
          <t>081904172263</t>
        </is>
      </c>
      <c r="D140" t="inlineStr">
        <is>
          <t>z.arifin.iping@gmail.com</t>
        </is>
      </c>
      <c r="E140" t="inlineStr">
        <is>
          <t>https://lpjk.pu.go.id/search-badan-usaha-detail/SXRKVTZlY2IyUk4rdER3S0w0V1dCZz09</t>
        </is>
      </c>
      <c r="F140" t="n">
        <v>1</v>
      </c>
      <c r="G140" t="inlineStr">
        <is>
          <t>PL003</t>
        </is>
      </c>
      <c r="H140" t="inlineStr">
        <is>
          <t>19 Oktober 2015</t>
        </is>
      </c>
      <c r="I140" s="2" t="n">
        <v>46297</v>
      </c>
      <c r="J140" t="inlineStr">
        <is>
          <t>Pencabutan</t>
        </is>
      </c>
      <c r="K140" t="n">
        <v>30</v>
      </c>
      <c r="L140" t="inlineStr">
        <is>
          <t>2 Oktober 2026</t>
        </is>
      </c>
      <c r="M140" t="inlineStr">
        <is>
          <t>Penyiapan Lahan Konstruksi</t>
        </is>
      </c>
      <c r="N140" t="inlineStr">
        <is>
          <t>Spesialis</t>
        </is>
      </c>
      <c r="O140" t="inlineStr">
        <is>
          <t>20230926</t>
        </is>
      </c>
      <c r="P140" t="inlineStr">
        <is>
          <t>DI Yogyakarta</t>
        </is>
      </c>
      <c r="Q140" t="inlineStr"/>
    </row>
    <row r="141">
      <c r="A141" t="inlineStr">
        <is>
          <t>WAHYU RIZKI</t>
        </is>
      </c>
      <c r="B141" t="inlineStr">
        <is>
          <t>Kab. Banyumas</t>
        </is>
      </c>
      <c r="C141" t="inlineStr">
        <is>
          <t>081392533998</t>
        </is>
      </c>
      <c r="D141" t="inlineStr">
        <is>
          <t>wahyurizki.cv@gmail.com</t>
        </is>
      </c>
      <c r="E141" t="inlineStr">
        <is>
          <t>https://lpjk.pu.go.id/search-badan-usaha-detail/aVBXc0x3U3QyZGwzNGROYkVIOU10Zz09</t>
        </is>
      </c>
      <c r="F141" t="n">
        <v>2</v>
      </c>
      <c r="G141" t="inlineStr">
        <is>
          <t>BG006, BG009</t>
        </is>
      </c>
      <c r="H141" t="inlineStr">
        <is>
          <t>27 Juli 2022</t>
        </is>
      </c>
      <c r="I141" s="2" t="n">
        <v>46297</v>
      </c>
      <c r="J141" t="inlineStr">
        <is>
          <t>Disetujui</t>
        </is>
      </c>
      <c r="K141" t="n">
        <v>30</v>
      </c>
      <c r="L141" t="inlineStr">
        <is>
          <t>2 Oktober 2026</t>
        </is>
      </c>
      <c r="M141" t="inlineStr">
        <is>
          <t>Konstruksi Gedung Lainnya, Konstruksi Gedung Pendidikan</t>
        </is>
      </c>
      <c r="N141" t="inlineStr">
        <is>
          <t>K</t>
        </is>
      </c>
      <c r="O141" t="inlineStr">
        <is>
          <t>20230928, 20230930</t>
        </is>
      </c>
      <c r="P141" t="inlineStr">
        <is>
          <t>Jawa Tengah</t>
        </is>
      </c>
      <c r="Q141" t="inlineStr"/>
    </row>
    <row r="142">
      <c r="A142" t="inlineStr">
        <is>
          <t>WIJAYA</t>
        </is>
      </c>
      <c r="B142" t="inlineStr">
        <is>
          <t>Kab. Brebes</t>
        </is>
      </c>
      <c r="C142" t="inlineStr">
        <is>
          <t>0289432405</t>
        </is>
      </c>
      <c r="D142" t="inlineStr">
        <is>
          <t>cvwijaya86@gmail.com</t>
        </is>
      </c>
      <c r="E142" t="inlineStr">
        <is>
          <t>https://lpjk.pu.go.id/search-badan-usaha-detail/a0FoUkFrUjZFUTV6cFJhVmNFYkR0UT09</t>
        </is>
      </c>
      <c r="F142" t="n">
        <v>1</v>
      </c>
      <c r="G142" t="inlineStr">
        <is>
          <t>BS004</t>
        </is>
      </c>
      <c r="H142" t="inlineStr">
        <is>
          <t>18 Juli 2001</t>
        </is>
      </c>
      <c r="I142" s="2" t="n">
        <v>46297</v>
      </c>
      <c r="J142" t="inlineStr">
        <is>
          <t>Disetujui</t>
        </is>
      </c>
      <c r="K142" t="n">
        <v>30</v>
      </c>
      <c r="L142" t="inlineStr">
        <is>
          <t>2 Oktober 2026</t>
        </is>
      </c>
      <c r="M142" t="inlineStr">
        <is>
          <t>Konstruksi Jaringan Irigasi dan Drainase</t>
        </is>
      </c>
      <c r="N142" t="inlineStr">
        <is>
          <t>K</t>
        </is>
      </c>
      <c r="O142" t="inlineStr">
        <is>
          <t>20230926</t>
        </is>
      </c>
      <c r="P142" t="inlineStr">
        <is>
          <t>Jawa Tengah</t>
        </is>
      </c>
      <c r="Q142" t="inlineStr"/>
    </row>
    <row r="143">
      <c r="A143" t="inlineStr">
        <is>
          <t>WIRA DARMA NUSA</t>
        </is>
      </c>
      <c r="B143" t="inlineStr">
        <is>
          <t>Kab. Sleman</t>
        </is>
      </c>
      <c r="C143" t="inlineStr">
        <is>
          <t>0274418255</t>
        </is>
      </c>
      <c r="D143" t="inlineStr">
        <is>
          <t>wiradarmanusa@gmail.com</t>
        </is>
      </c>
      <c r="E143" t="inlineStr">
        <is>
          <t>https://lpjk.pu.go.id/search-badan-usaha-detail/RGRhYlBjdWl5UElmWGhnVytIMU5TNEhPWWdTSklWcitFQy9zbGNzVW5Xaz0</t>
        </is>
      </c>
      <c r="F143" t="n">
        <v>2</v>
      </c>
      <c r="G143" t="inlineStr">
        <is>
          <t>RK001, RK003</t>
        </is>
      </c>
      <c r="H143" t="inlineStr">
        <is>
          <t>24 April 2019</t>
        </is>
      </c>
      <c r="I143" s="2" t="n">
        <v>46297</v>
      </c>
      <c r="J143" t="inlineStr">
        <is>
          <t>Disetujui</t>
        </is>
      </c>
      <c r="K143" t="n">
        <v>30</v>
      </c>
      <c r="L143" t="inlineStr">
        <is>
          <t>2 Oktober 2026</t>
        </is>
      </c>
      <c r="M143" t="inlineStr">
        <is>
          <t>Jasa Rekayasa Konstruksi Bangunan Gedung Hunian dan Non Hunian, Jasa Rekayasa Pekerjaan Teknik Sipil Transportasi</t>
        </is>
      </c>
      <c r="N143" t="inlineStr">
        <is>
          <t>K</t>
        </is>
      </c>
      <c r="O143" t="inlineStr">
        <is>
          <t>20230908</t>
        </is>
      </c>
      <c r="P143" t="inlineStr">
        <is>
          <t>DI Yogyakarta</t>
        </is>
      </c>
      <c r="Q1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2026-09-02T03:04:04Z</dcterms:created>
  <dcterms:modified xsi:type="dcterms:W3CDTF">2026-09-02T03:04:04Z</dcterms:modified>
</cp:coreProperties>
</file>