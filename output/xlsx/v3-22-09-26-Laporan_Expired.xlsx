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2"/>
  <sheetViews>
    <sheetView workbookViewId="0">
      <selection activeCell="A1" sqref="A1"/>
    </sheetView>
  </sheetViews>
  <sheetFormatPr baseColWidth="8" defaultRowHeight="15"/>
  <cols>
    <col width="31" customWidth="1" min="1" max="1"/>
    <col width="27" customWidth="1" min="2" max="2"/>
    <col width="15" customWidth="1" min="3" max="3"/>
    <col width="39" customWidth="1" min="4" max="4"/>
    <col width="50" customWidth="1" min="5" max="5"/>
    <col width="18" customWidth="1" min="6" max="6"/>
    <col width="42" customWidth="1" min="7" max="7"/>
    <col width="20" customWidth="1" min="8" max="8"/>
    <col width="28" customWidth="1" min="9" max="9"/>
    <col width="22" customWidth="1" min="10" max="10"/>
    <col width="11" customWidth="1" min="11" max="11"/>
    <col width="18" customWidth="1" min="12" max="12"/>
    <col width="50" customWidth="1" min="13" max="13"/>
    <col width="13"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KARYA PUTRA GEMILANG</t>
        </is>
      </c>
      <c r="B2" t="inlineStr">
        <is>
          <t>Kab. Bekasi</t>
        </is>
      </c>
      <c r="C2" t="inlineStr">
        <is>
          <t>02182697965</t>
        </is>
      </c>
      <c r="D2" t="inlineStr">
        <is>
          <t>karyaputra.kpg@gmail.com</t>
        </is>
      </c>
      <c r="E2" t="inlineStr">
        <is>
          <t>https://lpjk.pu.go.id/search-badan-usaha-detail/QlRYdm5XbGJtem96U3RHbjRmRXExZz09</t>
        </is>
      </c>
      <c r="F2" t="n">
        <v>1</v>
      </c>
      <c r="G2" t="inlineStr">
        <is>
          <t>IN008</t>
        </is>
      </c>
      <c r="H2" t="inlineStr">
        <is>
          <t>7 April 2005</t>
        </is>
      </c>
      <c r="I2" s="2" t="n">
        <v>46374</v>
      </c>
      <c r="J2" t="inlineStr">
        <is>
          <t>Disetujui</t>
        </is>
      </c>
      <c r="K2" t="n">
        <v>87</v>
      </c>
      <c r="L2" t="inlineStr">
        <is>
          <t>18 Desember 2026</t>
        </is>
      </c>
      <c r="M2" t="inlineStr">
        <is>
          <t>Instalasi Pendingin Dan Ventilasi Udara</t>
        </is>
      </c>
      <c r="N2" t="inlineStr">
        <is>
          <t>Spesialis</t>
        </is>
      </c>
      <c r="O2" t="inlineStr">
        <is>
          <t>20231211</t>
        </is>
      </c>
      <c r="P2" t="inlineStr">
        <is>
          <t>Jawa Barat</t>
        </is>
      </c>
      <c r="Q2" t="inlineStr"/>
    </row>
    <row r="3">
      <c r="A3" t="inlineStr">
        <is>
          <t>RAHEL KARYA EMAS</t>
        </is>
      </c>
      <c r="B3" t="inlineStr">
        <is>
          <t>Kab. Bogor</t>
        </is>
      </c>
      <c r="C3" t="inlineStr">
        <is>
          <t>081317303132</t>
        </is>
      </c>
      <c r="D3" t="inlineStr">
        <is>
          <t>rahelkaryaemas.pt@gmail.com</t>
        </is>
      </c>
      <c r="E3" t="inlineStr">
        <is>
          <t>https://lpjk.pu.go.id/search-badan-usaha-detail/Q1V6YVQ3L2tQZ2VjT2FCYXk0cEFlZz09</t>
        </is>
      </c>
      <c r="F3" t="n">
        <v>2</v>
      </c>
      <c r="G3" t="inlineStr">
        <is>
          <t>BG002, BG009</t>
        </is>
      </c>
      <c r="H3" t="inlineStr">
        <is>
          <t>6 Oktober 2005</t>
        </is>
      </c>
      <c r="I3" s="2" t="n">
        <v>46374</v>
      </c>
      <c r="J3" t="inlineStr">
        <is>
          <t>Pembekuan</t>
        </is>
      </c>
      <c r="K3" t="n">
        <v>87</v>
      </c>
      <c r="L3" t="inlineStr">
        <is>
          <t>18 Desember 2026</t>
        </is>
      </c>
      <c r="M3" t="inlineStr">
        <is>
          <t>Konstruksi Gedung Lainnya, Konstruksi Gedung Perkantoran</t>
        </is>
      </c>
      <c r="N3" t="inlineStr">
        <is>
          <t>M</t>
        </is>
      </c>
      <c r="O3" t="inlineStr">
        <is>
          <t>20231207, 20231217</t>
        </is>
      </c>
      <c r="P3" t="inlineStr">
        <is>
          <t>Jawa Barat</t>
        </is>
      </c>
      <c r="Q3" s="3">
        <f>HYPERLINK("https://wa.me/6281317303132?text=Selamat siang Bapak/Ibu pimpinan RAHEL KARYA EMAS,%0A%0ASemoga Bapak/Ibu dalam keadaan baik.%0ABerdasarkan data LPJK, masa berlaku SBU perusahaan Bapak/Ibu akan berakhir sekitar 3 bulan lagi (pada 18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ADHIE JAYA MUKTI</t>
        </is>
      </c>
      <c r="B4" t="inlineStr">
        <is>
          <t>Kab. Jepara</t>
        </is>
      </c>
      <c r="C4" t="inlineStr">
        <is>
          <t>082328208453</t>
        </is>
      </c>
      <c r="D4" t="inlineStr">
        <is>
          <t>adhiejayamukti@gmail.com</t>
        </is>
      </c>
      <c r="E4" t="inlineStr">
        <is>
          <t>https://lpjk.pu.go.id/search-badan-usaha-detail/Nk8xM2FWMWt0TXN1Mjd6R2VzN1B6V1pLNzVXQXBJVnRtQmpDOEdvaGhCUT0</t>
        </is>
      </c>
      <c r="F4" t="n">
        <v>1</v>
      </c>
      <c r="G4" t="inlineStr">
        <is>
          <t>BS006</t>
        </is>
      </c>
      <c r="H4" t="inlineStr">
        <is>
          <t>18 November 2025</t>
        </is>
      </c>
      <c r="I4" s="2" t="n">
        <v>46374</v>
      </c>
      <c r="J4" t="inlineStr">
        <is>
          <t>Disetujui</t>
        </is>
      </c>
      <c r="K4" t="n">
        <v>87</v>
      </c>
      <c r="L4" t="inlineStr">
        <is>
          <t>18 Desember 2026</t>
        </is>
      </c>
      <c r="M4" t="inlineStr">
        <is>
          <t>Konstruksi Bangunan Sipil Prasarana dan Sarana Sistem Pengolahan Limbah Padat, Cair, dan Gas</t>
        </is>
      </c>
      <c r="N4" t="inlineStr">
        <is>
          <t>K</t>
        </is>
      </c>
      <c r="O4" t="inlineStr">
        <is>
          <t>20231215</t>
        </is>
      </c>
      <c r="P4" t="inlineStr">
        <is>
          <t>Jawa Tengah</t>
        </is>
      </c>
      <c r="Q4" t="inlineStr"/>
    </row>
    <row r="5">
      <c r="A5" t="inlineStr">
        <is>
          <t>AGUNG MORO</t>
        </is>
      </c>
      <c r="B5" t="inlineStr">
        <is>
          <t>Kab. Banyumas</t>
        </is>
      </c>
      <c r="C5" t="inlineStr">
        <is>
          <t>081219619329</t>
        </is>
      </c>
      <c r="D5" t="inlineStr">
        <is>
          <t>cvagungmoro@gmail.com</t>
        </is>
      </c>
      <c r="E5" t="inlineStr">
        <is>
          <t>https://lpjk.pu.go.id/search-badan-usaha-detail/RkZ3bFFvZHQ5WDZxbFRmaVZVbWN6Zz09</t>
        </is>
      </c>
      <c r="F5" t="n">
        <v>2</v>
      </c>
      <c r="G5" t="inlineStr">
        <is>
          <t>BS004</t>
        </is>
      </c>
      <c r="H5" t="inlineStr">
        <is>
          <t>22 Juni 2012</t>
        </is>
      </c>
      <c r="I5" s="2" t="n">
        <v>46374</v>
      </c>
      <c r="J5" t="inlineStr">
        <is>
          <t>Disetujui</t>
        </is>
      </c>
      <c r="K5" t="n">
        <v>87</v>
      </c>
      <c r="L5" t="inlineStr">
        <is>
          <t>18 Desember 2026</t>
        </is>
      </c>
      <c r="M5" t="inlineStr">
        <is>
          <t>Konstruksi Jaringan Irigasi dan Drainase</t>
        </is>
      </c>
      <c r="N5" t="inlineStr">
        <is>
          <t>K</t>
        </is>
      </c>
      <c r="O5" t="inlineStr">
        <is>
          <t>20231120</t>
        </is>
      </c>
      <c r="P5" t="inlineStr">
        <is>
          <t>Jawa Tengah</t>
        </is>
      </c>
      <c r="Q5" t="inlineStr"/>
    </row>
    <row r="6">
      <c r="A6" t="inlineStr">
        <is>
          <t>ANDALAS YASA ENGINEERING</t>
        </is>
      </c>
      <c r="B6" t="inlineStr">
        <is>
          <t>Kota Padang</t>
        </is>
      </c>
      <c r="C6" t="inlineStr">
        <is>
          <t>082392641036</t>
        </is>
      </c>
      <c r="D6" t="inlineStr">
        <is>
          <t>cv.aye227@gmail.com</t>
        </is>
      </c>
      <c r="E6" t="inlineStr">
        <is>
          <t>https://lpjk.pu.go.id/search-badan-usaha-detail/cDBTMGRyTU9CdWZ2Tnk0QlBJUEFXUT09</t>
        </is>
      </c>
      <c r="F6" t="n">
        <v>2</v>
      </c>
      <c r="G6" t="inlineStr">
        <is>
          <t>BG002, BS001</t>
        </is>
      </c>
      <c r="H6" t="inlineStr">
        <is>
          <t>22 Juli 2020</t>
        </is>
      </c>
      <c r="I6" s="2" t="n">
        <v>46374</v>
      </c>
      <c r="J6" t="inlineStr">
        <is>
          <t>Disetujui</t>
        </is>
      </c>
      <c r="K6" t="n">
        <v>87</v>
      </c>
      <c r="L6" t="inlineStr">
        <is>
          <t>18 Desember 2026</t>
        </is>
      </c>
      <c r="M6" t="inlineStr">
        <is>
          <t>Konstruksi Bangunan Sipil Jalan, Konstruksi Gedung Perkantoran</t>
        </is>
      </c>
      <c r="N6" t="inlineStr">
        <is>
          <t>K</t>
        </is>
      </c>
      <c r="O6" t="inlineStr">
        <is>
          <t>20231215, 20231219</t>
        </is>
      </c>
      <c r="P6" t="inlineStr">
        <is>
          <t>Sumatera Barat</t>
        </is>
      </c>
      <c r="Q6" t="inlineStr"/>
    </row>
    <row r="7">
      <c r="A7" t="inlineStr">
        <is>
          <t>ARAS KEMBANG</t>
        </is>
      </c>
      <c r="B7" t="inlineStr">
        <is>
          <t>Kab. Grobogan</t>
        </is>
      </c>
      <c r="C7" t="inlineStr">
        <is>
          <t>085229691188</t>
        </is>
      </c>
      <c r="D7" t="inlineStr">
        <is>
          <t>araskembang44@gmail.com</t>
        </is>
      </c>
      <c r="E7" t="inlineStr">
        <is>
          <t>https://lpjk.pu.go.id/search-badan-usaha-detail/UGE2bCs0YjlwOTdVcHJuWUNseVRLUT09</t>
        </is>
      </c>
      <c r="F7" t="n">
        <v>3</v>
      </c>
      <c r="G7" t="inlineStr">
        <is>
          <t>BG002, BG005, BG006</t>
        </is>
      </c>
      <c r="H7" t="inlineStr">
        <is>
          <t>18 Desember 2023</t>
        </is>
      </c>
      <c r="I7" s="2" t="n">
        <v>46374</v>
      </c>
      <c r="J7" t="inlineStr">
        <is>
          <t>Disetujui</t>
        </is>
      </c>
      <c r="K7" t="n">
        <v>87</v>
      </c>
      <c r="L7" t="inlineStr">
        <is>
          <t>18 Desember 2026</t>
        </is>
      </c>
      <c r="M7" t="inlineStr">
        <is>
          <t>Konstruksi Gedung Kesehatan, Konstruksi Gedung Pendidikan, Konstruksi Gedung Perkantoran</t>
        </is>
      </c>
      <c r="N7" t="inlineStr">
        <is>
          <t>K</t>
        </is>
      </c>
      <c r="O7" t="inlineStr">
        <is>
          <t>20231215, 20231219</t>
        </is>
      </c>
      <c r="P7" t="inlineStr">
        <is>
          <t>Jawa Tengah</t>
        </is>
      </c>
      <c r="Q7" t="inlineStr"/>
    </row>
    <row r="8">
      <c r="A8" t="inlineStr">
        <is>
          <t>ARMEL TEKNIKATAMA INDONESIA</t>
        </is>
      </c>
      <c r="B8" t="inlineStr">
        <is>
          <t>Kab. Garut</t>
        </is>
      </c>
      <c r="C8" t="inlineStr">
        <is>
          <t>0262237578</t>
        </is>
      </c>
      <c r="D8" t="inlineStr">
        <is>
          <t>ptarmelteknikatamaindonesia@gmail.com</t>
        </is>
      </c>
      <c r="E8" t="inlineStr">
        <is>
          <t>https://lpjk.pu.go.id/search-badan-usaha-detail/THJWaWFRaHZ1Y0FXZUpGOEpJWThhUT09</t>
        </is>
      </c>
      <c r="F8" t="n">
        <v>1</v>
      </c>
      <c r="G8" t="inlineStr">
        <is>
          <t>BG006</t>
        </is>
      </c>
      <c r="H8" t="inlineStr">
        <is>
          <t>24 Oktober 2017</t>
        </is>
      </c>
      <c r="I8" s="2" t="n">
        <v>46374</v>
      </c>
      <c r="J8" t="inlineStr">
        <is>
          <t>Pencabutan</t>
        </is>
      </c>
      <c r="K8" t="n">
        <v>87</v>
      </c>
      <c r="L8" t="inlineStr">
        <is>
          <t>18 Desember 2026</t>
        </is>
      </c>
      <c r="M8" t="inlineStr">
        <is>
          <t>Konstruksi Gedung Pendidikan</t>
        </is>
      </c>
      <c r="N8" t="inlineStr">
        <is>
          <t>K</t>
        </is>
      </c>
      <c r="O8" t="inlineStr">
        <is>
          <t>20231212</t>
        </is>
      </c>
      <c r="P8" t="inlineStr">
        <is>
          <t>Jawa Barat</t>
        </is>
      </c>
      <c r="Q8" t="inlineStr"/>
    </row>
    <row r="9">
      <c r="A9" t="inlineStr">
        <is>
          <t>ARTHA GEO INTEGRITAS</t>
        </is>
      </c>
      <c r="B9" t="inlineStr">
        <is>
          <t>Kota Adm. Jakarta Utara</t>
        </is>
      </c>
      <c r="C9" t="inlineStr">
        <is>
          <t>081212992168</t>
        </is>
      </c>
      <c r="D9" t="inlineStr">
        <is>
          <t>arthageo.id@gmail.com</t>
        </is>
      </c>
      <c r="E9" t="inlineStr">
        <is>
          <t>https://lpjk.pu.go.id/search-badan-usaha-detail/WVR4U056WkZId1FLc1NxaXRKMXcyUT09</t>
        </is>
      </c>
      <c r="F9" t="n">
        <v>4</v>
      </c>
      <c r="G9" t="inlineStr">
        <is>
          <t>BS005, BS006, BS010, BS020</t>
        </is>
      </c>
      <c r="H9" t="inlineStr">
        <is>
          <t>4 Agustus 2020</t>
        </is>
      </c>
      <c r="I9" s="2" t="n">
        <v>46374</v>
      </c>
      <c r="J9" t="inlineStr">
        <is>
          <t>Pencabutan</t>
        </is>
      </c>
      <c r="K9" t="n">
        <v>87</v>
      </c>
      <c r="L9" t="inlineStr">
        <is>
          <t>18 Desember 2026</t>
        </is>
      </c>
      <c r="M9" t="inlineStr">
        <is>
          <t>Konstruksi Bangunan Prasarana Sumber Daya Air, Konstruksi Bangunan Sipil Pengolahan Air Bersih, Konstruksi Bangunan Sipil Prasarana dan Sarana Sistem Pengolahan Limbah Padat, Cair, dan Gas, Konstruksi Jaringan Irigasi, Komunikasi, dan Limbah Lainnya</t>
        </is>
      </c>
      <c r="N9" t="inlineStr">
        <is>
          <t>B</t>
        </is>
      </c>
      <c r="O9" t="inlineStr">
        <is>
          <t>20231026, 20231219, 20231221, 20231222</t>
        </is>
      </c>
      <c r="P9" t="inlineStr">
        <is>
          <t>DKI Jakarta</t>
        </is>
      </c>
      <c r="Q9" t="inlineStr"/>
    </row>
    <row r="10">
      <c r="A10" t="inlineStr">
        <is>
          <t>AUDI LESTARI</t>
        </is>
      </c>
      <c r="B10" t="inlineStr">
        <is>
          <t>Kab. Lebak</t>
        </is>
      </c>
      <c r="C10" t="inlineStr">
        <is>
          <t>087881647921</t>
        </is>
      </c>
      <c r="D10" t="inlineStr">
        <is>
          <t>cvaudilestari95@gmail.com</t>
        </is>
      </c>
      <c r="E10" t="inlineStr">
        <is>
          <t>https://lpjk.pu.go.id/search-badan-usaha-detail/Nml0QUJSNFNmTnJpc0gvdGJZZVQydz09</t>
        </is>
      </c>
      <c r="F10" t="n">
        <v>2</v>
      </c>
      <c r="G10" t="inlineStr">
        <is>
          <t>BG006, BS001</t>
        </is>
      </c>
      <c r="H10" t="inlineStr">
        <is>
          <t>26 November 2015</t>
        </is>
      </c>
      <c r="I10" s="2" t="n">
        <v>46374</v>
      </c>
      <c r="J10" t="inlineStr">
        <is>
          <t>Disetujui</t>
        </is>
      </c>
      <c r="K10" t="n">
        <v>87</v>
      </c>
      <c r="L10" t="inlineStr">
        <is>
          <t>18 Desember 2026</t>
        </is>
      </c>
      <c r="M10" t="inlineStr">
        <is>
          <t>Konstruksi Bangunan Sipil Jalan, Konstruksi Gedung Pendidikan</t>
        </is>
      </c>
      <c r="N10" t="inlineStr">
        <is>
          <t>K</t>
        </is>
      </c>
      <c r="O10" t="inlineStr">
        <is>
          <t>20231215</t>
        </is>
      </c>
      <c r="P10" t="inlineStr">
        <is>
          <t>Banten</t>
        </is>
      </c>
      <c r="Q10" t="inlineStr"/>
    </row>
    <row r="11">
      <c r="A11" t="inlineStr">
        <is>
          <t>BAYU MONO SINERGI</t>
        </is>
      </c>
      <c r="B11" t="inlineStr">
        <is>
          <t>Kota Tangerang Selatan</t>
        </is>
      </c>
      <c r="C11" t="inlineStr">
        <is>
          <t>0217445022</t>
        </is>
      </c>
      <c r="D11" t="inlineStr">
        <is>
          <t>bmsinergi101@gmail.com</t>
        </is>
      </c>
      <c r="E11" t="inlineStr">
        <is>
          <t>https://lpjk.pu.go.id/search-badan-usaha-detail/c2JtODViWS9BSmxoMnhxMXNDa2dndz09</t>
        </is>
      </c>
      <c r="F11" t="n">
        <v>1</v>
      </c>
      <c r="G11" t="inlineStr">
        <is>
          <t>BG009</t>
        </is>
      </c>
      <c r="H11" t="inlineStr">
        <is>
          <t>14 Maret 2023</t>
        </is>
      </c>
      <c r="I11" s="2" t="n">
        <v>46374</v>
      </c>
      <c r="J11" t="inlineStr">
        <is>
          <t>Disetujui</t>
        </is>
      </c>
      <c r="K11" t="n">
        <v>87</v>
      </c>
      <c r="L11" t="inlineStr">
        <is>
          <t>18 Desember 2026</t>
        </is>
      </c>
      <c r="M11" t="inlineStr">
        <is>
          <t>Konstruksi Gedung Lainnya</t>
        </is>
      </c>
      <c r="N11" t="inlineStr">
        <is>
          <t>K</t>
        </is>
      </c>
      <c r="O11" t="inlineStr">
        <is>
          <t>20231218</t>
        </is>
      </c>
      <c r="P11" t="inlineStr">
        <is>
          <t>Banten</t>
        </is>
      </c>
      <c r="Q11" t="inlineStr"/>
    </row>
    <row r="12">
      <c r="A12" t="inlineStr">
        <is>
          <t>CAHAYA ABADI</t>
        </is>
      </c>
      <c r="B12" t="inlineStr">
        <is>
          <t>Kab. Sumba Tengah</t>
        </is>
      </c>
      <c r="C12" t="inlineStr">
        <is>
          <t>0813388954515</t>
        </is>
      </c>
      <c r="D12" t="inlineStr">
        <is>
          <t>cv.cahayaabadi19@yahoo.com</t>
        </is>
      </c>
      <c r="E12" t="inlineStr">
        <is>
          <t>https://lpjk.pu.go.id/search-badan-usaha-detail/L0l4cGMzQTYvYkdkVjU1bTgzVktvUT09</t>
        </is>
      </c>
      <c r="F12" t="n">
        <v>1</v>
      </c>
      <c r="G12" t="inlineStr">
        <is>
          <t>BS004</t>
        </is>
      </c>
      <c r="H12" t="inlineStr">
        <is>
          <t>18 Januari 2007</t>
        </is>
      </c>
      <c r="I12" s="2" t="n">
        <v>46374</v>
      </c>
      <c r="J12" t="inlineStr">
        <is>
          <t>Disetujui</t>
        </is>
      </c>
      <c r="K12" t="n">
        <v>87</v>
      </c>
      <c r="L12" t="inlineStr">
        <is>
          <t>18 Desember 2026</t>
        </is>
      </c>
      <c r="M12" t="inlineStr">
        <is>
          <t>Konstruksi Jaringan Irigasi dan Drainase</t>
        </is>
      </c>
      <c r="N12" t="inlineStr">
        <is>
          <t>K</t>
        </is>
      </c>
      <c r="O12" t="inlineStr">
        <is>
          <t>20231208</t>
        </is>
      </c>
      <c r="P12" t="inlineStr">
        <is>
          <t>Nusa Tenggara Timur</t>
        </is>
      </c>
      <c r="Q12" t="inlineStr"/>
    </row>
    <row r="13">
      <c r="A13" t="inlineStr">
        <is>
          <t>CIPTA ABADI</t>
        </is>
      </c>
      <c r="B13" t="inlineStr">
        <is>
          <t>Kota Semarang</t>
        </is>
      </c>
      <c r="C13" t="inlineStr">
        <is>
          <t>085655899964</t>
        </is>
      </c>
      <c r="D13" t="inlineStr">
        <is>
          <t>ciptaabadi73@yahoo.com</t>
        </is>
      </c>
      <c r="E13" t="inlineStr">
        <is>
          <t>https://lpjk.pu.go.id/search-badan-usaha-detail/dmJiQUsrVStaRitiM1pFcUFsK3ZkQT09</t>
        </is>
      </c>
      <c r="F13" t="n">
        <v>10</v>
      </c>
      <c r="G13" t="inlineStr">
        <is>
          <t>BG001, BG002, BG005, BG006, BG009</t>
        </is>
      </c>
      <c r="H13" t="inlineStr">
        <is>
          <t>27 September 2013</t>
        </is>
      </c>
      <c r="I13" s="2" t="n">
        <v>46374</v>
      </c>
      <c r="J13" t="inlineStr">
        <is>
          <t>Disetujui</t>
        </is>
      </c>
      <c r="K13" t="n">
        <v>87</v>
      </c>
      <c r="L13" t="inlineStr">
        <is>
          <t>18 Desember 2026</t>
        </is>
      </c>
      <c r="M13" t="inlineStr">
        <is>
          <t>Konstruksi Gedung Hunian, Konstruksi Gedung Kesehatan, Konstruksi Gedung Lainnya, Konstruksi Gedung Pendidikan, Konstruksi Gedung Perkantoran</t>
        </is>
      </c>
      <c r="N13" t="inlineStr">
        <is>
          <t>K</t>
        </is>
      </c>
      <c r="O13" t="inlineStr">
        <is>
          <t>20231027</t>
        </is>
      </c>
      <c r="P13" t="inlineStr">
        <is>
          <t>Jawa Tengah</t>
        </is>
      </c>
      <c r="Q13" t="inlineStr"/>
    </row>
    <row r="14">
      <c r="A14" t="inlineStr">
        <is>
          <t>CIPTA MITRA KONTRAKTOR</t>
        </is>
      </c>
      <c r="B14" t="inlineStr">
        <is>
          <t>Kab. Pasaman</t>
        </is>
      </c>
      <c r="C14" t="inlineStr">
        <is>
          <t>081371183780</t>
        </is>
      </c>
      <c r="D14" t="inlineStr">
        <is>
          <t>ciptamitrakont@gmail.com</t>
        </is>
      </c>
      <c r="E14" t="inlineStr">
        <is>
          <t>https://lpjk.pu.go.id/search-badan-usaha-detail/VzdKQVdNRWZobjBpL0xFR0dRY0Jxdz09</t>
        </is>
      </c>
      <c r="F14" t="n">
        <v>12</v>
      </c>
      <c r="G14" t="inlineStr">
        <is>
          <t>BG002, BG005, BG006, BS001, BS004, BS010</t>
        </is>
      </c>
      <c r="H14" t="inlineStr">
        <is>
          <t>20 Februari 1999</t>
        </is>
      </c>
      <c r="I14" s="2" t="n">
        <v>46374</v>
      </c>
      <c r="J14" t="inlineStr">
        <is>
          <t>Disetujui</t>
        </is>
      </c>
      <c r="K14" t="n">
        <v>87</v>
      </c>
      <c r="L14" t="inlineStr">
        <is>
          <t>18 Desember 2026</t>
        </is>
      </c>
      <c r="M14" t="inlineStr">
        <is>
          <t>Konstruksi Bangunan Prasarana Sumber Daya Air, Konstruksi Bangunan Sipil Jalan, Konstruksi Gedung Kesehatan, Konstruksi Gedung Pendidikan, Konstruksi Gedung Perkantoran, Konstruksi Jaringan Irigasi dan Drainase</t>
        </is>
      </c>
      <c r="N14" t="inlineStr">
        <is>
          <t>K</t>
        </is>
      </c>
      <c r="O14" t="inlineStr">
        <is>
          <t>20231213</t>
        </is>
      </c>
      <c r="P14" t="inlineStr">
        <is>
          <t>Sumatera Barat</t>
        </is>
      </c>
      <c r="Q14" t="inlineStr"/>
    </row>
    <row r="15">
      <c r="A15" t="inlineStr">
        <is>
          <t>CITRA JAYA ABADI</t>
        </is>
      </c>
      <c r="B15" t="inlineStr">
        <is>
          <t>Kab. Blitar</t>
        </is>
      </c>
      <c r="C15" t="inlineStr">
        <is>
          <t>085794343626</t>
        </is>
      </c>
      <c r="D15" t="inlineStr">
        <is>
          <t>citra.jayaabadi2022@gmail.com</t>
        </is>
      </c>
      <c r="E15" t="inlineStr">
        <is>
          <t>https://lpjk.pu.go.id/search-badan-usaha-detail/cHVuNTNIK1BEVHY5UDFxeGl1dTdHQT09</t>
        </is>
      </c>
      <c r="F15" t="n">
        <v>2</v>
      </c>
      <c r="G15" t="inlineStr">
        <is>
          <t>BS001, BS004</t>
        </is>
      </c>
      <c r="H15" t="inlineStr">
        <is>
          <t>22 Mei 2017</t>
        </is>
      </c>
      <c r="I15" s="2" t="n">
        <v>46374</v>
      </c>
      <c r="J15" t="inlineStr">
        <is>
          <t>Disetujui</t>
        </is>
      </c>
      <c r="K15" t="n">
        <v>87</v>
      </c>
      <c r="L15" t="inlineStr">
        <is>
          <t>18 Desember 2026</t>
        </is>
      </c>
      <c r="M15" t="inlineStr">
        <is>
          <t>Konstruksi Bangunan Sipil Jalan, Konstruksi Jaringan Irigasi dan Drainase</t>
        </is>
      </c>
      <c r="N15" t="inlineStr">
        <is>
          <t>K</t>
        </is>
      </c>
      <c r="O15" t="inlineStr">
        <is>
          <t>20231214</t>
        </is>
      </c>
      <c r="P15" t="inlineStr">
        <is>
          <t>Jawa Timur</t>
        </is>
      </c>
      <c r="Q15" t="inlineStr"/>
    </row>
    <row r="16">
      <c r="A16" t="inlineStr">
        <is>
          <t>DEWI ANDAYANI</t>
        </is>
      </c>
      <c r="B16" t="inlineStr">
        <is>
          <t>Kab. Lombok Timur</t>
        </is>
      </c>
      <c r="C16" t="inlineStr">
        <is>
          <t>081997885601</t>
        </is>
      </c>
      <c r="D16" t="inlineStr">
        <is>
          <t>dewiandayanicv@gmail.com</t>
        </is>
      </c>
      <c r="E16" t="inlineStr">
        <is>
          <t>https://lpjk.pu.go.id/search-badan-usaha-detail/RnpZOVU5STdpdFVqRG9Pdk9WV3g0Zz09</t>
        </is>
      </c>
      <c r="F16" t="n">
        <v>2</v>
      </c>
      <c r="G16" t="inlineStr">
        <is>
          <t>BG005, BG009</t>
        </is>
      </c>
      <c r="H16" t="inlineStr">
        <is>
          <t>18 Juli 2001</t>
        </is>
      </c>
      <c r="I16" s="2" t="n">
        <v>46374</v>
      </c>
      <c r="J16" t="inlineStr">
        <is>
          <t>Disetujui</t>
        </is>
      </c>
      <c r="K16" t="n">
        <v>87</v>
      </c>
      <c r="L16" t="inlineStr">
        <is>
          <t>18 Desember 2026</t>
        </is>
      </c>
      <c r="M16" t="inlineStr">
        <is>
          <t>Konstruksi Gedung Kesehatan, Konstruksi Gedung Lainnya</t>
        </is>
      </c>
      <c r="N16" t="inlineStr">
        <is>
          <t>K</t>
        </is>
      </c>
      <c r="O16" t="inlineStr">
        <is>
          <t>20231207</t>
        </is>
      </c>
      <c r="P16" t="inlineStr">
        <is>
          <t>Nusa Tenggara Barat</t>
        </is>
      </c>
      <c r="Q16" t="inlineStr"/>
    </row>
    <row r="17">
      <c r="A17" t="inlineStr">
        <is>
          <t>DINAMIKA FURINDO NUSANTARA</t>
        </is>
      </c>
      <c r="B17" t="inlineStr">
        <is>
          <t>Kota Medan</t>
        </is>
      </c>
      <c r="C17" t="inlineStr">
        <is>
          <t>061-8442748</t>
        </is>
      </c>
      <c r="D17" t="inlineStr">
        <is>
          <t>dfn@dfn-construction.com</t>
        </is>
      </c>
      <c r="E17" t="inlineStr">
        <is>
          <t>https://lpjk.pu.go.id/search-badan-usaha-detail/azFNSlZkYW5EeHVaVzNTUEFmSmwrdz09</t>
        </is>
      </c>
      <c r="F17" t="n">
        <v>2</v>
      </c>
      <c r="G17" t="inlineStr">
        <is>
          <t>BG003</t>
        </is>
      </c>
      <c r="H17" t="inlineStr">
        <is>
          <t>10 Mei 2010</t>
        </is>
      </c>
      <c r="I17" s="2" t="n">
        <v>46374</v>
      </c>
      <c r="J17" t="inlineStr">
        <is>
          <t>Pembekuan</t>
        </is>
      </c>
      <c r="K17" t="n">
        <v>87</v>
      </c>
      <c r="L17" t="inlineStr">
        <is>
          <t>18 Desember 2026</t>
        </is>
      </c>
      <c r="M17" t="inlineStr">
        <is>
          <t>Konstruksi Gedung Industri</t>
        </is>
      </c>
      <c r="N17" t="inlineStr">
        <is>
          <t>M</t>
        </is>
      </c>
      <c r="O17" t="inlineStr">
        <is>
          <t>20231201</t>
        </is>
      </c>
      <c r="P17" t="inlineStr">
        <is>
          <t>Sumatera Utara</t>
        </is>
      </c>
      <c r="Q17" t="inlineStr"/>
    </row>
    <row r="18">
      <c r="A18" t="inlineStr">
        <is>
          <t>FAJAR KENCANA</t>
        </is>
      </c>
      <c r="B18" t="inlineStr">
        <is>
          <t>Kota Samarinda</t>
        </is>
      </c>
      <c r="C18" t="inlineStr">
        <is>
          <t>081236577253</t>
        </is>
      </c>
      <c r="D18" t="inlineStr">
        <is>
          <t>fajarkencanacv@gmail.com</t>
        </is>
      </c>
      <c r="E18" t="inlineStr">
        <is>
          <t>https://lpjk.pu.go.id/search-badan-usaha-detail/OXF5N2tPdzcxZU11dDZvR3FoQmN4Zz09</t>
        </is>
      </c>
      <c r="F18" t="n">
        <v>1</v>
      </c>
      <c r="G18" t="inlineStr">
        <is>
          <t>BS010</t>
        </is>
      </c>
      <c r="H18" t="inlineStr">
        <is>
          <t>27 Februari 2019</t>
        </is>
      </c>
      <c r="I18" s="2" t="n">
        <v>46374</v>
      </c>
      <c r="J18" t="inlineStr">
        <is>
          <t>Pencabutan</t>
        </is>
      </c>
      <c r="K18" t="n">
        <v>87</v>
      </c>
      <c r="L18" t="inlineStr">
        <is>
          <t>18 Desember 2026</t>
        </is>
      </c>
      <c r="M18" t="inlineStr">
        <is>
          <t>Konstruksi Bangunan Prasarana Sumber Daya Air</t>
        </is>
      </c>
      <c r="N18" t="inlineStr">
        <is>
          <t>K</t>
        </is>
      </c>
      <c r="O18" t="inlineStr">
        <is>
          <t>20231217</t>
        </is>
      </c>
      <c r="P18" t="inlineStr">
        <is>
          <t>Kalimantan Timur</t>
        </is>
      </c>
      <c r="Q18" t="inlineStr"/>
    </row>
    <row r="19">
      <c r="A19" t="inlineStr">
        <is>
          <t>FIRATEKNISINDO</t>
        </is>
      </c>
      <c r="B19" t="inlineStr">
        <is>
          <t>Kab. Kubu Raya</t>
        </is>
      </c>
      <c r="C19" t="inlineStr">
        <is>
          <t>081351502059</t>
        </is>
      </c>
      <c r="D19" t="inlineStr">
        <is>
          <t>firateknisindo@yahoo.co.id</t>
        </is>
      </c>
      <c r="E19" t="inlineStr">
        <is>
          <t>https://lpjk.pu.go.id/search-badan-usaha-detail/Q2gxcFlyMVpFWUlzRm5SWkdRQWZGdz09</t>
        </is>
      </c>
      <c r="F19" t="n">
        <v>1</v>
      </c>
      <c r="G19" t="inlineStr">
        <is>
          <t>BG006</t>
        </is>
      </c>
      <c r="H19" t="inlineStr">
        <is>
          <t>24 September 2008</t>
        </is>
      </c>
      <c r="I19" s="2" t="n">
        <v>46374</v>
      </c>
      <c r="J19" t="inlineStr">
        <is>
          <t>Disetujui</t>
        </is>
      </c>
      <c r="K19" t="n">
        <v>87</v>
      </c>
      <c r="L19" t="inlineStr">
        <is>
          <t>18 Desember 2026</t>
        </is>
      </c>
      <c r="M19" t="inlineStr">
        <is>
          <t>Konstruksi Gedung Pendidikan</t>
        </is>
      </c>
      <c r="N19" t="inlineStr">
        <is>
          <t>K</t>
        </is>
      </c>
      <c r="O19" t="inlineStr">
        <is>
          <t>20231213</t>
        </is>
      </c>
      <c r="P19" t="inlineStr">
        <is>
          <t>Kalimantan Barat</t>
        </is>
      </c>
      <c r="Q19" t="inlineStr"/>
    </row>
    <row r="20">
      <c r="A20" t="inlineStr">
        <is>
          <t>GOLDEN MOON ENGINEERING</t>
        </is>
      </c>
      <c r="B20" t="inlineStr">
        <is>
          <t>Kota Cirebon</t>
        </is>
      </c>
      <c r="C20" t="inlineStr">
        <is>
          <t>085727133626</t>
        </is>
      </c>
      <c r="D20" t="inlineStr">
        <is>
          <t>pt.golden.moon.engineering@gmail.com</t>
        </is>
      </c>
      <c r="E20" t="inlineStr">
        <is>
          <t>https://lpjk.pu.go.id/search-badan-usaha-detail/T2c3UGtJejh0ZUpLbm93S0w4WCs5Zz09</t>
        </is>
      </c>
      <c r="F20" t="n">
        <v>2</v>
      </c>
      <c r="G20" t="inlineStr">
        <is>
          <t>BG003</t>
        </is>
      </c>
      <c r="H20" t="inlineStr">
        <is>
          <t>11 September 2023</t>
        </is>
      </c>
      <c r="I20" s="2" t="n">
        <v>46374</v>
      </c>
      <c r="J20" t="inlineStr">
        <is>
          <t>Disetujui</t>
        </is>
      </c>
      <c r="K20" t="n">
        <v>87</v>
      </c>
      <c r="L20" t="inlineStr">
        <is>
          <t>18 Desember 2026</t>
        </is>
      </c>
      <c r="M20" t="inlineStr">
        <is>
          <t>Konstruksi Gedung Industri</t>
        </is>
      </c>
      <c r="N20" t="inlineStr">
        <is>
          <t>K</t>
        </is>
      </c>
      <c r="O20" t="inlineStr">
        <is>
          <t>20231205</t>
        </is>
      </c>
      <c r="P20" t="inlineStr">
        <is>
          <t>Jawa Barat</t>
        </is>
      </c>
      <c r="Q20" t="inlineStr"/>
    </row>
    <row r="21">
      <c r="A21" t="inlineStr">
        <is>
          <t>HANANDITA HUTAMA</t>
        </is>
      </c>
      <c r="B21" t="inlineStr">
        <is>
          <t>Kab. Pati</t>
        </is>
      </c>
      <c r="C21" t="inlineStr">
        <is>
          <t>081327313666</t>
        </is>
      </c>
      <c r="D21" t="inlineStr">
        <is>
          <t>hanandita.hutama@gmail.com</t>
        </is>
      </c>
      <c r="E21" t="inlineStr">
        <is>
          <t>https://lpjk.pu.go.id/search-badan-usaha-detail/Z2NZeUZ6ajZqUENQV3N4SHpaU2g3dz09</t>
        </is>
      </c>
      <c r="F21" t="n">
        <v>3</v>
      </c>
      <c r="G21" t="inlineStr">
        <is>
          <t>BG001, BG002, BG004</t>
        </is>
      </c>
      <c r="H21" t="inlineStr">
        <is>
          <t>21 Juli 2016</t>
        </is>
      </c>
      <c r="I21" s="2" t="n">
        <v>46374</v>
      </c>
      <c r="J21" t="inlineStr">
        <is>
          <t>Disetujui</t>
        </is>
      </c>
      <c r="K21" t="n">
        <v>87</v>
      </c>
      <c r="L21" t="inlineStr">
        <is>
          <t>18 Desember 2026</t>
        </is>
      </c>
      <c r="M21" t="inlineStr">
        <is>
          <t>Konstruksi Gedung Hunian, Konstruksi Gedung Perbelanjaan, Konstruksi Gedung Perkantoran</t>
        </is>
      </c>
      <c r="N21" t="inlineStr">
        <is>
          <t>K</t>
        </is>
      </c>
      <c r="O21" t="inlineStr">
        <is>
          <t>20231208</t>
        </is>
      </c>
      <c r="P21" t="inlineStr">
        <is>
          <t>Jawa Tengah</t>
        </is>
      </c>
      <c r="Q21" t="inlineStr"/>
    </row>
    <row r="22">
      <c r="A22" t="inlineStr">
        <is>
          <t>INDONESIA FERRY PROPERTI</t>
        </is>
      </c>
      <c r="B22" t="inlineStr">
        <is>
          <t>Kota Adm. Jakarta Pusat</t>
        </is>
      </c>
      <c r="C22" t="inlineStr">
        <is>
          <t>0213105164</t>
        </is>
      </c>
      <c r="D22" t="inlineStr">
        <is>
          <t>contact@ifpro.co.id</t>
        </is>
      </c>
      <c r="E22" t="inlineStr">
        <is>
          <t>https://lpjk.pu.go.id/search-badan-usaha-detail/bFFGLzZWRUs5SlpmSGp2a1RPRjJYdz09</t>
        </is>
      </c>
      <c r="F22" t="n">
        <v>2</v>
      </c>
      <c r="G22" t="inlineStr">
        <is>
          <t>PB004</t>
        </is>
      </c>
      <c r="H22" t="inlineStr">
        <is>
          <t>10 Agustus 2022</t>
        </is>
      </c>
      <c r="I22" s="2" t="n">
        <v>46374</v>
      </c>
      <c r="J22" t="inlineStr">
        <is>
          <t>Disetujui</t>
        </is>
      </c>
      <c r="K22" t="n">
        <v>87</v>
      </c>
      <c r="L22" t="inlineStr">
        <is>
          <t>18 Desember 2026</t>
        </is>
      </c>
      <c r="M22" t="inlineStr">
        <is>
          <t>Dekorasi Interior</t>
        </is>
      </c>
      <c r="N22" t="inlineStr">
        <is>
          <t>Spesialis</t>
        </is>
      </c>
      <c r="O22" t="inlineStr">
        <is>
          <t>20231216</t>
        </is>
      </c>
      <c r="P22" t="inlineStr">
        <is>
          <t>DKI Jakarta</t>
        </is>
      </c>
      <c r="Q22" t="inlineStr"/>
    </row>
    <row r="23">
      <c r="A23" t="inlineStr">
        <is>
          <t>JAJA CONSTRUCTION</t>
        </is>
      </c>
      <c r="B23" t="inlineStr">
        <is>
          <t>Kab. Purwakarta</t>
        </is>
      </c>
      <c r="C23" t="inlineStr">
        <is>
          <t>087779960069</t>
        </is>
      </c>
      <c r="D23" t="inlineStr">
        <is>
          <t>jajaconstruction2019@gmail.com</t>
        </is>
      </c>
      <c r="E23" t="inlineStr">
        <is>
          <t>https://lpjk.pu.go.id/search-badan-usaha-detail/aC9iRUx5eERPUE1vYWNJM0lEVFdaUT09</t>
        </is>
      </c>
      <c r="F23" t="n">
        <v>1</v>
      </c>
      <c r="G23" t="inlineStr">
        <is>
          <t>BS001</t>
        </is>
      </c>
      <c r="H23" t="inlineStr">
        <is>
          <t>9 November 2023</t>
        </is>
      </c>
      <c r="I23" s="2" t="n">
        <v>46374</v>
      </c>
      <c r="J23" t="inlineStr">
        <is>
          <t>Disetujui</t>
        </is>
      </c>
      <c r="K23" t="n">
        <v>87</v>
      </c>
      <c r="L23" t="inlineStr">
        <is>
          <t>18 Desember 2026</t>
        </is>
      </c>
      <c r="M23" t="inlineStr">
        <is>
          <t>Konstruksi Bangunan Sipil Jalan</t>
        </is>
      </c>
      <c r="N23" t="inlineStr">
        <is>
          <t>K</t>
        </is>
      </c>
      <c r="O23" t="inlineStr">
        <is>
          <t>20231218</t>
        </is>
      </c>
      <c r="P23" t="inlineStr">
        <is>
          <t>Jawa Barat</t>
        </is>
      </c>
      <c r="Q23" t="inlineStr"/>
    </row>
    <row r="24">
      <c r="A24" t="inlineStr">
        <is>
          <t>KARYA USAHA ABADI</t>
        </is>
      </c>
      <c r="B24" t="inlineStr">
        <is>
          <t>Kota Banda Aceh</t>
        </is>
      </c>
      <c r="C24" t="inlineStr">
        <is>
          <t>082225510012</t>
        </is>
      </c>
      <c r="D24" t="inlineStr">
        <is>
          <t>karyausahaabadi.cv@gmail.com</t>
        </is>
      </c>
      <c r="E24" t="inlineStr">
        <is>
          <t>https://lpjk.pu.go.id/search-badan-usaha-detail/UitocUpWTVRpeXNQRlpneldQUXlSUT09</t>
        </is>
      </c>
      <c r="F24" t="n">
        <v>5</v>
      </c>
      <c r="G24" t="inlineStr">
        <is>
          <t>BG001, BG002, BG006, BG008, BG009</t>
        </is>
      </c>
      <c r="H24" t="inlineStr">
        <is>
          <t>7 Desember 2023</t>
        </is>
      </c>
      <c r="I24" s="2" t="n">
        <v>46374</v>
      </c>
      <c r="J24" t="inlineStr">
        <is>
          <t>Disetujui</t>
        </is>
      </c>
      <c r="K24" t="n">
        <v>87</v>
      </c>
      <c r="L24" t="inlineStr">
        <is>
          <t>18 Desember 2026</t>
        </is>
      </c>
      <c r="M24" t="inlineStr">
        <is>
          <t>Konstruksi Gedung Hunian, Konstruksi Gedung Lainnya, Konstruksi Gedung Pendidikan, Konstruksi Gedung Perkantoran, Konstruksi Gedung Tempat Hiburan dan Olahraga</t>
        </is>
      </c>
      <c r="N24" t="inlineStr">
        <is>
          <t>K</t>
        </is>
      </c>
      <c r="O24" t="inlineStr">
        <is>
          <t>20231211, 20231218</t>
        </is>
      </c>
      <c r="P24" t="inlineStr">
        <is>
          <t>Aceh</t>
        </is>
      </c>
      <c r="Q24" t="inlineStr"/>
    </row>
    <row r="25">
      <c r="A25" t="inlineStr">
        <is>
          <t>KHARISMA JAYA</t>
        </is>
      </c>
      <c r="B25" t="inlineStr">
        <is>
          <t>Kota Semarang</t>
        </is>
      </c>
      <c r="C25" t="inlineStr">
        <is>
          <t>081325414657</t>
        </is>
      </c>
      <c r="D25" t="inlineStr">
        <is>
          <t>kharismajaya97@gmail.com</t>
        </is>
      </c>
      <c r="E25" t="inlineStr">
        <is>
          <t>https://lpjk.pu.go.id/search-badan-usaha-detail/eFRXTXNhVVpRZEJWNjgyUEpxMnZrUT09</t>
        </is>
      </c>
      <c r="F25" t="n">
        <v>4</v>
      </c>
      <c r="G25" t="inlineStr">
        <is>
          <t>BS001, BS004</t>
        </is>
      </c>
      <c r="H25" t="inlineStr">
        <is>
          <t>1 September 2015</t>
        </is>
      </c>
      <c r="I25" s="2" t="n">
        <v>46374</v>
      </c>
      <c r="J25" t="inlineStr">
        <is>
          <t>Disetujui</t>
        </is>
      </c>
      <c r="K25" t="n">
        <v>87</v>
      </c>
      <c r="L25" t="inlineStr">
        <is>
          <t>18 Desember 2026</t>
        </is>
      </c>
      <c r="M25" t="inlineStr">
        <is>
          <t>Konstruksi Bangunan Sipil Jalan, Konstruksi Jaringan Irigasi dan Drainase</t>
        </is>
      </c>
      <c r="N25" t="inlineStr">
        <is>
          <t>K</t>
        </is>
      </c>
      <c r="O25" t="inlineStr">
        <is>
          <t>20231213</t>
        </is>
      </c>
      <c r="P25" t="inlineStr">
        <is>
          <t>Jawa Tengah</t>
        </is>
      </c>
      <c r="Q25" t="inlineStr"/>
    </row>
    <row r="26">
      <c r="A26" t="inlineStr">
        <is>
          <t>KURNIA WISESA ABADI</t>
        </is>
      </c>
      <c r="B26" t="inlineStr">
        <is>
          <t>Kab. Tangerang</t>
        </is>
      </c>
      <c r="C26" t="inlineStr">
        <is>
          <t>0811893165</t>
        </is>
      </c>
      <c r="D26" t="inlineStr">
        <is>
          <t>kurnia_generation@yahoo.com</t>
        </is>
      </c>
      <c r="E26" t="inlineStr">
        <is>
          <t>https://lpjk.pu.go.id/search-badan-usaha-detail/TFdJbVZrMHRydGw4WG5QWGFCV0lXdz09</t>
        </is>
      </c>
      <c r="F26" t="n">
        <v>2</v>
      </c>
      <c r="G26" t="inlineStr">
        <is>
          <t>BS001, BS004</t>
        </is>
      </c>
      <c r="H26" t="inlineStr">
        <is>
          <t>8 Februari 2002</t>
        </is>
      </c>
      <c r="I26" s="2" t="n">
        <v>46374</v>
      </c>
      <c r="J26" t="inlineStr">
        <is>
          <t>Disetujui</t>
        </is>
      </c>
      <c r="K26" t="n">
        <v>87</v>
      </c>
      <c r="L26" t="inlineStr">
        <is>
          <t>18 Desember 2026</t>
        </is>
      </c>
      <c r="M26" t="inlineStr">
        <is>
          <t>Konstruksi Bangunan Sipil Jalan, Konstruksi Jaringan Irigasi dan Drainase</t>
        </is>
      </c>
      <c r="N26" t="inlineStr">
        <is>
          <t>K</t>
        </is>
      </c>
      <c r="O26" t="inlineStr">
        <is>
          <t>20231213</t>
        </is>
      </c>
      <c r="P26" t="inlineStr">
        <is>
          <t>Banten</t>
        </is>
      </c>
      <c r="Q26" t="inlineStr"/>
    </row>
    <row r="27">
      <c r="A27" t="inlineStr">
        <is>
          <t>MAHAKARYA CITRA</t>
        </is>
      </c>
      <c r="B27" t="inlineStr">
        <is>
          <t>Kab. Bandung</t>
        </is>
      </c>
      <c r="C27" t="inlineStr">
        <is>
          <t>081320117662</t>
        </is>
      </c>
      <c r="D27" t="inlineStr">
        <is>
          <t>mahakaryacitra.cv@gmail.com</t>
        </is>
      </c>
      <c r="E27" t="inlineStr">
        <is>
          <t>https://lpjk.pu.go.id/search-badan-usaha-detail/a3ZYZ0hUalZCVWpncWozR0FiKzhvZz09</t>
        </is>
      </c>
      <c r="F27" t="n">
        <v>3</v>
      </c>
      <c r="G27" t="inlineStr">
        <is>
          <t>BG006</t>
        </is>
      </c>
      <c r="H27" t="inlineStr">
        <is>
          <t>25 Juli 1991</t>
        </is>
      </c>
      <c r="I27" s="2" t="n">
        <v>46374</v>
      </c>
      <c r="J27" t="inlineStr">
        <is>
          <t>Disetujui</t>
        </is>
      </c>
      <c r="K27" t="n">
        <v>87</v>
      </c>
      <c r="L27" t="inlineStr">
        <is>
          <t>18 Desember 2026</t>
        </is>
      </c>
      <c r="M27" t="inlineStr">
        <is>
          <t>Konstruksi Gedung Pendidikan</t>
        </is>
      </c>
      <c r="N27" t="inlineStr">
        <is>
          <t>K</t>
        </is>
      </c>
      <c r="O27" t="inlineStr">
        <is>
          <t>20231214</t>
        </is>
      </c>
      <c r="P27" t="inlineStr">
        <is>
          <t>Jawa Barat</t>
        </is>
      </c>
      <c r="Q27" t="inlineStr"/>
    </row>
    <row r="28">
      <c r="A28" t="inlineStr">
        <is>
          <t>MATA AIR REALTY</t>
        </is>
      </c>
      <c r="B28" t="inlineStr">
        <is>
          <t>Kota Adm. Jakarta Pusat</t>
        </is>
      </c>
      <c r="C28" t="inlineStr">
        <is>
          <t>02125558571</t>
        </is>
      </c>
      <c r="D28" t="inlineStr">
        <is>
          <t>sekretariat@mataair.id</t>
        </is>
      </c>
      <c r="E28" t="inlineStr">
        <is>
          <t>https://lpjk.pu.go.id/search-badan-usaha-detail/OWRVWitsK0VEZzlPUEphQ2MvSUVGQT09</t>
        </is>
      </c>
      <c r="F28" t="n">
        <v>1</v>
      </c>
      <c r="G28" t="inlineStr">
        <is>
          <t>BG001</t>
        </is>
      </c>
      <c r="H28" t="inlineStr">
        <is>
          <t>6 Januari 2006</t>
        </is>
      </c>
      <c r="I28" s="2" t="n">
        <v>46374</v>
      </c>
      <c r="J28" t="inlineStr">
        <is>
          <t>Disetujui</t>
        </is>
      </c>
      <c r="K28" t="n">
        <v>87</v>
      </c>
      <c r="L28" t="inlineStr">
        <is>
          <t>18 Desember 2026</t>
        </is>
      </c>
      <c r="M28" t="inlineStr">
        <is>
          <t>Konstruksi Gedung Hunian</t>
        </is>
      </c>
      <c r="N28" t="inlineStr">
        <is>
          <t>K</t>
        </is>
      </c>
      <c r="O28" t="inlineStr">
        <is>
          <t>20231207</t>
        </is>
      </c>
      <c r="P28" t="inlineStr">
        <is>
          <t>DKI Jakarta</t>
        </is>
      </c>
      <c r="Q28" t="inlineStr"/>
    </row>
    <row r="29">
      <c r="A29" t="inlineStr">
        <is>
          <t>MECHA ANGGA CIPTA</t>
        </is>
      </c>
      <c r="B29" t="inlineStr">
        <is>
          <t>Kab. Purwakarta</t>
        </is>
      </c>
      <c r="C29" t="inlineStr">
        <is>
          <t>082114278075</t>
        </is>
      </c>
      <c r="D29" t="inlineStr">
        <is>
          <t>pt.mechaanggacipta@gmail.com</t>
        </is>
      </c>
      <c r="E29" t="inlineStr">
        <is>
          <t>https://lpjk.pu.go.id/search-badan-usaha-detail/dC9CTHNtK0VpaUhGbnpGS21oOTFJdz09</t>
        </is>
      </c>
      <c r="F29" t="n">
        <v>2</v>
      </c>
      <c r="G29" t="inlineStr">
        <is>
          <t>BG003, BG009</t>
        </is>
      </c>
      <c r="H29" t="inlineStr">
        <is>
          <t>6 Desember 2004</t>
        </is>
      </c>
      <c r="I29" s="2" t="n">
        <v>46374</v>
      </c>
      <c r="J29" t="inlineStr">
        <is>
          <t>Disetujui</t>
        </is>
      </c>
      <c r="K29" t="n">
        <v>87</v>
      </c>
      <c r="L29" t="inlineStr">
        <is>
          <t>18 Desember 2026</t>
        </is>
      </c>
      <c r="M29" t="inlineStr">
        <is>
          <t>Konstruksi Gedung Industri, Konstruksi Gedung Lainnya</t>
        </is>
      </c>
      <c r="N29" t="inlineStr">
        <is>
          <t>K</t>
        </is>
      </c>
      <c r="O29" t="inlineStr">
        <is>
          <t>20231215</t>
        </is>
      </c>
      <c r="P29" t="inlineStr">
        <is>
          <t>Jawa Barat</t>
        </is>
      </c>
      <c r="Q29" t="inlineStr"/>
    </row>
    <row r="30">
      <c r="A30" t="inlineStr">
        <is>
          <t>METAL GROUP CONSTRUCTION</t>
        </is>
      </c>
      <c r="B30" t="inlineStr">
        <is>
          <t>Kota Semarang</t>
        </is>
      </c>
      <c r="C30" t="inlineStr">
        <is>
          <t>08112666886</t>
        </is>
      </c>
      <c r="D30" t="inlineStr">
        <is>
          <t>metalgroupconstruction2018@gmail.com</t>
        </is>
      </c>
      <c r="E30" t="inlineStr">
        <is>
          <t>https://lpjk.pu.go.id/search-badan-usaha-detail/ZHNsQnhEM204RzJsbys2TDJYNENRZz09</t>
        </is>
      </c>
      <c r="F30" t="n">
        <v>2</v>
      </c>
      <c r="G30" t="inlineStr">
        <is>
          <t>BS010</t>
        </is>
      </c>
      <c r="H30" t="inlineStr">
        <is>
          <t>7 Juni 2018</t>
        </is>
      </c>
      <c r="I30" s="2" t="n">
        <v>46374</v>
      </c>
      <c r="J30" t="inlineStr">
        <is>
          <t>Disetujui</t>
        </is>
      </c>
      <c r="K30" t="n">
        <v>87</v>
      </c>
      <c r="L30" t="inlineStr">
        <is>
          <t>18 Desember 2026</t>
        </is>
      </c>
      <c r="M30" t="inlineStr">
        <is>
          <t>Konstruksi Bangunan Prasarana Sumber Daya Air</t>
        </is>
      </c>
      <c r="N30" t="inlineStr">
        <is>
          <t>K</t>
        </is>
      </c>
      <c r="O30" t="inlineStr">
        <is>
          <t>20230820</t>
        </is>
      </c>
      <c r="P30" t="inlineStr">
        <is>
          <t>Jawa Tengah</t>
        </is>
      </c>
      <c r="Q30" t="inlineStr"/>
    </row>
    <row r="31">
      <c r="A31" t="inlineStr">
        <is>
          <t>NUR SRIMBANG BERSAUDARA</t>
        </is>
      </c>
      <c r="B31" t="inlineStr">
        <is>
          <t>Kota Dumai</t>
        </is>
      </c>
      <c r="C31" t="inlineStr">
        <is>
          <t>081275356600</t>
        </is>
      </c>
      <c r="D31" t="inlineStr">
        <is>
          <t>cv.nursrimbangbersaudara@gmail.com</t>
        </is>
      </c>
      <c r="E31" t="inlineStr">
        <is>
          <t>https://lpjk.pu.go.id/search-badan-usaha-detail/OUJQQ2lVZENNcEZ1bHNsdmlwSUZFUT09</t>
        </is>
      </c>
      <c r="F31" t="n">
        <v>3</v>
      </c>
      <c r="G31" t="inlineStr">
        <is>
          <t>BG009, BS001, BS004</t>
        </is>
      </c>
      <c r="H31" t="inlineStr">
        <is>
          <t>3 Oktober 2020</t>
        </is>
      </c>
      <c r="I31" s="2" t="n">
        <v>46374</v>
      </c>
      <c r="J31" t="inlineStr">
        <is>
          <t>Disetujui</t>
        </is>
      </c>
      <c r="K31" t="n">
        <v>87</v>
      </c>
      <c r="L31" t="inlineStr">
        <is>
          <t>18 Desember 2026</t>
        </is>
      </c>
      <c r="M31" t="inlineStr">
        <is>
          <t>Konstruksi Bangunan Sipil Jalan, Konstruksi Gedung Lainnya, Konstruksi Jaringan Irigasi dan Drainase</t>
        </is>
      </c>
      <c r="N31" t="inlineStr">
        <is>
          <t>K</t>
        </is>
      </c>
      <c r="O31" t="inlineStr">
        <is>
          <t>20231218</t>
        </is>
      </c>
      <c r="P31" t="inlineStr">
        <is>
          <t>Riau</t>
        </is>
      </c>
      <c r="Q31" t="inlineStr"/>
    </row>
    <row r="32">
      <c r="A32" t="inlineStr">
        <is>
          <t>NUSAENA TIMUR ABADI</t>
        </is>
      </c>
      <c r="B32" t="inlineStr">
        <is>
          <t>Kota Bandung</t>
        </is>
      </c>
      <c r="C32" t="inlineStr">
        <is>
          <t>083893124351</t>
        </is>
      </c>
      <c r="D32" t="inlineStr">
        <is>
          <t>nusaenatimurabadi@gmail.com</t>
        </is>
      </c>
      <c r="E32" t="inlineStr">
        <is>
          <t>https://lpjk.pu.go.id/search-badan-usaha-detail/S0g0eDgza3ltM0Z1TXpDdVVOc2RNZz09</t>
        </is>
      </c>
      <c r="F32" t="n">
        <v>2</v>
      </c>
      <c r="G32" t="inlineStr">
        <is>
          <t>BS006</t>
        </is>
      </c>
      <c r="H32" t="inlineStr">
        <is>
          <t>22 Agustus 2023</t>
        </is>
      </c>
      <c r="I32" s="2" t="n">
        <v>46374</v>
      </c>
      <c r="J32" t="inlineStr">
        <is>
          <t>Disetujui</t>
        </is>
      </c>
      <c r="K32" t="n">
        <v>87</v>
      </c>
      <c r="L32" t="inlineStr">
        <is>
          <t>18 Desember 2026</t>
        </is>
      </c>
      <c r="M32" t="inlineStr">
        <is>
          <t>Konstruksi Bangunan Sipil Prasarana dan Sarana Sistem Pengolahan Limbah Padat, Cair, dan Gas</t>
        </is>
      </c>
      <c r="N32" t="inlineStr">
        <is>
          <t>K</t>
        </is>
      </c>
      <c r="O32" t="inlineStr">
        <is>
          <t>20231214</t>
        </is>
      </c>
      <c r="P32" t="inlineStr">
        <is>
          <t>Jawa Barat</t>
        </is>
      </c>
      <c r="Q32" t="inlineStr"/>
    </row>
    <row r="33">
      <c r="A33" t="inlineStr">
        <is>
          <t>PANCA DAYA MAKMUR</t>
        </is>
      </c>
      <c r="B33" t="inlineStr">
        <is>
          <t>Kota Tangerang Selatan</t>
        </is>
      </c>
      <c r="C33" t="inlineStr">
        <is>
          <t>082122220302</t>
        </is>
      </c>
      <c r="D33" t="inlineStr">
        <is>
          <t>pt.pancadayamakmur@gmail.com</t>
        </is>
      </c>
      <c r="E33" t="inlineStr">
        <is>
          <t>https://lpjk.pu.go.id/search-badan-usaha-detail/ZkVQQXdFSmt5Y0dCQWdlQjh0OERuQT09</t>
        </is>
      </c>
      <c r="F33" t="n">
        <v>2</v>
      </c>
      <c r="G33" t="inlineStr">
        <is>
          <t>BG001, BG006</t>
        </is>
      </c>
      <c r="H33" t="inlineStr">
        <is>
          <t>11 Desember 2018</t>
        </is>
      </c>
      <c r="I33" s="2" t="n">
        <v>46374</v>
      </c>
      <c r="J33" t="inlineStr">
        <is>
          <t>Disetujui</t>
        </is>
      </c>
      <c r="K33" t="n">
        <v>87</v>
      </c>
      <c r="L33" t="inlineStr">
        <is>
          <t>18 Desember 2026</t>
        </is>
      </c>
      <c r="M33" t="inlineStr">
        <is>
          <t>Konstruksi Gedung Hunian, Konstruksi Gedung Pendidikan</t>
        </is>
      </c>
      <c r="N33" t="inlineStr">
        <is>
          <t>K</t>
        </is>
      </c>
      <c r="O33" t="inlineStr">
        <is>
          <t>20231218</t>
        </is>
      </c>
      <c r="P33" t="inlineStr">
        <is>
          <t>Banten</t>
        </is>
      </c>
      <c r="Q33" t="inlineStr"/>
    </row>
    <row r="34">
      <c r="A34" t="inlineStr">
        <is>
          <t>PUTRA CITARUM REALTINDO</t>
        </is>
      </c>
      <c r="B34" t="inlineStr">
        <is>
          <t>Kab. Purwakarta</t>
        </is>
      </c>
      <c r="C34" t="inlineStr">
        <is>
          <t>081285182688</t>
        </is>
      </c>
      <c r="D34" t="inlineStr">
        <is>
          <t>pt.putracitarumrealtindo@gmail.com</t>
        </is>
      </c>
      <c r="E34" t="inlineStr">
        <is>
          <t>https://lpjk.pu.go.id/search-badan-usaha-detail/OXovSmJtZ3d6aDFsZzNjaUIxZ0c2Zz09</t>
        </is>
      </c>
      <c r="F34" t="n">
        <v>1</v>
      </c>
      <c r="G34" t="inlineStr">
        <is>
          <t>BS004</t>
        </is>
      </c>
      <c r="H34" t="inlineStr">
        <is>
          <t>18 Maret 2022</t>
        </is>
      </c>
      <c r="I34" s="2" t="n">
        <v>46374</v>
      </c>
      <c r="J34" t="inlineStr">
        <is>
          <t>Disetujui</t>
        </is>
      </c>
      <c r="K34" t="n">
        <v>87</v>
      </c>
      <c r="L34" t="inlineStr">
        <is>
          <t>18 Desember 2026</t>
        </is>
      </c>
      <c r="M34" t="inlineStr">
        <is>
          <t>Konstruksi Jaringan Irigasi dan Drainase</t>
        </is>
      </c>
      <c r="N34" t="inlineStr">
        <is>
          <t>K</t>
        </is>
      </c>
      <c r="O34" t="inlineStr">
        <is>
          <t>20231213</t>
        </is>
      </c>
      <c r="P34" t="inlineStr">
        <is>
          <t>Jawa Barat</t>
        </is>
      </c>
      <c r="Q34" t="inlineStr"/>
    </row>
    <row r="35">
      <c r="A35" t="inlineStr">
        <is>
          <t>PUTRA GUNUNG SEJATI</t>
        </is>
      </c>
      <c r="B35" t="inlineStr">
        <is>
          <t>Kota Padang</t>
        </is>
      </c>
      <c r="C35" t="inlineStr">
        <is>
          <t>081266619797</t>
        </is>
      </c>
      <c r="D35" t="inlineStr">
        <is>
          <t>pt.putra_gunungsejati@yahoo.com</t>
        </is>
      </c>
      <c r="E35" t="inlineStr">
        <is>
          <t>https://lpjk.pu.go.id/search-badan-usaha-detail/T3d5ZTVlTzlvM2pGSnMwa0Q3eU1Bdz09</t>
        </is>
      </c>
      <c r="F35" t="n">
        <v>2</v>
      </c>
      <c r="G35" t="inlineStr">
        <is>
          <t>BG003, BG009</t>
        </is>
      </c>
      <c r="H35" t="inlineStr">
        <is>
          <t>28 Februari 2009</t>
        </is>
      </c>
      <c r="I35" s="2" t="n">
        <v>46374</v>
      </c>
      <c r="J35" t="inlineStr">
        <is>
          <t>Disetujui</t>
        </is>
      </c>
      <c r="K35" t="n">
        <v>87</v>
      </c>
      <c r="L35" t="inlineStr">
        <is>
          <t>18 Desember 2026</t>
        </is>
      </c>
      <c r="M35" t="inlineStr">
        <is>
          <t>Konstruksi Gedung Industri, Konstruksi Gedung Lainnya</t>
        </is>
      </c>
      <c r="N35" t="inlineStr">
        <is>
          <t>K</t>
        </is>
      </c>
      <c r="O35" t="inlineStr">
        <is>
          <t>20231129, 20231204</t>
        </is>
      </c>
      <c r="P35" t="inlineStr">
        <is>
          <t>Sumatera Barat</t>
        </is>
      </c>
      <c r="Q35" t="inlineStr"/>
    </row>
    <row r="36">
      <c r="A36" t="inlineStr">
        <is>
          <t>PUTRA JABAL KARAN</t>
        </is>
      </c>
      <c r="B36" t="inlineStr">
        <is>
          <t>Kab. Pandeglang</t>
        </is>
      </c>
      <c r="C36" t="inlineStr">
        <is>
          <t>085775440799</t>
        </is>
      </c>
      <c r="D36" t="inlineStr">
        <is>
          <t>putrajabalkaran@gmail.com</t>
        </is>
      </c>
      <c r="E36" t="inlineStr">
        <is>
          <t>https://lpjk.pu.go.id/search-badan-usaha-detail/dXBNUWJGdFJqSDZnWW1EVGp1dlhLUT09</t>
        </is>
      </c>
      <c r="F36" t="n">
        <v>1</v>
      </c>
      <c r="G36" t="inlineStr">
        <is>
          <t>BS004</t>
        </is>
      </c>
      <c r="H36" t="inlineStr">
        <is>
          <t>29 Januari 2020</t>
        </is>
      </c>
      <c r="I36" s="2" t="n">
        <v>46374</v>
      </c>
      <c r="J36" t="inlineStr">
        <is>
          <t>Disetujui</t>
        </is>
      </c>
      <c r="K36" t="n">
        <v>87</v>
      </c>
      <c r="L36" t="inlineStr">
        <is>
          <t>18 Desember 2026</t>
        </is>
      </c>
      <c r="M36" t="inlineStr">
        <is>
          <t>Konstruksi Jaringan Irigasi dan Drainase</t>
        </is>
      </c>
      <c r="N36" t="inlineStr">
        <is>
          <t>K</t>
        </is>
      </c>
      <c r="O36" t="inlineStr">
        <is>
          <t>20231102</t>
        </is>
      </c>
      <c r="P36" t="inlineStr">
        <is>
          <t>Banten</t>
        </is>
      </c>
      <c r="Q36" t="inlineStr"/>
    </row>
    <row r="37">
      <c r="A37" t="inlineStr">
        <is>
          <t>PUTRA MALINDO BERSAUDARA</t>
        </is>
      </c>
      <c r="B37" t="inlineStr">
        <is>
          <t>Kota Padang</t>
        </is>
      </c>
      <c r="C37" t="inlineStr">
        <is>
          <t>081363552548</t>
        </is>
      </c>
      <c r="D37" t="inlineStr">
        <is>
          <t>putramabes2018@gmail.com</t>
        </is>
      </c>
      <c r="E37" t="inlineStr">
        <is>
          <t>https://lpjk.pu.go.id/search-badan-usaha-detail/UWROVEhkekRVb2xzR3RiSnA0UmJkZz09</t>
        </is>
      </c>
      <c r="F37" t="n">
        <v>2</v>
      </c>
      <c r="G37" t="inlineStr">
        <is>
          <t>BG002, BG003</t>
        </is>
      </c>
      <c r="H37" t="inlineStr">
        <is>
          <t>5 November 2018</t>
        </is>
      </c>
      <c r="I37" s="2" t="n">
        <v>46374</v>
      </c>
      <c r="J37" t="inlineStr">
        <is>
          <t>Disetujui</t>
        </is>
      </c>
      <c r="K37" t="n">
        <v>87</v>
      </c>
      <c r="L37" t="inlineStr">
        <is>
          <t>18 Desember 2026</t>
        </is>
      </c>
      <c r="M37" t="inlineStr">
        <is>
          <t>Konstruksi Gedung Industri, Konstruksi Gedung Perkantoran</t>
        </is>
      </c>
      <c r="N37" t="inlineStr">
        <is>
          <t>K</t>
        </is>
      </c>
      <c r="O37" t="inlineStr">
        <is>
          <t>20231214, 20231218</t>
        </is>
      </c>
      <c r="P37" t="inlineStr">
        <is>
          <t>Sumatera Barat</t>
        </is>
      </c>
      <c r="Q37" t="inlineStr"/>
    </row>
    <row r="38">
      <c r="A38" t="inlineStr">
        <is>
          <t>PUTRIINDAH INFORMATIKA SOLUSI</t>
        </is>
      </c>
      <c r="B38" t="inlineStr">
        <is>
          <t>Kota Palembang</t>
        </is>
      </c>
      <c r="C38" t="inlineStr">
        <is>
          <t>0711716363</t>
        </is>
      </c>
      <c r="D38" t="inlineStr">
        <is>
          <t>pis@putriindah.co.id</t>
        </is>
      </c>
      <c r="E38" t="inlineStr">
        <is>
          <t>https://lpjk.pu.go.id/search-badan-usaha-detail/cy9CWXRycFFva0xzSVRPOTNtdmRYdz09</t>
        </is>
      </c>
      <c r="F38" t="n">
        <v>1</v>
      </c>
      <c r="G38" t="inlineStr">
        <is>
          <t>BS009</t>
        </is>
      </c>
      <c r="H38" t="inlineStr">
        <is>
          <t>7 Mei 2014</t>
        </is>
      </c>
      <c r="I38" s="2" t="n">
        <v>46374</v>
      </c>
      <c r="J38" t="inlineStr">
        <is>
          <t>Disetujui</t>
        </is>
      </c>
      <c r="K38" t="n">
        <v>87</v>
      </c>
      <c r="L38" t="inlineStr">
        <is>
          <t>18 Desember 2026</t>
        </is>
      </c>
      <c r="M38" t="inlineStr">
        <is>
          <t>Konstruksi Sentral Telekomunikasi</t>
        </is>
      </c>
      <c r="N38" t="inlineStr">
        <is>
          <t>K</t>
        </is>
      </c>
      <c r="O38" t="inlineStr">
        <is>
          <t>20231212</t>
        </is>
      </c>
      <c r="P38" t="inlineStr">
        <is>
          <t>Sumatera Selatan</t>
        </is>
      </c>
      <c r="Q38" t="inlineStr"/>
    </row>
    <row r="39">
      <c r="A39" t="inlineStr">
        <is>
          <t>RAJA KHAYLA GRUP</t>
        </is>
      </c>
      <c r="B39" t="inlineStr">
        <is>
          <t>Kab. Ogan Komering Ilir</t>
        </is>
      </c>
      <c r="C39" t="inlineStr">
        <is>
          <t>0</t>
        </is>
      </c>
      <c r="D39" t="inlineStr">
        <is>
          <t>cvrajakhaylagrup@yahoo.com</t>
        </is>
      </c>
      <c r="E39" t="inlineStr">
        <is>
          <t>https://lpjk.pu.go.id/search-badan-usaha-detail/MnZYVVJPc2lyK24xTkdFTThleFhxUT09</t>
        </is>
      </c>
      <c r="F39" t="n">
        <v>1</v>
      </c>
      <c r="G39" t="inlineStr">
        <is>
          <t>BS004</t>
        </is>
      </c>
      <c r="H39" t="inlineStr">
        <is>
          <t>24 September 2014</t>
        </is>
      </c>
      <c r="I39" s="2" t="n">
        <v>46374</v>
      </c>
      <c r="J39" t="inlineStr">
        <is>
          <t>Disetujui</t>
        </is>
      </c>
      <c r="K39" t="n">
        <v>87</v>
      </c>
      <c r="L39" t="inlineStr">
        <is>
          <t>18 Desember 2026</t>
        </is>
      </c>
      <c r="M39" t="inlineStr">
        <is>
          <t>Konstruksi Jaringan Irigasi dan Drainase</t>
        </is>
      </c>
      <c r="N39" t="inlineStr">
        <is>
          <t>K</t>
        </is>
      </c>
      <c r="O39" t="inlineStr">
        <is>
          <t>20231218</t>
        </is>
      </c>
      <c r="P39" t="inlineStr">
        <is>
          <t>Sumatera Selatan</t>
        </is>
      </c>
      <c r="Q39" t="inlineStr"/>
    </row>
    <row r="40">
      <c r="A40" t="inlineStr">
        <is>
          <t>RAJAWALI SATYA PERKASA</t>
        </is>
      </c>
      <c r="B40" t="inlineStr">
        <is>
          <t>Kota Surabaya</t>
        </is>
      </c>
      <c r="C40" t="inlineStr">
        <is>
          <t>0318411356</t>
        </is>
      </c>
      <c r="D40" t="inlineStr">
        <is>
          <t>rajawalisatyaperkasa@gmail.com</t>
        </is>
      </c>
      <c r="E40" t="inlineStr">
        <is>
          <t>https://lpjk.pu.go.id/search-badan-usaha-detail/bXUyMTZrSzROWFhGRkRpU1lsbDlzUT09</t>
        </is>
      </c>
      <c r="F40" t="n">
        <v>10</v>
      </c>
      <c r="G40" t="inlineStr">
        <is>
          <t>BG001, BG002, BG003, BG008, BG009</t>
        </is>
      </c>
      <c r="H40" t="inlineStr">
        <is>
          <t>10 Juni 2022</t>
        </is>
      </c>
      <c r="I40" s="2" t="n">
        <v>46374</v>
      </c>
      <c r="J40" t="inlineStr">
        <is>
          <t>Disetujui</t>
        </is>
      </c>
      <c r="K40" t="n">
        <v>87</v>
      </c>
      <c r="L40" t="inlineStr">
        <is>
          <t>18 Desember 2026</t>
        </is>
      </c>
      <c r="M40" t="inlineStr">
        <is>
          <t>Konstruksi Gedung Hunian, Konstruksi Gedung Industri, Konstruksi Gedung Lainnya, Konstruksi Gedung Perkantoran, Konstruksi Gedung Tempat Hiburan dan Olahraga</t>
        </is>
      </c>
      <c r="N40" t="inlineStr">
        <is>
          <t>K</t>
        </is>
      </c>
      <c r="O40" t="inlineStr">
        <is>
          <t>20231207</t>
        </is>
      </c>
      <c r="P40" t="inlineStr">
        <is>
          <t>Jawa Timur</t>
        </is>
      </c>
      <c r="Q40" t="inlineStr"/>
    </row>
    <row r="41">
      <c r="A41" t="inlineStr">
        <is>
          <t>REMAJA ASLI</t>
        </is>
      </c>
      <c r="B41" t="inlineStr">
        <is>
          <t>Kab. Bojonegoro</t>
        </is>
      </c>
      <c r="C41" t="inlineStr">
        <is>
          <t>08165476214</t>
        </is>
      </c>
      <c r="D41" t="inlineStr">
        <is>
          <t>cv.remaja_asli@yahoo.co.id</t>
        </is>
      </c>
      <c r="E41" t="inlineStr">
        <is>
          <t>https://lpjk.pu.go.id/search-badan-usaha-detail/dThMT2ZkNHBBV0J4Y3BrWmt3LzhCdz09</t>
        </is>
      </c>
      <c r="F41" t="n">
        <v>1</v>
      </c>
      <c r="G41" t="inlineStr">
        <is>
          <t>BS001</t>
        </is>
      </c>
      <c r="H41" t="inlineStr">
        <is>
          <t>22 Juni 1995</t>
        </is>
      </c>
      <c r="I41" s="2" t="n">
        <v>46374</v>
      </c>
      <c r="J41" t="inlineStr">
        <is>
          <t>Disetujui</t>
        </is>
      </c>
      <c r="K41" t="n">
        <v>87</v>
      </c>
      <c r="L41" t="inlineStr">
        <is>
          <t>18 Desember 2026</t>
        </is>
      </c>
      <c r="M41" t="inlineStr">
        <is>
          <t>Konstruksi Bangunan Sipil Jalan</t>
        </is>
      </c>
      <c r="N41" t="inlineStr">
        <is>
          <t>K</t>
        </is>
      </c>
      <c r="O41" t="inlineStr">
        <is>
          <t>20231214</t>
        </is>
      </c>
      <c r="P41" t="inlineStr">
        <is>
          <t>Jawa Timur</t>
        </is>
      </c>
      <c r="Q41" t="inlineStr"/>
    </row>
    <row r="42">
      <c r="A42" t="inlineStr">
        <is>
          <t>RIZQI MEGA MAS</t>
        </is>
      </c>
      <c r="B42" t="inlineStr">
        <is>
          <t>Kab. Cilacap</t>
        </is>
      </c>
      <c r="C42" t="inlineStr">
        <is>
          <t>081227525220</t>
        </is>
      </c>
      <c r="D42" t="inlineStr">
        <is>
          <t>suswati.farida@yahoo.com</t>
        </is>
      </c>
      <c r="E42" t="inlineStr">
        <is>
          <t>https://lpjk.pu.go.id/search-badan-usaha-detail/c29hZGZ0YW1uTTBUdWRPaWQ3OGErQT09</t>
        </is>
      </c>
      <c r="F42" t="n">
        <v>3</v>
      </c>
      <c r="G42" t="inlineStr">
        <is>
          <t>BG002, BG005, BG006</t>
        </is>
      </c>
      <c r="H42" t="inlineStr">
        <is>
          <t>16 Februari 1999</t>
        </is>
      </c>
      <c r="I42" s="2" t="n">
        <v>46374</v>
      </c>
      <c r="J42" t="inlineStr">
        <is>
          <t>Disetujui</t>
        </is>
      </c>
      <c r="K42" t="n">
        <v>87</v>
      </c>
      <c r="L42" t="inlineStr">
        <is>
          <t>18 Desember 2026</t>
        </is>
      </c>
      <c r="M42" t="inlineStr">
        <is>
          <t>Konstruksi Gedung Kesehatan, Konstruksi Gedung Pendidikan, Konstruksi Gedung Perkantoran</t>
        </is>
      </c>
      <c r="N42" t="inlineStr">
        <is>
          <t>K</t>
        </is>
      </c>
      <c r="O42" t="inlineStr">
        <is>
          <t>20231218</t>
        </is>
      </c>
      <c r="P42" t="inlineStr">
        <is>
          <t>Jawa Tengah</t>
        </is>
      </c>
      <c r="Q42" t="inlineStr"/>
    </row>
    <row r="43">
      <c r="A43" t="inlineStr">
        <is>
          <t>SANTOSA &amp; CO</t>
        </is>
      </c>
      <c r="B43" t="inlineStr">
        <is>
          <t>Kab. Banyumas</t>
        </is>
      </c>
      <c r="C43" t="inlineStr">
        <is>
          <t>082243560296</t>
        </is>
      </c>
      <c r="D43" t="inlineStr">
        <is>
          <t>co.santosa@yahoo.co.id</t>
        </is>
      </c>
      <c r="E43" t="inlineStr">
        <is>
          <t>https://lpjk.pu.go.id/search-badan-usaha-detail/clprZEhSU2FQMVdmUVk4SldoN1hhUT09</t>
        </is>
      </c>
      <c r="F43" t="n">
        <v>1</v>
      </c>
      <c r="G43" t="inlineStr">
        <is>
          <t>BG009</t>
        </is>
      </c>
      <c r="H43" t="inlineStr">
        <is>
          <t>23 Februari 1974</t>
        </is>
      </c>
      <c r="I43" s="2" t="n">
        <v>46374</v>
      </c>
      <c r="J43" t="inlineStr">
        <is>
          <t>Disetujui</t>
        </is>
      </c>
      <c r="K43" t="n">
        <v>87</v>
      </c>
      <c r="L43" t="inlineStr">
        <is>
          <t>18 Desember 2026</t>
        </is>
      </c>
      <c r="M43" t="inlineStr">
        <is>
          <t>Konstruksi Gedung Lainnya</t>
        </is>
      </c>
      <c r="N43" t="inlineStr">
        <is>
          <t>K</t>
        </is>
      </c>
      <c r="O43" t="inlineStr">
        <is>
          <t>20231214</t>
        </is>
      </c>
      <c r="P43" t="inlineStr">
        <is>
          <t>Jawa Tengah</t>
        </is>
      </c>
      <c r="Q43" t="inlineStr"/>
    </row>
    <row r="44">
      <c r="A44" t="inlineStr">
        <is>
          <t>SENA PUTRA AKDA</t>
        </is>
      </c>
      <c r="B44" t="inlineStr">
        <is>
          <t>Kota Adm. Jakarta Selatan</t>
        </is>
      </c>
      <c r="C44" t="inlineStr">
        <is>
          <t>0215863950</t>
        </is>
      </c>
      <c r="D44" t="inlineStr">
        <is>
          <t>sena.putraakda@gmail.com</t>
        </is>
      </c>
      <c r="E44" t="inlineStr">
        <is>
          <t>https://lpjk.pu.go.id/search-badan-usaha-detail/c0JiZ3d6cEVWZzN2a0w5Y21KOGJtZz09</t>
        </is>
      </c>
      <c r="F44" t="n">
        <v>1</v>
      </c>
      <c r="G44" t="inlineStr">
        <is>
          <t>BS010</t>
        </is>
      </c>
      <c r="H44" t="inlineStr">
        <is>
          <t>11 Maret 2015</t>
        </is>
      </c>
      <c r="I44" s="2" t="n">
        <v>46374</v>
      </c>
      <c r="J44" t="inlineStr">
        <is>
          <t>Disetujui</t>
        </is>
      </c>
      <c r="K44" t="n">
        <v>87</v>
      </c>
      <c r="L44" t="inlineStr">
        <is>
          <t>18 Desember 2026</t>
        </is>
      </c>
      <c r="M44" t="inlineStr">
        <is>
          <t>Konstruksi Bangunan Prasarana Sumber Daya Air</t>
        </is>
      </c>
      <c r="N44" t="inlineStr">
        <is>
          <t>K</t>
        </is>
      </c>
      <c r="O44" t="inlineStr">
        <is>
          <t>20231218</t>
        </is>
      </c>
      <c r="P44" t="inlineStr">
        <is>
          <t>DKI Jakarta</t>
        </is>
      </c>
      <c r="Q44" t="inlineStr"/>
    </row>
    <row r="45">
      <c r="A45" t="inlineStr">
        <is>
          <t>SEPAKAT ANUGERAH MANDIRI</t>
        </is>
      </c>
      <c r="B45" t="inlineStr">
        <is>
          <t>Kota Adm. Jakarta Utara</t>
        </is>
      </c>
      <c r="C45" t="inlineStr">
        <is>
          <t>08128126224</t>
        </is>
      </c>
      <c r="D45" t="inlineStr">
        <is>
          <t>sepakatanugerahmandiri@gmail.com</t>
        </is>
      </c>
      <c r="E45" t="inlineStr">
        <is>
          <t>https://lpjk.pu.go.id/search-badan-usaha-detail/bHJ6RHBhSTRmSytURmNvUVhHR3A5Zz09</t>
        </is>
      </c>
      <c r="F45" t="n">
        <v>1</v>
      </c>
      <c r="G45" t="inlineStr">
        <is>
          <t>PB010</t>
        </is>
      </c>
      <c r="H45" t="inlineStr">
        <is>
          <t>21 September 2023</t>
        </is>
      </c>
      <c r="I45" s="2" t="n">
        <v>46374</v>
      </c>
      <c r="J45" t="inlineStr">
        <is>
          <t>Disetujui</t>
        </is>
      </c>
      <c r="K45" t="n">
        <v>87</v>
      </c>
      <c r="L45" t="inlineStr">
        <is>
          <t>18 Desember 2026</t>
        </is>
      </c>
      <c r="M45" t="inlineStr">
        <is>
          <t>Pekerjaan Lanskap, Pertamanan, dan Penanaman Vegetasi</t>
        </is>
      </c>
      <c r="N45" t="inlineStr">
        <is>
          <t>Spesialis</t>
        </is>
      </c>
      <c r="O45" t="inlineStr">
        <is>
          <t>20231214</t>
        </is>
      </c>
      <c r="P45" t="inlineStr">
        <is>
          <t>DKI Jakarta</t>
        </is>
      </c>
      <c r="Q45" t="inlineStr"/>
    </row>
    <row r="46">
      <c r="A46" t="inlineStr">
        <is>
          <t>SURYA KENCANA ABADI</t>
        </is>
      </c>
      <c r="B46" t="inlineStr">
        <is>
          <t>Kab. Bojonegoro</t>
        </is>
      </c>
      <c r="C46" t="inlineStr">
        <is>
          <t>0353331843</t>
        </is>
      </c>
      <c r="D46" t="inlineStr">
        <is>
          <t>cv_suryakencanaabadi@yahoo.com</t>
        </is>
      </c>
      <c r="E46" t="inlineStr">
        <is>
          <t>https://lpjk.pu.go.id/search-badan-usaha-detail/ZWVZUzI2bnJTZjlwUWdRa1NFUExQdz09</t>
        </is>
      </c>
      <c r="F46" t="n">
        <v>4</v>
      </c>
      <c r="G46" t="inlineStr">
        <is>
          <t>BG005, BS001, BS002, BS005</t>
        </is>
      </c>
      <c r="H46" t="inlineStr">
        <is>
          <t>17 Oktober 1996</t>
        </is>
      </c>
      <c r="I46" s="2" t="n">
        <v>46374</v>
      </c>
      <c r="J46" t="inlineStr">
        <is>
          <t>Disetujui</t>
        </is>
      </c>
      <c r="K46" t="n">
        <v>87</v>
      </c>
      <c r="L46" t="inlineStr">
        <is>
          <t>18 Desember 2026</t>
        </is>
      </c>
      <c r="M46" t="inlineStr">
        <is>
          <t>Bangunan Sipil Jembatan, Jalan Layang, Fly Over, dan Underpass, Konstruksi Bangunan Sipil Jalan, Konstruksi Bangunan Sipil Pengolahan Air Bersih, Konstruksi Gedung Kesehatan</t>
        </is>
      </c>
      <c r="N46" t="inlineStr">
        <is>
          <t>K</t>
        </is>
      </c>
      <c r="O46" t="inlineStr">
        <is>
          <t>20231215, 20231220</t>
        </is>
      </c>
      <c r="P46" t="inlineStr">
        <is>
          <t>Jawa Timur</t>
        </is>
      </c>
      <c r="Q46" t="inlineStr"/>
    </row>
    <row r="47">
      <c r="A47" t="inlineStr">
        <is>
          <t>TEKNIK TIGA BELAS</t>
        </is>
      </c>
      <c r="B47" t="inlineStr">
        <is>
          <t>Kota Palu</t>
        </is>
      </c>
      <c r="C47" t="inlineStr">
        <is>
          <t>082235225368</t>
        </is>
      </c>
      <c r="D47" t="inlineStr">
        <is>
          <t>tekniktigabelas13@gmail.com</t>
        </is>
      </c>
      <c r="E47" t="inlineStr">
        <is>
          <t>https://lpjk.pu.go.id/search-badan-usaha-detail/dzN2dlJQOGV1eHUyUGJwOXRnSjM2dz09</t>
        </is>
      </c>
      <c r="F47" t="n">
        <v>4</v>
      </c>
      <c r="G47" t="inlineStr">
        <is>
          <t>BG001, BG005, BG006, BS001</t>
        </is>
      </c>
      <c r="H47" t="inlineStr">
        <is>
          <t>29 November 2023</t>
        </is>
      </c>
      <c r="I47" s="2" t="n">
        <v>46374</v>
      </c>
      <c r="J47" t="inlineStr">
        <is>
          <t>Disetujui</t>
        </is>
      </c>
      <c r="K47" t="n">
        <v>87</v>
      </c>
      <c r="L47" t="inlineStr">
        <is>
          <t>18 Desember 2026</t>
        </is>
      </c>
      <c r="M47" t="inlineStr">
        <is>
          <t>Konstruksi Bangunan Sipil Jalan, Konstruksi Gedung Hunian, Konstruksi Gedung Kesehatan, Konstruksi Gedung Pendidikan</t>
        </is>
      </c>
      <c r="N47" t="inlineStr">
        <is>
          <t>K</t>
        </is>
      </c>
      <c r="O47" t="inlineStr">
        <is>
          <t>20231218</t>
        </is>
      </c>
      <c r="P47" t="inlineStr">
        <is>
          <t>Sulawesi Tengah</t>
        </is>
      </c>
      <c r="Q47" t="inlineStr"/>
    </row>
    <row r="48">
      <c r="A48" t="inlineStr">
        <is>
          <t>TIARA KARYA</t>
        </is>
      </c>
      <c r="B48" t="inlineStr">
        <is>
          <t>Kab. Indramayu</t>
        </is>
      </c>
      <c r="C48" t="inlineStr">
        <is>
          <t>02349101874</t>
        </is>
      </c>
      <c r="D48" t="inlineStr">
        <is>
          <t>tiarakarya_cv@yahoo.com</t>
        </is>
      </c>
      <c r="E48" t="inlineStr">
        <is>
          <t>https://lpjk.pu.go.id/search-badan-usaha-detail/b2ljOVRpWUxnTjE0R3lwQlpnbGpnQT09</t>
        </is>
      </c>
      <c r="F48" t="n">
        <v>4</v>
      </c>
      <c r="G48" t="inlineStr">
        <is>
          <t>BG006, BG009, BS001, BS002</t>
        </is>
      </c>
      <c r="H48" t="inlineStr">
        <is>
          <t>10 April 2007</t>
        </is>
      </c>
      <c r="I48" s="2" t="n">
        <v>46374</v>
      </c>
      <c r="J48" t="inlineStr">
        <is>
          <t>Disetujui</t>
        </is>
      </c>
      <c r="K48" t="n">
        <v>87</v>
      </c>
      <c r="L48" t="inlineStr">
        <is>
          <t>18 Desember 2026</t>
        </is>
      </c>
      <c r="M48" t="inlineStr">
        <is>
          <t>Bangunan Sipil Jembatan, Jalan Layang, Fly Over, dan Underpass, Konstruksi Bangunan Sipil Jalan, Konstruksi Gedung Lainnya, Konstruksi Gedung Pendidikan</t>
        </is>
      </c>
      <c r="N48" t="inlineStr">
        <is>
          <t>K</t>
        </is>
      </c>
      <c r="O48" t="inlineStr">
        <is>
          <t>20231216, 20231220</t>
        </is>
      </c>
      <c r="P48" t="inlineStr">
        <is>
          <t>Jawa Barat</t>
        </is>
      </c>
      <c r="Q48" t="inlineStr"/>
    </row>
    <row r="49">
      <c r="A49" t="inlineStr">
        <is>
          <t>UMEGARU</t>
        </is>
      </c>
      <c r="B49" t="inlineStr">
        <is>
          <t>Kab. Kebumen</t>
        </is>
      </c>
      <c r="C49" t="inlineStr">
        <is>
          <t>081327172976</t>
        </is>
      </c>
      <c r="D49" t="inlineStr">
        <is>
          <t>umegaru@gmail.com</t>
        </is>
      </c>
      <c r="E49" t="inlineStr">
        <is>
          <t>https://lpjk.pu.go.id/search-badan-usaha-detail/TGxnWU5KaCt5WXkzNzlLQU41dVE4QT09</t>
        </is>
      </c>
      <c r="F49" t="n">
        <v>1</v>
      </c>
      <c r="G49" t="inlineStr">
        <is>
          <t>BG001</t>
        </is>
      </c>
      <c r="H49" t="inlineStr">
        <is>
          <t>6 Januari 2023</t>
        </is>
      </c>
      <c r="I49" s="2" t="n">
        <v>46374</v>
      </c>
      <c r="J49" t="inlineStr">
        <is>
          <t>Disetujui</t>
        </is>
      </c>
      <c r="K49" t="n">
        <v>87</v>
      </c>
      <c r="L49" t="inlineStr">
        <is>
          <t>18 Desember 2026</t>
        </is>
      </c>
      <c r="M49" t="inlineStr">
        <is>
          <t>Konstruksi Gedung Hunian</t>
        </is>
      </c>
      <c r="N49" t="inlineStr">
        <is>
          <t>K</t>
        </is>
      </c>
      <c r="O49" t="inlineStr">
        <is>
          <t>20231214</t>
        </is>
      </c>
      <c r="P49" t="inlineStr">
        <is>
          <t>Jawa Tengah</t>
        </is>
      </c>
      <c r="Q49" t="inlineStr"/>
    </row>
    <row r="50">
      <c r="A50" t="inlineStr">
        <is>
          <t>WAHYU JATI ABADI</t>
        </is>
      </c>
      <c r="B50" t="inlineStr">
        <is>
          <t>Kota Semarang</t>
        </is>
      </c>
      <c r="C50" t="inlineStr">
        <is>
          <t>085712782099</t>
        </is>
      </c>
      <c r="D50" t="inlineStr">
        <is>
          <t>wahyujatiabadi@gmail.com</t>
        </is>
      </c>
      <c r="E50" t="inlineStr">
        <is>
          <t>https://lpjk.pu.go.id/search-badan-usaha-detail/aWJsbzVJeVhGSFQzeHJqVVZDbGJ3QT09</t>
        </is>
      </c>
      <c r="F50" t="n">
        <v>1</v>
      </c>
      <c r="G50" t="inlineStr">
        <is>
          <t>BS004</t>
        </is>
      </c>
      <c r="H50" t="inlineStr">
        <is>
          <t>20 Februari 2023</t>
        </is>
      </c>
      <c r="I50" s="2" t="n">
        <v>46374</v>
      </c>
      <c r="J50" t="inlineStr">
        <is>
          <t>Disetujui</t>
        </is>
      </c>
      <c r="K50" t="n">
        <v>87</v>
      </c>
      <c r="L50" t="inlineStr">
        <is>
          <t>18 Desember 2026</t>
        </is>
      </c>
      <c r="M50" t="inlineStr">
        <is>
          <t>Konstruksi Jaringan Irigasi dan Drainase</t>
        </is>
      </c>
      <c r="N50" t="inlineStr">
        <is>
          <t>K</t>
        </is>
      </c>
      <c r="O50" t="inlineStr">
        <is>
          <t>20231212</t>
        </is>
      </c>
      <c r="P50" t="inlineStr">
        <is>
          <t>Jawa Tengah</t>
        </is>
      </c>
      <c r="Q50" t="inlineStr"/>
    </row>
    <row r="51">
      <c r="A51" t="inlineStr">
        <is>
          <t>WELLZ-IN INDONESIA</t>
        </is>
      </c>
      <c r="B51" t="inlineStr">
        <is>
          <t>Kota Adm. Jakarta Selatan</t>
        </is>
      </c>
      <c r="C51" t="inlineStr">
        <is>
          <t>02129124010</t>
        </is>
      </c>
      <c r="D51" t="inlineStr">
        <is>
          <t>shinta@wellz-in.com</t>
        </is>
      </c>
      <c r="E51" t="inlineStr">
        <is>
          <t>https://lpjk.pu.go.id/search-badan-usaha-detail/OVBBUTd1cFBRUHVvMkxHdUZjMnRIUT09</t>
        </is>
      </c>
      <c r="F51" t="n">
        <v>4</v>
      </c>
      <c r="G51" t="inlineStr">
        <is>
          <t>BG001, BG002, BG004, BG009</t>
        </is>
      </c>
      <c r="H51" t="inlineStr">
        <is>
          <t>8 November 2016</t>
        </is>
      </c>
      <c r="I51" s="2" t="n">
        <v>46374</v>
      </c>
      <c r="J51" t="inlineStr">
        <is>
          <t>Disetujui, Pembekuan</t>
        </is>
      </c>
      <c r="K51" t="n">
        <v>87</v>
      </c>
      <c r="L51" t="inlineStr">
        <is>
          <t>18 Desember 2026</t>
        </is>
      </c>
      <c r="M51" t="inlineStr">
        <is>
          <t>Konstruksi Gedung Hunian, Konstruksi Gedung Lainnya, Konstruksi Gedung Perbelanjaan, Konstruksi Gedung Perkantoran</t>
        </is>
      </c>
      <c r="N51" t="inlineStr">
        <is>
          <t>M</t>
        </is>
      </c>
      <c r="O51" t="inlineStr">
        <is>
          <t>20231215, 20231218, 20231220</t>
        </is>
      </c>
      <c r="P51" t="inlineStr">
        <is>
          <t>DKI Jakarta</t>
        </is>
      </c>
      <c r="Q51" t="inlineStr"/>
    </row>
    <row r="52">
      <c r="A52" t="inlineStr">
        <is>
          <t>WIJAYA KARYA SEMESTA</t>
        </is>
      </c>
      <c r="B52" t="inlineStr">
        <is>
          <t>Kab. Gowa</t>
        </is>
      </c>
      <c r="C52" t="inlineStr">
        <is>
          <t>081213132568</t>
        </is>
      </c>
      <c r="D52" t="inlineStr">
        <is>
          <t>ptwijayakaryasemesta@ymail.com</t>
        </is>
      </c>
      <c r="E52" t="inlineStr">
        <is>
          <t>https://lpjk.pu.go.id/search-badan-usaha-detail/K2ExampxeTlxS3dRVFlvV3VVMVB4QT09</t>
        </is>
      </c>
      <c r="F52" t="n">
        <v>2</v>
      </c>
      <c r="G52" t="inlineStr">
        <is>
          <t>BS010</t>
        </is>
      </c>
      <c r="H52" t="inlineStr">
        <is>
          <t>25 Juni 2008</t>
        </is>
      </c>
      <c r="I52" s="2" t="n">
        <v>46374</v>
      </c>
      <c r="J52" t="inlineStr">
        <is>
          <t>Pencabutan</t>
        </is>
      </c>
      <c r="K52" t="n">
        <v>87</v>
      </c>
      <c r="L52" t="inlineStr">
        <is>
          <t>18 Desember 2026</t>
        </is>
      </c>
      <c r="M52" t="inlineStr">
        <is>
          <t>Konstruksi Bangunan Prasarana Sumber Daya Air</t>
        </is>
      </c>
      <c r="N52" t="inlineStr">
        <is>
          <t>M</t>
        </is>
      </c>
      <c r="O52" t="inlineStr">
        <is>
          <t>20231110</t>
        </is>
      </c>
      <c r="P52" t="inlineStr">
        <is>
          <t>Sulawesi Selatan</t>
        </is>
      </c>
      <c r="Q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2"/>
  <sheetViews>
    <sheetView workbookViewId="0">
      <selection activeCell="A1" sqref="A1"/>
    </sheetView>
  </sheetViews>
  <sheetFormatPr baseColWidth="8" defaultRowHeight="15"/>
  <cols>
    <col width="35" customWidth="1" min="1" max="1"/>
    <col width="27" customWidth="1" min="2" max="2"/>
    <col width="16" customWidth="1" min="3" max="3"/>
    <col width="37" customWidth="1" min="4" max="4"/>
    <col width="50" customWidth="1" min="5" max="5"/>
    <col width="18" customWidth="1" min="6" max="6"/>
    <col width="50" customWidth="1" min="7" max="7"/>
    <col width="20" customWidth="1" min="8" max="8"/>
    <col width="28" customWidth="1" min="9" max="9"/>
    <col width="34" customWidth="1" min="10" max="10"/>
    <col width="11" customWidth="1" min="11" max="11"/>
    <col width="18" customWidth="1" min="12" max="12"/>
    <col width="50" customWidth="1" min="13" max="13"/>
    <col width="13" customWidth="1" min="14" max="14"/>
    <col width="5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ARTA INTAN KONSTRUKSI</t>
        </is>
      </c>
      <c r="B2" t="inlineStr">
        <is>
          <t>Kab. Bogor</t>
        </is>
      </c>
      <c r="C2" t="inlineStr">
        <is>
          <t>082123925815</t>
        </is>
      </c>
      <c r="D2" t="inlineStr">
        <is>
          <t>artaintankonstruksi@gmail.com</t>
        </is>
      </c>
      <c r="E2" t="inlineStr">
        <is>
          <t>https://lpjk.pu.go.id/search-badan-usaha-detail/dVpmNlpFYUw3Q2FLdWZSZkJ6elVtQT09</t>
        </is>
      </c>
      <c r="F2" t="n">
        <v>1</v>
      </c>
      <c r="G2" t="inlineStr">
        <is>
          <t>BG009</t>
        </is>
      </c>
      <c r="H2" t="inlineStr">
        <is>
          <t>7 Oktober 2023</t>
        </is>
      </c>
      <c r="I2" s="2" t="n">
        <v>46347</v>
      </c>
      <c r="J2" t="inlineStr">
        <is>
          <t>Disetujui</t>
        </is>
      </c>
      <c r="K2" t="n">
        <v>60</v>
      </c>
      <c r="L2" t="inlineStr">
        <is>
          <t>21 November 2026</t>
        </is>
      </c>
      <c r="M2" t="inlineStr">
        <is>
          <t>Konstruksi Gedung Lainnya</t>
        </is>
      </c>
      <c r="N2" t="inlineStr">
        <is>
          <t>K</t>
        </is>
      </c>
      <c r="O2" t="inlineStr">
        <is>
          <t>20231121</t>
        </is>
      </c>
      <c r="P2" t="inlineStr">
        <is>
          <t>Jawa Barat</t>
        </is>
      </c>
      <c r="Q2" s="3">
        <f>HYPERLINK("https://wa.me/6282123925815?text=*[PENGINGAT MASA BERLAKU SBU ARTA INTAN KONSTRUKSI]*%0A%0AYth. Pimpinan ARTA INTAN KONSTRUKSI,%0AMohon izin menginformasikan status SBU Anda di sistem LPJK:%0A%0A📄 SBU: BG009%0A📅 Expired: 21 November 2026 (60 Hari Lagi)%0A%0AKami tim PT. ESDEA Assistance Management siap men-support proses perpanjangan segera agar administrasi proyek tidak terhambat%0A%0AApakah boleh saya bantu siapkan estimasi biaya dan waktu pengerjaannya?.", "Hubungi")</f>
        <v/>
      </c>
    </row>
    <row r="3">
      <c r="A3" t="inlineStr">
        <is>
          <t>BIOSANT TIRTA LESTARI</t>
        </is>
      </c>
      <c r="B3" t="inlineStr">
        <is>
          <t>Kota Depok</t>
        </is>
      </c>
      <c r="C3" t="inlineStr">
        <is>
          <t>02185508880</t>
        </is>
      </c>
      <c r="D3" t="inlineStr">
        <is>
          <t>finance@biosant.co.id</t>
        </is>
      </c>
      <c r="E3" t="inlineStr">
        <is>
          <t>https://lpjk.pu.go.id/search-badan-usaha-detail/WjM1cmF6ZU02eGdWMWVjMXF1VXJpQT09</t>
        </is>
      </c>
      <c r="F3" t="n">
        <v>1</v>
      </c>
      <c r="G3" t="inlineStr">
        <is>
          <t>BS006</t>
        </is>
      </c>
      <c r="H3" t="inlineStr">
        <is>
          <t>3 Februari 2014</t>
        </is>
      </c>
      <c r="I3" s="2" t="n">
        <v>46347</v>
      </c>
      <c r="J3" t="inlineStr">
        <is>
          <t>Disetujui</t>
        </is>
      </c>
      <c r="K3" t="n">
        <v>60</v>
      </c>
      <c r="L3" t="inlineStr">
        <is>
          <t>21 November 2026</t>
        </is>
      </c>
      <c r="M3" t="inlineStr">
        <is>
          <t>Konstruksi Bangunan Sipil Prasarana dan Sarana Sistem Pengolahan Limbah Padat, Cair, dan Gas</t>
        </is>
      </c>
      <c r="N3" t="inlineStr">
        <is>
          <t>M</t>
        </is>
      </c>
      <c r="O3" t="inlineStr">
        <is>
          <t>20231116</t>
        </is>
      </c>
      <c r="P3" t="inlineStr">
        <is>
          <t>Jawa Barat</t>
        </is>
      </c>
      <c r="Q3" t="inlineStr"/>
    </row>
    <row r="4">
      <c r="A4" t="inlineStr">
        <is>
          <t>DAMARMAS KONSTRUKSI INDONESIA</t>
        </is>
      </c>
      <c r="B4" t="inlineStr">
        <is>
          <t>Kota Bogor</t>
        </is>
      </c>
      <c r="C4" t="inlineStr">
        <is>
          <t>0818975734</t>
        </is>
      </c>
      <c r="D4" t="inlineStr">
        <is>
          <t>dakindo2023@gmail.com</t>
        </is>
      </c>
      <c r="E4" t="inlineStr">
        <is>
          <t>https://lpjk.pu.go.id/search-badan-usaha-detail/ZTNmcVJ4ckFzTXBMQk1zaTNEV3N0Zz09</t>
        </is>
      </c>
      <c r="F4" t="n">
        <v>3</v>
      </c>
      <c r="G4" t="inlineStr">
        <is>
          <t>BG001</t>
        </is>
      </c>
      <c r="H4" t="inlineStr">
        <is>
          <t>31 Agustus 2023</t>
        </is>
      </c>
      <c r="I4" s="2" t="n">
        <v>46347</v>
      </c>
      <c r="J4" t="inlineStr">
        <is>
          <t>Disetujui</t>
        </is>
      </c>
      <c r="K4" t="n">
        <v>60</v>
      </c>
      <c r="L4" t="inlineStr">
        <is>
          <t>21 November 2026</t>
        </is>
      </c>
      <c r="M4" t="inlineStr">
        <is>
          <t>Konstruksi Gedung Hunian</t>
        </is>
      </c>
      <c r="N4" t="inlineStr">
        <is>
          <t>K</t>
        </is>
      </c>
      <c r="O4" t="inlineStr">
        <is>
          <t>20231115</t>
        </is>
      </c>
      <c r="P4" t="inlineStr">
        <is>
          <t>Jawa Barat</t>
        </is>
      </c>
      <c r="Q4" s="3">
        <f>HYPERLINK("https://wa.me/62818975734?text=*[PENGINGAT MASA BERLAKU SBU DAMARMAS KONSTRUKSI INDONESIA]*%0A%0AYth. Pimpinan DAMARMAS KONSTRUKSI INDONESIA,%0AMohon izin menginformasikan status SBU Anda di sistem LPJK:%0A%0A📄 SBU: BG001%0A📅 Expired: 21 November 2026 (60 Hari Lagi)%0A%0AKami tim PT. ESDEA Assistance Management siap men-support proses perpanjangan segera agar administrasi proyek tidak terhambat%0A%0AApakah boleh saya bantu siapkan estimasi biaya dan waktu pengerjaannya?.", "Hubungi")</f>
        <v/>
      </c>
    </row>
    <row r="5">
      <c r="A5" t="inlineStr">
        <is>
          <t>DJAMBOR GRIYA SARANA</t>
        </is>
      </c>
      <c r="B5" t="inlineStr">
        <is>
          <t>Kab. Bogor</t>
        </is>
      </c>
      <c r="C5" t="inlineStr">
        <is>
          <t>081219830515</t>
        </is>
      </c>
      <c r="D5" t="inlineStr">
        <is>
          <t>dgs.permai@gmail.com</t>
        </is>
      </c>
      <c r="E5" t="inlineStr">
        <is>
          <t>https://lpjk.pu.go.id/search-badan-usaha-detail/NmptU1dzWGRyWE9hbWpvcmlXSW5RQT09</t>
        </is>
      </c>
      <c r="F5" t="n">
        <v>1</v>
      </c>
      <c r="G5" t="inlineStr">
        <is>
          <t>BG001</t>
        </is>
      </c>
      <c r="H5" t="inlineStr">
        <is>
          <t>23 Mei 2019</t>
        </is>
      </c>
      <c r="I5" s="2" t="n">
        <v>46347</v>
      </c>
      <c r="J5" t="inlineStr">
        <is>
          <t>Disetujui</t>
        </is>
      </c>
      <c r="K5" t="n">
        <v>60</v>
      </c>
      <c r="L5" t="inlineStr">
        <is>
          <t>21 November 2026</t>
        </is>
      </c>
      <c r="M5" t="inlineStr">
        <is>
          <t>Konstruksi Gedung Hunian</t>
        </is>
      </c>
      <c r="N5" t="inlineStr">
        <is>
          <t>K</t>
        </is>
      </c>
      <c r="O5" t="inlineStr">
        <is>
          <t>20231120</t>
        </is>
      </c>
      <c r="P5" t="inlineStr">
        <is>
          <t>Jawa Barat</t>
        </is>
      </c>
      <c r="Q5" s="3">
        <f>HYPERLINK("https://wa.me/6281219830515?text=*[PENGINGAT MASA BERLAKU SBU DJAMBOR GRIYA SARANA]*%0A%0AYth. Pimpinan DJAMBOR GRIYA SARANA,%0AMohon izin menginformasikan status SBU Anda di sistem LPJK:%0A%0A📄 SBU: BG001%0A📅 Expired: 21 November 2026 (60 Hari Lagi)%0A%0AKami tim PT. ESDEA Assistance Management siap men-support proses perpanjangan segera agar administrasi proyek tidak terhambat%0A%0AApakah boleh saya bantu siapkan estimasi biaya dan waktu pengerjaannya?.", "Hubungi")</f>
        <v/>
      </c>
    </row>
    <row r="6">
      <c r="A6" t="inlineStr">
        <is>
          <t>KUJANG TUNGGAL PERKASA</t>
        </is>
      </c>
      <c r="B6" t="inlineStr">
        <is>
          <t>Kota Bogor</t>
        </is>
      </c>
      <c r="C6" t="inlineStr">
        <is>
          <t>081219128708</t>
        </is>
      </c>
      <c r="D6" t="inlineStr">
        <is>
          <t>cv.kujangtunggalperkasa@gmail.com</t>
        </is>
      </c>
      <c r="E6" t="inlineStr">
        <is>
          <t>https://lpjk.pu.go.id/search-badan-usaha-detail/VUxQUXEyTTkxUjFOUXpHdEwzN2ZFdz09</t>
        </is>
      </c>
      <c r="F6" t="n">
        <v>3</v>
      </c>
      <c r="G6" t="inlineStr">
        <is>
          <t>BG009, BS001, BS004</t>
        </is>
      </c>
      <c r="H6" t="inlineStr">
        <is>
          <t>29 Januari 2020</t>
        </is>
      </c>
      <c r="I6" s="2" t="n">
        <v>46347</v>
      </c>
      <c r="J6" t="inlineStr">
        <is>
          <t>Disetujui</t>
        </is>
      </c>
      <c r="K6" t="n">
        <v>60</v>
      </c>
      <c r="L6" t="inlineStr">
        <is>
          <t>21 November 2026</t>
        </is>
      </c>
      <c r="M6" t="inlineStr">
        <is>
          <t>Konstruksi Bangunan Sipil Jalan, Konstruksi Gedung Lainnya, Konstruksi Jaringan Irigasi dan Drainase</t>
        </is>
      </c>
      <c r="N6" t="inlineStr">
        <is>
          <t>K</t>
        </is>
      </c>
      <c r="O6" t="inlineStr">
        <is>
          <t>20231120, 20231127, 20231128</t>
        </is>
      </c>
      <c r="P6" t="inlineStr">
        <is>
          <t>Jawa Barat</t>
        </is>
      </c>
      <c r="Q6" s="3">
        <f>HYPERLINK("https://wa.me/6281219128708?text=*[PENGINGAT MASA BERLAKU SBU KUJANG TUNGGAL PERKASA]*%0A%0AYth. Pimpinan KUJANG TUNGGAL PERKASA,%0AMohon izin menginformasikan status SBU Anda di sistem LPJK:%0A%0A📄 SBU: BG009, BS001, BS004%0A📅 Expired: 21 November 2026 (60 Hari Lagi)%0A%0AKami tim PT. ESDEA Assistance Management siap men-support proses perpanjangan segera agar administrasi proyek tidak terhambat%0A%0AApakah boleh saya bantu siapkan estimasi biaya dan waktu pengerjaannya?.", "Hubungi")</f>
        <v/>
      </c>
    </row>
    <row r="7">
      <c r="A7" t="inlineStr">
        <is>
          <t>NINDYA KARYA</t>
        </is>
      </c>
      <c r="B7" t="inlineStr">
        <is>
          <t>Kota Adm. Jakarta Timur</t>
        </is>
      </c>
      <c r="C7" t="inlineStr">
        <is>
          <t>0218093276</t>
        </is>
      </c>
      <c r="D7" t="inlineStr">
        <is>
          <t>admteknik.nk@gmail.com</t>
        </is>
      </c>
      <c r="E7" t="inlineStr">
        <is>
          <t>https://lpjk.pu.go.id/search-badan-usaha-detail/M2NpbGU0S1pweGJwenhuVnpvMXoxLzY5aVA5anRPNGNEVUdUVmpnVE1XTT0</t>
        </is>
      </c>
      <c r="F7" t="n">
        <v>16</v>
      </c>
      <c r="G7" t="inlineStr">
        <is>
          <t>BG002, BG003, BG004, BG005, BG006, BG007, BG008, BG009</t>
        </is>
      </c>
      <c r="H7" t="inlineStr">
        <is>
          <t>3 November 2025</t>
        </is>
      </c>
      <c r="I7" s="2" t="n">
        <v>46347</v>
      </c>
      <c r="J7" t="inlineStr">
        <is>
          <t>Disetujui</t>
        </is>
      </c>
      <c r="K7" t="n">
        <v>60</v>
      </c>
      <c r="L7" t="inlineStr">
        <is>
          <t>21 November 2026</t>
        </is>
      </c>
      <c r="M7" t="inlineStr">
        <is>
          <t>Konstruksi Gedung Industri, Konstruksi Gedung Kesehatan, Konstruksi Gedung Lainnya, Konstruksi Gedung Pendidikan, Konstruksi Gedung Penginapan, Konstruksi Gedung Perbelanjaan, Konstruksi Gedung Perkantoran, Konstruksi Gedung Tempat Hiburan dan Olahraga</t>
        </is>
      </c>
      <c r="N7" t="inlineStr">
        <is>
          <t>B</t>
        </is>
      </c>
      <c r="O7" t="inlineStr">
        <is>
          <t>20231024, 20231025, 20231027, 20231107, 20231121, 20231122</t>
        </is>
      </c>
      <c r="P7" t="inlineStr">
        <is>
          <t>DKI Jakarta</t>
        </is>
      </c>
      <c r="Q7" t="inlineStr"/>
    </row>
    <row r="8">
      <c r="A8" t="inlineStr">
        <is>
          <t>PRIMA GRAHA BANGUN TUNGGAL</t>
        </is>
      </c>
      <c r="B8" t="inlineStr">
        <is>
          <t>Kota Depok</t>
        </is>
      </c>
      <c r="C8" t="inlineStr">
        <is>
          <t>0217542688</t>
        </is>
      </c>
      <c r="D8" t="inlineStr">
        <is>
          <t>adm.primagbt@gmail.com</t>
        </is>
      </c>
      <c r="E8" t="inlineStr">
        <is>
          <t>https://lpjk.pu.go.id/search-badan-usaha-detail/QWR5N3AwWWNJalR2QTZ2YWg1TWhDdz09</t>
        </is>
      </c>
      <c r="F8" t="n">
        <v>4</v>
      </c>
      <c r="G8" t="inlineStr">
        <is>
          <t>BG001, BS004, BS005, BS016</t>
        </is>
      </c>
      <c r="H8" t="inlineStr">
        <is>
          <t>8 Juli 1986</t>
        </is>
      </c>
      <c r="I8" s="2" t="n">
        <v>46347</v>
      </c>
      <c r="J8" t="inlineStr">
        <is>
          <t>Disetujui, Pembekuan</t>
        </is>
      </c>
      <c r="K8" t="n">
        <v>60</v>
      </c>
      <c r="L8" t="inlineStr">
        <is>
          <t>21 November 2026</t>
        </is>
      </c>
      <c r="M8" t="inlineStr">
        <is>
          <t>Konstruksi Bangunan Sipil Fasilitas Olah Raga, Konstruksi Bangunan Sipil Pengolahan Air Bersih, Konstruksi Gedung Hunian, Konstruksi Jaringan Irigasi dan Drainase</t>
        </is>
      </c>
      <c r="N8" t="inlineStr">
        <is>
          <t>K, M</t>
        </is>
      </c>
      <c r="O8" t="inlineStr">
        <is>
          <t>20231121, 20231122</t>
        </is>
      </c>
      <c r="P8" t="inlineStr">
        <is>
          <t>Jawa Barat</t>
        </is>
      </c>
      <c r="Q8" t="inlineStr"/>
    </row>
    <row r="9">
      <c r="A9" t="inlineStr">
        <is>
          <t>PRIMA PESONA ARDI KREASI</t>
        </is>
      </c>
      <c r="B9" t="inlineStr">
        <is>
          <t>Kab. Bogor</t>
        </is>
      </c>
      <c r="C9" t="inlineStr">
        <is>
          <t>08111295553</t>
        </is>
      </c>
      <c r="D9" t="inlineStr">
        <is>
          <t>ardikreasi01@gmail.com</t>
        </is>
      </c>
      <c r="E9" t="inlineStr">
        <is>
          <t>https://lpjk.pu.go.id/search-badan-usaha-detail/Nk5jZzBjblAvYnFYOTQrNDAxNjdDZz09</t>
        </is>
      </c>
      <c r="F9" t="n">
        <v>1</v>
      </c>
      <c r="G9" t="inlineStr">
        <is>
          <t>BG002</t>
        </is>
      </c>
      <c r="H9" t="inlineStr">
        <is>
          <t>15 April 2011</t>
        </is>
      </c>
      <c r="I9" s="2" t="n">
        <v>46347</v>
      </c>
      <c r="J9" t="inlineStr">
        <is>
          <t>Disetujui</t>
        </is>
      </c>
      <c r="K9" t="n">
        <v>60</v>
      </c>
      <c r="L9" t="inlineStr">
        <is>
          <t>21 November 2026</t>
        </is>
      </c>
      <c r="M9" t="inlineStr">
        <is>
          <t>Konstruksi Gedung Perkantoran</t>
        </is>
      </c>
      <c r="N9" t="inlineStr">
        <is>
          <t>K</t>
        </is>
      </c>
      <c r="O9" t="inlineStr">
        <is>
          <t>20231120</t>
        </is>
      </c>
      <c r="P9" t="inlineStr">
        <is>
          <t>Jawa Barat</t>
        </is>
      </c>
      <c r="Q9" s="3">
        <f>HYPERLINK("https://wa.me/628111295553?text=*[PENGINGAT MASA BERLAKU SBU PRIMA PESONA ARDI KREASI]*%0A%0AYth. Pimpinan PRIMA PESONA ARDI KREASI,%0AMohon izin menginformasikan status SBU Anda di sistem LPJK:%0A%0A📄 SBU: BG002%0A📅 Expired: 21 November 2026 (60 Hari Lagi)%0A%0AKami tim PT. ESDEA Assistance Management siap men-support proses perpanjangan segera agar administrasi proyek tidak terhambat%0A%0AApakah boleh saya bantu siapkan estimasi biaya dan waktu pengerjaannya?.", "Hubungi")</f>
        <v/>
      </c>
    </row>
    <row r="10">
      <c r="A10" t="inlineStr">
        <is>
          <t>REKA YASA DINAMIKA</t>
        </is>
      </c>
      <c r="B10" t="inlineStr">
        <is>
          <t>Kota Bekasi</t>
        </is>
      </c>
      <c r="C10" t="inlineStr">
        <is>
          <t>0218457836</t>
        </is>
      </c>
      <c r="D10" t="inlineStr">
        <is>
          <t>pt_rekayasa_dinamika@yahoo.com</t>
        </is>
      </c>
      <c r="E10" t="inlineStr">
        <is>
          <t>https://lpjk.pu.go.id/search-badan-usaha-detail/WWNCZkNVQkd5UEdGa0h3dmZQMXg2dz09</t>
        </is>
      </c>
      <c r="F10" t="n">
        <v>1</v>
      </c>
      <c r="G10" t="inlineStr">
        <is>
          <t>RK001</t>
        </is>
      </c>
      <c r="H10" t="inlineStr">
        <is>
          <t>2 Juni 2021</t>
        </is>
      </c>
      <c r="I10" s="2" t="n">
        <v>46347</v>
      </c>
      <c r="J10" t="inlineStr">
        <is>
          <t>Disetujui</t>
        </is>
      </c>
      <c r="K10" t="n">
        <v>60</v>
      </c>
      <c r="L10" t="inlineStr">
        <is>
          <t>21 November 2026</t>
        </is>
      </c>
      <c r="M10" t="inlineStr">
        <is>
          <t>Jasa Rekayasa Konstruksi Bangunan Gedung Hunian dan Non Hunian</t>
        </is>
      </c>
      <c r="N10" t="inlineStr">
        <is>
          <t>K</t>
        </is>
      </c>
      <c r="O10" t="inlineStr">
        <is>
          <t>20231112</t>
        </is>
      </c>
      <c r="P10" t="inlineStr">
        <is>
          <t>Jawa Barat</t>
        </is>
      </c>
      <c r="Q10" t="inlineStr"/>
    </row>
    <row r="11">
      <c r="A11" t="inlineStr">
        <is>
          <t>TAMADO KONSTRUKSINDO SELARAS</t>
        </is>
      </c>
      <c r="B11" t="inlineStr">
        <is>
          <t>Kota Adm. Jakarta Timur</t>
        </is>
      </c>
      <c r="C11" t="inlineStr">
        <is>
          <t>22819637</t>
        </is>
      </c>
      <c r="D11" t="inlineStr">
        <is>
          <t>tamado_ks2013@yahoo.co.id</t>
        </is>
      </c>
      <c r="E11" t="inlineStr">
        <is>
          <t>https://lpjk.pu.go.id/search-badan-usaha-detail/Mm14WDBoekp3TzZtL1FvaHVvMWpQQT09</t>
        </is>
      </c>
      <c r="F11" t="n">
        <v>1</v>
      </c>
      <c r="G11" t="inlineStr">
        <is>
          <t>BS010</t>
        </is>
      </c>
      <c r="H11" t="inlineStr">
        <is>
          <t>20 Juni 2001</t>
        </is>
      </c>
      <c r="I11" s="2" t="n">
        <v>46347</v>
      </c>
      <c r="J11" t="inlineStr">
        <is>
          <t>Disetujui</t>
        </is>
      </c>
      <c r="K11" t="n">
        <v>60</v>
      </c>
      <c r="L11" t="inlineStr">
        <is>
          <t>21 November 2026</t>
        </is>
      </c>
      <c r="M11" t="inlineStr">
        <is>
          <t>Konstruksi Bangunan Prasarana Sumber Daya Air</t>
        </is>
      </c>
      <c r="N11" t="inlineStr">
        <is>
          <t>M</t>
        </is>
      </c>
      <c r="O11" t="inlineStr">
        <is>
          <t>20231120</t>
        </is>
      </c>
      <c r="P11" t="inlineStr">
        <is>
          <t>DKI Jakarta</t>
        </is>
      </c>
      <c r="Q11" t="inlineStr"/>
    </row>
    <row r="12">
      <c r="A12" t="inlineStr">
        <is>
          <t>TIDARJAYA SOLIDINDO</t>
        </is>
      </c>
      <c r="B12" t="inlineStr">
        <is>
          <t>Kota Bekasi</t>
        </is>
      </c>
      <c r="C12" t="inlineStr">
        <is>
          <t>0218474828</t>
        </is>
      </c>
      <c r="D12" t="inlineStr">
        <is>
          <t>tidarjaya.solidindo@gmail.com</t>
        </is>
      </c>
      <c r="E12" t="inlineStr">
        <is>
          <t>https://lpjk.pu.go.id/search-badan-usaha-detail/OUFhODJTeXpRQXF1dUVFSEtuVVBvQT09</t>
        </is>
      </c>
      <c r="F12" t="n">
        <v>2</v>
      </c>
      <c r="G12" t="inlineStr">
        <is>
          <t>BG002</t>
        </is>
      </c>
      <c r="H12" t="inlineStr">
        <is>
          <t>16 Oktober 2020</t>
        </is>
      </c>
      <c r="I12" s="2" t="n">
        <v>46347</v>
      </c>
      <c r="J12" t="inlineStr">
        <is>
          <t>Disetujui</t>
        </is>
      </c>
      <c r="K12" t="n">
        <v>60</v>
      </c>
      <c r="L12" t="inlineStr">
        <is>
          <t>21 November 2026</t>
        </is>
      </c>
      <c r="M12" t="inlineStr">
        <is>
          <t>Konstruksi Gedung Perkantoran</t>
        </is>
      </c>
      <c r="N12" t="inlineStr">
        <is>
          <t>K</t>
        </is>
      </c>
      <c r="O12" t="inlineStr">
        <is>
          <t>20231120</t>
        </is>
      </c>
      <c r="P12" t="inlineStr">
        <is>
          <t>Jawa Barat</t>
        </is>
      </c>
      <c r="Q12" t="inlineStr"/>
    </row>
    <row r="13">
      <c r="A13" t="inlineStr">
        <is>
          <t>TRISULA CIPTA JAYA</t>
        </is>
      </c>
      <c r="B13" t="inlineStr">
        <is>
          <t>Kota Bekasi</t>
        </is>
      </c>
      <c r="C13" t="inlineStr">
        <is>
          <t>02189454152</t>
        </is>
      </c>
      <c r="D13" t="inlineStr">
        <is>
          <t>trisulacipta0697@gmail.com</t>
        </is>
      </c>
      <c r="E13" t="inlineStr">
        <is>
          <t>https://lpjk.pu.go.id/search-badan-usaha-detail/ZU10VGZrYWhCdHlxRkdQTzRBYnlKdz09</t>
        </is>
      </c>
      <c r="F13" t="n">
        <v>2</v>
      </c>
      <c r="G13" t="inlineStr">
        <is>
          <t>BG005, BS001</t>
        </is>
      </c>
      <c r="H13" t="inlineStr">
        <is>
          <t>22 Agustus 2017</t>
        </is>
      </c>
      <c r="I13" s="2" t="n">
        <v>46347</v>
      </c>
      <c r="J13" t="inlineStr">
        <is>
          <t>Disetujui</t>
        </is>
      </c>
      <c r="K13" t="n">
        <v>60</v>
      </c>
      <c r="L13" t="inlineStr">
        <is>
          <t>21 November 2026</t>
        </is>
      </c>
      <c r="M13" t="inlineStr">
        <is>
          <t>Konstruksi Bangunan Sipil Jalan, Konstruksi Gedung Kesehatan</t>
        </is>
      </c>
      <c r="N13" t="inlineStr">
        <is>
          <t>K</t>
        </is>
      </c>
      <c r="O13" t="inlineStr">
        <is>
          <t>20231121</t>
        </is>
      </c>
      <c r="P13" t="inlineStr">
        <is>
          <t>Jawa Barat</t>
        </is>
      </c>
      <c r="Q13" t="inlineStr"/>
    </row>
    <row r="14">
      <c r="A14" t="inlineStr">
        <is>
          <t>WIJAYA KARYA BETON</t>
        </is>
      </c>
      <c r="B14" t="inlineStr">
        <is>
          <t>Kota Adm. Jakarta Timur</t>
        </is>
      </c>
      <c r="C14" t="inlineStr">
        <is>
          <t>0218192802</t>
        </is>
      </c>
      <c r="D14" t="inlineStr">
        <is>
          <t>legalwikabeton@gmail.com</t>
        </is>
      </c>
      <c r="E14" t="inlineStr">
        <is>
          <t>https://lpjk.pu.go.id/search-badan-usaha-detail/b3FGaCtXbzF1dVBmWkdsVDRMRkdJUT09</t>
        </is>
      </c>
      <c r="F14" t="n">
        <v>2</v>
      </c>
      <c r="G14" t="inlineStr">
        <is>
          <t>BS007</t>
        </is>
      </c>
      <c r="H14" t="inlineStr">
        <is>
          <t>11 Maret 1997</t>
        </is>
      </c>
      <c r="I14" s="2" t="n">
        <v>46347</v>
      </c>
      <c r="J14" t="inlineStr">
        <is>
          <t>Disetujui</t>
        </is>
      </c>
      <c r="K14" t="n">
        <v>60</v>
      </c>
      <c r="L14" t="inlineStr">
        <is>
          <t>21 November 2026</t>
        </is>
      </c>
      <c r="M14" t="inlineStr">
        <is>
          <t>Konstruksi Bangunan Sipil Elektrikal</t>
        </is>
      </c>
      <c r="N14" t="inlineStr">
        <is>
          <t>B</t>
        </is>
      </c>
      <c r="O14" t="inlineStr">
        <is>
          <t>20231121</t>
        </is>
      </c>
      <c r="P14" t="inlineStr">
        <is>
          <t>DKI Jakarta</t>
        </is>
      </c>
      <c r="Q14" t="inlineStr"/>
    </row>
    <row r="15">
      <c r="A15" t="inlineStr">
        <is>
          <t>ABBASY MULTIKARYA</t>
        </is>
      </c>
      <c r="B15" t="inlineStr">
        <is>
          <t>Kota Tidore Kepulauan</t>
        </is>
      </c>
      <c r="C15" t="inlineStr">
        <is>
          <t>085394088486</t>
        </is>
      </c>
      <c r="D15" t="inlineStr">
        <is>
          <t>cv.abbasymultikarya@gmail.com</t>
        </is>
      </c>
      <c r="E15" t="inlineStr">
        <is>
          <t>https://lpjk.pu.go.id/search-badan-usaha-detail/djJRSTdrVXZSL090VUhXTXVXVkxlZz09</t>
        </is>
      </c>
      <c r="F15" t="n">
        <v>4</v>
      </c>
      <c r="G15" t="inlineStr">
        <is>
          <t>BG002, BG006</t>
        </is>
      </c>
      <c r="H15" t="inlineStr">
        <is>
          <t>27 Februari 2023</t>
        </is>
      </c>
      <c r="I15" s="2" t="n">
        <v>46347</v>
      </c>
      <c r="J15" t="inlineStr">
        <is>
          <t>Disetujui</t>
        </is>
      </c>
      <c r="K15" t="n">
        <v>60</v>
      </c>
      <c r="L15" t="inlineStr">
        <is>
          <t>21 November 2026</t>
        </is>
      </c>
      <c r="M15" t="inlineStr">
        <is>
          <t>Konstruksi Gedung Pendidikan, Konstruksi Gedung Perkantoran</t>
        </is>
      </c>
      <c r="N15" t="inlineStr">
        <is>
          <t>K</t>
        </is>
      </c>
      <c r="O15" t="inlineStr">
        <is>
          <t>20231121</t>
        </is>
      </c>
      <c r="P15" t="inlineStr">
        <is>
          <t>Maluku Utara</t>
        </is>
      </c>
      <c r="Q15" t="inlineStr"/>
    </row>
    <row r="16">
      <c r="A16" t="inlineStr">
        <is>
          <t>ADI KARYA MANDIRI</t>
        </is>
      </c>
      <c r="B16" t="inlineStr">
        <is>
          <t>Kab. Banyumas</t>
        </is>
      </c>
      <c r="C16" t="inlineStr">
        <is>
          <t>081383753886</t>
        </is>
      </c>
      <c r="D16" t="inlineStr">
        <is>
          <t>aminkholifudin2407@gmail.com</t>
        </is>
      </c>
      <c r="E16" t="inlineStr">
        <is>
          <t>https://lpjk.pu.go.id/search-badan-usaha-detail/OTh4VitZb24yS092ZURFaThNbjZ6Zz09</t>
        </is>
      </c>
      <c r="F16" t="n">
        <v>3</v>
      </c>
      <c r="G16" t="inlineStr">
        <is>
          <t>BG002, BG005, BG006</t>
        </is>
      </c>
      <c r="H16" t="inlineStr">
        <is>
          <t>8 November 2023</t>
        </is>
      </c>
      <c r="I16" s="2" t="n">
        <v>46347</v>
      </c>
      <c r="J16" t="inlineStr">
        <is>
          <t>Disetujui</t>
        </is>
      </c>
      <c r="K16" t="n">
        <v>60</v>
      </c>
      <c r="L16" t="inlineStr">
        <is>
          <t>21 November 2026</t>
        </is>
      </c>
      <c r="M16" t="inlineStr">
        <is>
          <t>Konstruksi Gedung Kesehatan, Konstruksi Gedung Pendidikan, Konstruksi Gedung Perkantoran</t>
        </is>
      </c>
      <c r="N16" t="inlineStr">
        <is>
          <t>K</t>
        </is>
      </c>
      <c r="O16" t="inlineStr">
        <is>
          <t>20231121, 20231122</t>
        </is>
      </c>
      <c r="P16" t="inlineStr">
        <is>
          <t>Jawa Tengah</t>
        </is>
      </c>
      <c r="Q16" t="inlineStr"/>
    </row>
    <row r="17">
      <c r="A17" t="inlineStr">
        <is>
          <t>ALFATH MAKMUR JAYA</t>
        </is>
      </c>
      <c r="B17" t="inlineStr">
        <is>
          <t>Kota Kendari</t>
        </is>
      </c>
      <c r="C17" t="inlineStr">
        <is>
          <t>081140201216</t>
        </is>
      </c>
      <c r="D17" t="inlineStr">
        <is>
          <t>cv.alfatihjaya20@gmail.com</t>
        </is>
      </c>
      <c r="E17" t="inlineStr">
        <is>
          <t>https://lpjk.pu.go.id/search-badan-usaha-detail/YmhWbUUrTHdtb2JyWjVON2VIeHpLdz09</t>
        </is>
      </c>
      <c r="F17" t="n">
        <v>3</v>
      </c>
      <c r="G17" t="inlineStr">
        <is>
          <t>BG002</t>
        </is>
      </c>
      <c r="H17" t="inlineStr">
        <is>
          <t>12 Agustus 2020</t>
        </is>
      </c>
      <c r="I17" s="2" t="n">
        <v>46347</v>
      </c>
      <c r="J17" t="inlineStr">
        <is>
          <t>Disetujui</t>
        </is>
      </c>
      <c r="K17" t="n">
        <v>60</v>
      </c>
      <c r="L17" t="inlineStr">
        <is>
          <t>21 November 2026</t>
        </is>
      </c>
      <c r="M17" t="inlineStr">
        <is>
          <t>Konstruksi Gedung Perkantoran</t>
        </is>
      </c>
      <c r="N17" t="inlineStr">
        <is>
          <t>K</t>
        </is>
      </c>
      <c r="O17" t="inlineStr">
        <is>
          <t>20231120</t>
        </is>
      </c>
      <c r="P17" t="inlineStr">
        <is>
          <t>Sulawesi Tenggara</t>
        </is>
      </c>
      <c r="Q17" t="inlineStr"/>
    </row>
    <row r="18">
      <c r="A18" t="inlineStr">
        <is>
          <t>ALTON BINTANG WALMOND</t>
        </is>
      </c>
      <c r="B18" t="inlineStr">
        <is>
          <t>Kota Padang</t>
        </is>
      </c>
      <c r="C18" t="inlineStr">
        <is>
          <t>081363262976</t>
        </is>
      </c>
      <c r="D18" t="inlineStr">
        <is>
          <t>ptaltonbintangwalmond@gmail.com</t>
        </is>
      </c>
      <c r="E18" t="inlineStr">
        <is>
          <t>https://lpjk.pu.go.id/search-badan-usaha-detail/MXQrQUVUNXNML0hMR29MM3VuU0VsUT09</t>
        </is>
      </c>
      <c r="F18" t="n">
        <v>2</v>
      </c>
      <c r="G18" t="inlineStr">
        <is>
          <t>BG003, BG009</t>
        </is>
      </c>
      <c r="H18" t="inlineStr">
        <is>
          <t>21 Desember 2016</t>
        </is>
      </c>
      <c r="I18" s="2" t="n">
        <v>46347</v>
      </c>
      <c r="J18" t="inlineStr">
        <is>
          <t>Pencabutan</t>
        </is>
      </c>
      <c r="K18" t="n">
        <v>60</v>
      </c>
      <c r="L18" t="inlineStr">
        <is>
          <t>21 November 2026</t>
        </is>
      </c>
      <c r="M18" t="inlineStr">
        <is>
          <t>Konstruksi Gedung Industri, Konstruksi Gedung Lainnya</t>
        </is>
      </c>
      <c r="N18" t="inlineStr">
        <is>
          <t>K</t>
        </is>
      </c>
      <c r="O18" t="inlineStr">
        <is>
          <t>20231117</t>
        </is>
      </c>
      <c r="P18" t="inlineStr">
        <is>
          <t>Sumatera Barat</t>
        </is>
      </c>
      <c r="Q18" t="inlineStr"/>
    </row>
    <row r="19">
      <c r="A19" t="inlineStr">
        <is>
          <t>ALYA KARYA SENTOSA</t>
        </is>
      </c>
      <c r="B19" t="inlineStr">
        <is>
          <t>Kota Surabaya</t>
        </is>
      </c>
      <c r="C19" t="inlineStr">
        <is>
          <t>085103195758</t>
        </is>
      </c>
      <c r="D19" t="inlineStr">
        <is>
          <t>alyasentosa2019@gmail.com</t>
        </is>
      </c>
      <c r="E19" t="inlineStr">
        <is>
          <t>https://lpjk.pu.go.id/search-badan-usaha-detail/WEovMkdpTEY0cjVhdElFelh2ZG5KUT09</t>
        </is>
      </c>
      <c r="F19" t="n">
        <v>1</v>
      </c>
      <c r="G19" t="inlineStr">
        <is>
          <t>BG009</t>
        </is>
      </c>
      <c r="H19" t="inlineStr">
        <is>
          <t>28 Juni 2018</t>
        </is>
      </c>
      <c r="I19" s="2" t="n">
        <v>46347</v>
      </c>
      <c r="J19" t="inlineStr">
        <is>
          <t>Disetujui</t>
        </is>
      </c>
      <c r="K19" t="n">
        <v>60</v>
      </c>
      <c r="L19" t="inlineStr">
        <is>
          <t>21 November 2026</t>
        </is>
      </c>
      <c r="M19" t="inlineStr">
        <is>
          <t>Konstruksi Gedung Lainnya</t>
        </is>
      </c>
      <c r="N19" t="inlineStr">
        <is>
          <t>K</t>
        </is>
      </c>
      <c r="O19" t="inlineStr">
        <is>
          <t>20231121</t>
        </is>
      </c>
      <c r="P19" t="inlineStr">
        <is>
          <t>Jawa Timur</t>
        </is>
      </c>
      <c r="Q19" t="inlineStr"/>
    </row>
    <row r="20">
      <c r="A20" t="inlineStr">
        <is>
          <t>AMANDA</t>
        </is>
      </c>
      <c r="B20" t="inlineStr">
        <is>
          <t>Kab. Merangin</t>
        </is>
      </c>
      <c r="C20" t="inlineStr">
        <is>
          <t>082269768263</t>
        </is>
      </c>
      <c r="D20" t="inlineStr">
        <is>
          <t>darm8569@gmail.com</t>
        </is>
      </c>
      <c r="E20" t="inlineStr">
        <is>
          <t>https://lpjk.pu.go.id/search-badan-usaha-detail/cGZxWElsRkU4ZFVDK2ZWUWw3YXFIZz09</t>
        </is>
      </c>
      <c r="F20" t="n">
        <v>2</v>
      </c>
      <c r="G20" t="inlineStr">
        <is>
          <t>BS002</t>
        </is>
      </c>
      <c r="H20" t="inlineStr">
        <is>
          <t>16 April 2009</t>
        </is>
      </c>
      <c r="I20" s="2" t="n">
        <v>46347</v>
      </c>
      <c r="J20" t="inlineStr">
        <is>
          <t>Disetujui</t>
        </is>
      </c>
      <c r="K20" t="n">
        <v>60</v>
      </c>
      <c r="L20" t="inlineStr">
        <is>
          <t>21 November 2026</t>
        </is>
      </c>
      <c r="M20" t="inlineStr">
        <is>
          <t>Bangunan Sipil Jembatan, Jalan Layang, Fly Over, dan Underpass</t>
        </is>
      </c>
      <c r="N20" t="inlineStr">
        <is>
          <t>K</t>
        </is>
      </c>
      <c r="O20" t="inlineStr">
        <is>
          <t>20231108</t>
        </is>
      </c>
      <c r="P20" t="inlineStr">
        <is>
          <t>Jambi</t>
        </is>
      </c>
      <c r="Q20" t="inlineStr"/>
    </row>
    <row r="21">
      <c r="A21" t="inlineStr">
        <is>
          <t>AMAR</t>
        </is>
      </c>
      <c r="B21" t="inlineStr">
        <is>
          <t>Kab. Aceh Barat Daya</t>
        </is>
      </c>
      <c r="C21" t="inlineStr">
        <is>
          <t>085270227218</t>
        </is>
      </c>
      <c r="D21" t="inlineStr">
        <is>
          <t>cv.amar.abdya@gmail.com</t>
        </is>
      </c>
      <c r="E21" t="inlineStr">
        <is>
          <t>https://lpjk.pu.go.id/search-badan-usaha-detail/Q0xLNXZ0M21IV3NsVTZvbldkVU44UT09</t>
        </is>
      </c>
      <c r="F21" t="n">
        <v>2</v>
      </c>
      <c r="G21" t="inlineStr">
        <is>
          <t>BS001, BS004</t>
        </is>
      </c>
      <c r="H21" t="inlineStr">
        <is>
          <t>19 Januari 2007</t>
        </is>
      </c>
      <c r="I21" s="2" t="n">
        <v>46347</v>
      </c>
      <c r="J21" t="inlineStr">
        <is>
          <t>Disetujui</t>
        </is>
      </c>
      <c r="K21" t="n">
        <v>60</v>
      </c>
      <c r="L21" t="inlineStr">
        <is>
          <t>21 November 2026</t>
        </is>
      </c>
      <c r="M21" t="inlineStr">
        <is>
          <t>Konstruksi Bangunan Sipil Jalan, Konstruksi Jaringan Irigasi dan Drainase</t>
        </is>
      </c>
      <c r="N21" t="inlineStr">
        <is>
          <t>K</t>
        </is>
      </c>
      <c r="O21" t="inlineStr">
        <is>
          <t>20231026, 20231116</t>
        </is>
      </c>
      <c r="P21" t="inlineStr">
        <is>
          <t>Aceh</t>
        </is>
      </c>
      <c r="Q21" t="inlineStr"/>
    </row>
    <row r="22">
      <c r="A22" t="inlineStr">
        <is>
          <t>AMMAR JAYA MANDIRI</t>
        </is>
      </c>
      <c r="B22" t="inlineStr">
        <is>
          <t>Kab. Cirebon</t>
        </is>
      </c>
      <c r="C22" t="inlineStr">
        <is>
          <t>081212222114</t>
        </is>
      </c>
      <c r="D22" t="inlineStr">
        <is>
          <t>cv.ajm151@gmail.com</t>
        </is>
      </c>
      <c r="E22" t="inlineStr">
        <is>
          <t>https://lpjk.pu.go.id/search-badan-usaha-detail/b05lYkJWaHY5d3BJb1VJNHV2MFFHUT09</t>
        </is>
      </c>
      <c r="F22" t="n">
        <v>6</v>
      </c>
      <c r="G22" t="inlineStr">
        <is>
          <t>BG002, BG004, BG005, BG006, BG009, BS001</t>
        </is>
      </c>
      <c r="H22" t="inlineStr">
        <is>
          <t>15 Januari 2020</t>
        </is>
      </c>
      <c r="I22" s="2" t="n">
        <v>46347</v>
      </c>
      <c r="J22" t="inlineStr">
        <is>
          <t>Disetujui</t>
        </is>
      </c>
      <c r="K22" t="n">
        <v>60</v>
      </c>
      <c r="L22" t="inlineStr">
        <is>
          <t>21 November 2026</t>
        </is>
      </c>
      <c r="M22" t="inlineStr">
        <is>
          <t>Konstruksi Bangunan Sipil Jalan, Konstruksi Gedung Kesehatan, Konstruksi Gedung Lainnya, Konstruksi Gedung Pendidikan, Konstruksi Gedung Perbelanjaan, Konstruksi Gedung Perkantoran</t>
        </is>
      </c>
      <c r="N22" t="inlineStr">
        <is>
          <t>K</t>
        </is>
      </c>
      <c r="O22" t="inlineStr">
        <is>
          <t>20231115, 20231120, 20231121, 20231122</t>
        </is>
      </c>
      <c r="P22" t="inlineStr">
        <is>
          <t>Jawa Barat</t>
        </is>
      </c>
      <c r="Q22" t="inlineStr"/>
    </row>
    <row r="23">
      <c r="A23" t="inlineStr">
        <is>
          <t>ANNISA JAYA</t>
        </is>
      </c>
      <c r="B23" t="inlineStr">
        <is>
          <t>Kab. Nganjuk</t>
        </is>
      </c>
      <c r="C23" t="inlineStr">
        <is>
          <t>081335807469</t>
        </is>
      </c>
      <c r="D23" t="inlineStr">
        <is>
          <t>annisajaya67@gmail.com</t>
        </is>
      </c>
      <c r="E23" t="inlineStr">
        <is>
          <t>https://lpjk.pu.go.id/search-badan-usaha-detail/NEROR09ya1cwa1E5TnNlcjhGOTd0QT09</t>
        </is>
      </c>
      <c r="F23" t="n">
        <v>3</v>
      </c>
      <c r="G23" t="inlineStr">
        <is>
          <t>BG006, BS001, BS004</t>
        </is>
      </c>
      <c r="H23" t="inlineStr">
        <is>
          <t>18 Desember 2007</t>
        </is>
      </c>
      <c r="I23" s="2" t="n">
        <v>46347</v>
      </c>
      <c r="J23" t="inlineStr">
        <is>
          <t>Disetujui</t>
        </is>
      </c>
      <c r="K23" t="n">
        <v>60</v>
      </c>
      <c r="L23" t="inlineStr">
        <is>
          <t>21 November 2026</t>
        </is>
      </c>
      <c r="M23" t="inlineStr">
        <is>
          <t>Konstruksi Bangunan Sipil Jalan, Konstruksi Gedung Pendidikan, Konstruksi Jaringan Irigasi dan Drainase</t>
        </is>
      </c>
      <c r="N23" t="inlineStr">
        <is>
          <t>K</t>
        </is>
      </c>
      <c r="O23" t="inlineStr">
        <is>
          <t>20231119</t>
        </is>
      </c>
      <c r="P23" t="inlineStr">
        <is>
          <t>Jawa Timur</t>
        </is>
      </c>
      <c r="Q23" t="inlineStr"/>
    </row>
    <row r="24">
      <c r="A24" t="inlineStr">
        <is>
          <t>AQILAH HASANAH</t>
        </is>
      </c>
      <c r="B24" t="inlineStr">
        <is>
          <t>Kab. Kutai Timur</t>
        </is>
      </c>
      <c r="C24" t="inlineStr">
        <is>
          <t>081254186722</t>
        </is>
      </c>
      <c r="D24" t="inlineStr">
        <is>
          <t>aqilahhasanah55@gmail.com</t>
        </is>
      </c>
      <c r="E24" t="inlineStr">
        <is>
          <t>https://lpjk.pu.go.id/search-badan-usaha-detail/dmZKL2c2RndkT3Jmc1pvZk9SWWMxQT09</t>
        </is>
      </c>
      <c r="F24" t="n">
        <v>5</v>
      </c>
      <c r="G24" t="inlineStr">
        <is>
          <t>BG004, BG006, BG009, BS001, BS004</t>
        </is>
      </c>
      <c r="H24" t="inlineStr">
        <is>
          <t>19 September 2023</t>
        </is>
      </c>
      <c r="I24" s="2" t="n">
        <v>46347</v>
      </c>
      <c r="J24" t="inlineStr">
        <is>
          <t>Pencabutan</t>
        </is>
      </c>
      <c r="K24" t="n">
        <v>60</v>
      </c>
      <c r="L24" t="inlineStr">
        <is>
          <t>21 November 2026</t>
        </is>
      </c>
      <c r="M24" t="inlineStr">
        <is>
          <t>Konstruksi Bangunan Sipil Jalan, Konstruksi Gedung Lainnya, Konstruksi Gedung Pendidikan, Konstruksi Gedung Perbelanjaan, Konstruksi Jaringan Irigasi dan Drainase</t>
        </is>
      </c>
      <c r="N24" t="inlineStr">
        <is>
          <t>K</t>
        </is>
      </c>
      <c r="O24" t="inlineStr">
        <is>
          <t>20231116</t>
        </is>
      </c>
      <c r="P24" t="inlineStr">
        <is>
          <t>Kalimantan Timur</t>
        </is>
      </c>
      <c r="Q24" t="inlineStr"/>
    </row>
    <row r="25">
      <c r="A25" t="inlineStr">
        <is>
          <t>ARCHIDECO PRATAMA</t>
        </is>
      </c>
      <c r="B25" t="inlineStr">
        <is>
          <t>Kota Tangerang</t>
        </is>
      </c>
      <c r="C25" t="inlineStr">
        <is>
          <t>02155794537</t>
        </is>
      </c>
      <c r="D25" t="inlineStr">
        <is>
          <t>archideco@cbn.net.id</t>
        </is>
      </c>
      <c r="E25" t="inlineStr">
        <is>
          <t>https://lpjk.pu.go.id/search-badan-usaha-detail/VVdXUlp2SFdnSGgrMHBUSnBiNzBHdz09</t>
        </is>
      </c>
      <c r="F25" t="n">
        <v>2</v>
      </c>
      <c r="G25" t="inlineStr">
        <is>
          <t>BG001, BG002</t>
        </is>
      </c>
      <c r="H25" t="inlineStr">
        <is>
          <t>3 April 1997</t>
        </is>
      </c>
      <c r="I25" s="2" t="n">
        <v>46347</v>
      </c>
      <c r="J25" t="inlineStr">
        <is>
          <t>Disetujui</t>
        </is>
      </c>
      <c r="K25" t="n">
        <v>60</v>
      </c>
      <c r="L25" t="inlineStr">
        <is>
          <t>21 November 2026</t>
        </is>
      </c>
      <c r="M25" t="inlineStr">
        <is>
          <t>Konstruksi Gedung Hunian, Konstruksi Gedung Perkantoran</t>
        </is>
      </c>
      <c r="N25" t="inlineStr">
        <is>
          <t>K</t>
        </is>
      </c>
      <c r="O25" t="inlineStr">
        <is>
          <t>20231121</t>
        </is>
      </c>
      <c r="P25" t="inlineStr">
        <is>
          <t>Banten</t>
        </is>
      </c>
      <c r="Q25" t="inlineStr"/>
    </row>
    <row r="26">
      <c r="A26" t="inlineStr">
        <is>
          <t>ARFINA</t>
        </is>
      </c>
      <c r="B26" t="inlineStr">
        <is>
          <t>Kab. Tanah Laut</t>
        </is>
      </c>
      <c r="C26" t="inlineStr">
        <is>
          <t>085393108182</t>
        </is>
      </c>
      <c r="D26" t="inlineStr">
        <is>
          <t>cv.arfina@yahoo.com</t>
        </is>
      </c>
      <c r="E26" t="inlineStr">
        <is>
          <t>https://lpjk.pu.go.id/search-badan-usaha-detail/S0prQU5BVnpDK1NUZGpTejZBTG92dz09</t>
        </is>
      </c>
      <c r="F26" t="n">
        <v>1</v>
      </c>
      <c r="G26" t="inlineStr">
        <is>
          <t>BG008</t>
        </is>
      </c>
      <c r="H26" t="inlineStr">
        <is>
          <t>16 Januari 2008</t>
        </is>
      </c>
      <c r="I26" s="2" t="n">
        <v>46347</v>
      </c>
      <c r="J26" t="inlineStr">
        <is>
          <t>Disetujui</t>
        </is>
      </c>
      <c r="K26" t="n">
        <v>60</v>
      </c>
      <c r="L26" t="inlineStr">
        <is>
          <t>21 November 2026</t>
        </is>
      </c>
      <c r="M26" t="inlineStr">
        <is>
          <t>Konstruksi Gedung Tempat Hiburan dan Olahraga</t>
        </is>
      </c>
      <c r="N26" t="inlineStr">
        <is>
          <t>K</t>
        </is>
      </c>
      <c r="O26" t="inlineStr">
        <is>
          <t>20231116</t>
        </is>
      </c>
      <c r="P26" t="inlineStr">
        <is>
          <t>Kalimantan Selatan</t>
        </is>
      </c>
      <c r="Q26" t="inlineStr"/>
    </row>
    <row r="27">
      <c r="A27" t="inlineStr">
        <is>
          <t>ARIQ CONTRAKTOR</t>
        </is>
      </c>
      <c r="B27" t="inlineStr">
        <is>
          <t>Kota Jambi</t>
        </is>
      </c>
      <c r="C27" t="inlineStr">
        <is>
          <t>08117497212</t>
        </is>
      </c>
      <c r="D27" t="inlineStr">
        <is>
          <t>cv.ariqcontraktor69@gmail.com</t>
        </is>
      </c>
      <c r="E27" t="inlineStr">
        <is>
          <t>https://lpjk.pu.go.id/search-badan-usaha-detail/V3J2bk16NXo5NlZHZmg4dG5uS1hQUT09</t>
        </is>
      </c>
      <c r="F27" t="n">
        <v>2</v>
      </c>
      <c r="G27" t="inlineStr">
        <is>
          <t>BG009, BS002</t>
        </is>
      </c>
      <c r="H27" t="inlineStr">
        <is>
          <t>16 Maret 2001</t>
        </is>
      </c>
      <c r="I27" s="2" t="n">
        <v>46347</v>
      </c>
      <c r="J27" t="inlineStr">
        <is>
          <t>Disetujui</t>
        </is>
      </c>
      <c r="K27" t="n">
        <v>60</v>
      </c>
      <c r="L27" t="inlineStr">
        <is>
          <t>21 November 2026</t>
        </is>
      </c>
      <c r="M27" t="inlineStr">
        <is>
          <t>Bangunan Sipil Jembatan, Jalan Layang, Fly Over, dan Underpass, Konstruksi Gedung Lainnya</t>
        </is>
      </c>
      <c r="N27" t="inlineStr">
        <is>
          <t>K</t>
        </is>
      </c>
      <c r="O27" t="inlineStr">
        <is>
          <t>20231117, 20231122</t>
        </is>
      </c>
      <c r="P27" t="inlineStr">
        <is>
          <t>Jambi</t>
        </is>
      </c>
      <c r="Q27" t="inlineStr"/>
    </row>
    <row r="28">
      <c r="A28" t="inlineStr">
        <is>
          <t>ARKINDO</t>
        </is>
      </c>
      <c r="B28" t="inlineStr">
        <is>
          <t>Kota Bandung</t>
        </is>
      </c>
      <c r="C28" t="inlineStr">
        <is>
          <t>02287304460</t>
        </is>
      </c>
      <c r="D28" t="inlineStr">
        <is>
          <t>pt.arkindo@gmail.com</t>
        </is>
      </c>
      <c r="E28" t="inlineStr">
        <is>
          <t>https://lpjk.pu.go.id/search-badan-usaha-detail/RGwvZFkvQzdGT2Y4elZmS1NUOGpydz09</t>
        </is>
      </c>
      <c r="F28" t="n">
        <v>1</v>
      </c>
      <c r="G28" t="inlineStr">
        <is>
          <t>BS005</t>
        </is>
      </c>
      <c r="H28" t="inlineStr">
        <is>
          <t>29 Mei 1980</t>
        </is>
      </c>
      <c r="I28" s="2" t="n">
        <v>46347</v>
      </c>
      <c r="J28" t="inlineStr">
        <is>
          <t>Pencabutan</t>
        </is>
      </c>
      <c r="K28" t="n">
        <v>60</v>
      </c>
      <c r="L28" t="inlineStr">
        <is>
          <t>21 November 2026</t>
        </is>
      </c>
      <c r="M28" t="inlineStr">
        <is>
          <t>Konstruksi Bangunan Sipil Pengolahan Air Bersih</t>
        </is>
      </c>
      <c r="N28" t="inlineStr">
        <is>
          <t>B</t>
        </is>
      </c>
      <c r="O28" t="inlineStr">
        <is>
          <t>20231122</t>
        </is>
      </c>
      <c r="P28" t="inlineStr">
        <is>
          <t>Jawa Barat</t>
        </is>
      </c>
      <c r="Q28" t="inlineStr"/>
    </row>
    <row r="29">
      <c r="A29" t="inlineStr">
        <is>
          <t>ARS GUMILANG</t>
        </is>
      </c>
      <c r="B29" t="inlineStr">
        <is>
          <t>Kab. Cirebon</t>
        </is>
      </c>
      <c r="C29" t="inlineStr">
        <is>
          <t>081224105621</t>
        </is>
      </c>
      <c r="D29" t="inlineStr">
        <is>
          <t>ars.gumilang@gmail.com</t>
        </is>
      </c>
      <c r="E29" t="inlineStr">
        <is>
          <t>https://lpjk.pu.go.id/search-badan-usaha-detail/MXpDNTBKSjVOTDNYMUc5K3FxbFoyUT09</t>
        </is>
      </c>
      <c r="F29" t="n">
        <v>1</v>
      </c>
      <c r="G29" t="inlineStr">
        <is>
          <t>RK002</t>
        </is>
      </c>
      <c r="H29" t="inlineStr">
        <is>
          <t>30 Juli 2018</t>
        </is>
      </c>
      <c r="I29" s="2" t="n">
        <v>46347</v>
      </c>
      <c r="J29" t="inlineStr">
        <is>
          <t>Disetujui</t>
        </is>
      </c>
      <c r="K29" t="n">
        <v>60</v>
      </c>
      <c r="L29" t="inlineStr">
        <is>
          <t>21 November 2026</t>
        </is>
      </c>
      <c r="M29" t="inlineStr">
        <is>
          <t>Jasa Rekayasa Pekerjaan Teknik Sipil Sumber Daya Air</t>
        </is>
      </c>
      <c r="N29" t="inlineStr">
        <is>
          <t>K</t>
        </is>
      </c>
      <c r="O29" t="inlineStr">
        <is>
          <t>20230208</t>
        </is>
      </c>
      <c r="P29" t="inlineStr">
        <is>
          <t>Jawa Barat</t>
        </is>
      </c>
      <c r="Q29" t="inlineStr"/>
    </row>
    <row r="30">
      <c r="A30" t="inlineStr">
        <is>
          <t>ASRI BERKAH</t>
        </is>
      </c>
      <c r="B30" t="inlineStr">
        <is>
          <t>Kota Solok</t>
        </is>
      </c>
      <c r="C30" t="inlineStr">
        <is>
          <t>085356968552</t>
        </is>
      </c>
      <c r="D30" t="inlineStr">
        <is>
          <t>asriberkah4@gmail.com</t>
        </is>
      </c>
      <c r="E30" t="inlineStr">
        <is>
          <t>https://lpjk.pu.go.id/search-badan-usaha-detail/YkVHQmZRQ0YvY2MzNUdDNzZydGdVdz09</t>
        </is>
      </c>
      <c r="F30" t="n">
        <v>1</v>
      </c>
      <c r="G30" t="inlineStr">
        <is>
          <t>BS002</t>
        </is>
      </c>
      <c r="H30" t="inlineStr">
        <is>
          <t>10 Agustus 2022</t>
        </is>
      </c>
      <c r="I30" s="2" t="n">
        <v>46347</v>
      </c>
      <c r="J30" t="inlineStr">
        <is>
          <t>Disetujui</t>
        </is>
      </c>
      <c r="K30" t="n">
        <v>60</v>
      </c>
      <c r="L30" t="inlineStr">
        <is>
          <t>21 November 2026</t>
        </is>
      </c>
      <c r="M30" t="inlineStr">
        <is>
          <t>Bangunan Sipil Jembatan, Jalan Layang, Fly Over, dan Underpass</t>
        </is>
      </c>
      <c r="N30" t="inlineStr">
        <is>
          <t>K</t>
        </is>
      </c>
      <c r="O30" t="inlineStr">
        <is>
          <t>20231122</t>
        </is>
      </c>
      <c r="P30" t="inlineStr">
        <is>
          <t>Sumatera Barat</t>
        </is>
      </c>
      <c r="Q30" t="inlineStr"/>
    </row>
    <row r="31">
      <c r="A31" t="inlineStr">
        <is>
          <t>ATAKENYA</t>
        </is>
      </c>
      <c r="B31" t="inlineStr">
        <is>
          <t>Kab. Bandung</t>
        </is>
      </c>
      <c r="C31" t="inlineStr">
        <is>
          <t>087822287220</t>
        </is>
      </c>
      <c r="D31" t="inlineStr">
        <is>
          <t>atakenyacv@gmail.com</t>
        </is>
      </c>
      <c r="E31" t="inlineStr">
        <is>
          <t>https://lpjk.pu.go.id/search-badan-usaha-detail/MGQ5ZGNxRFFaS3hUQW5PL3pmbkFCUT09</t>
        </is>
      </c>
      <c r="F31" t="n">
        <v>1</v>
      </c>
      <c r="G31" t="inlineStr">
        <is>
          <t>BG001</t>
        </is>
      </c>
      <c r="H31" t="inlineStr">
        <is>
          <t>30 Mei 2023</t>
        </is>
      </c>
      <c r="I31" s="2" t="n">
        <v>46347</v>
      </c>
      <c r="J31" t="inlineStr">
        <is>
          <t>Disetujui</t>
        </is>
      </c>
      <c r="K31" t="n">
        <v>60</v>
      </c>
      <c r="L31" t="inlineStr">
        <is>
          <t>21 November 2026</t>
        </is>
      </c>
      <c r="M31" t="inlineStr">
        <is>
          <t>Konstruksi Gedung Hunian</t>
        </is>
      </c>
      <c r="N31" t="inlineStr">
        <is>
          <t>K</t>
        </is>
      </c>
      <c r="O31" t="inlineStr">
        <is>
          <t>20231121</t>
        </is>
      </c>
      <c r="P31" t="inlineStr">
        <is>
          <t>Jawa Barat</t>
        </is>
      </c>
      <c r="Q31" t="inlineStr"/>
    </row>
    <row r="32">
      <c r="A32" t="inlineStr">
        <is>
          <t>BAGASKARA PRATALA MANUNGGAL</t>
        </is>
      </c>
      <c r="B32" t="inlineStr">
        <is>
          <t>Kab. Klaten</t>
        </is>
      </c>
      <c r="C32" t="inlineStr">
        <is>
          <t>081270411196</t>
        </is>
      </c>
      <c r="D32" t="inlineStr">
        <is>
          <t>bagaskarapratalamanunggal@gmail.com</t>
        </is>
      </c>
      <c r="E32" t="inlineStr">
        <is>
          <t>https://lpjk.pu.go.id/search-badan-usaha-detail/aUdYalY1QTVJK3ptQUxua1NuNjdEQT09</t>
        </is>
      </c>
      <c r="F32" t="n">
        <v>2</v>
      </c>
      <c r="G32" t="inlineStr">
        <is>
          <t>BG001</t>
        </is>
      </c>
      <c r="H32" t="inlineStr">
        <is>
          <t>19 Januari 2015</t>
        </is>
      </c>
      <c r="I32" s="2" t="n">
        <v>46347</v>
      </c>
      <c r="J32" t="inlineStr">
        <is>
          <t>Pencabutan</t>
        </is>
      </c>
      <c r="K32" t="n">
        <v>60</v>
      </c>
      <c r="L32" t="inlineStr">
        <is>
          <t>21 November 2026</t>
        </is>
      </c>
      <c r="M32" t="inlineStr">
        <is>
          <t>Konstruksi Gedung Hunian</t>
        </is>
      </c>
      <c r="N32" t="inlineStr">
        <is>
          <t>K</t>
        </is>
      </c>
      <c r="O32" t="inlineStr">
        <is>
          <t>20231121</t>
        </is>
      </c>
      <c r="P32" t="inlineStr">
        <is>
          <t>Jawa Tengah</t>
        </is>
      </c>
      <c r="Q32" t="inlineStr"/>
    </row>
    <row r="33">
      <c r="A33" t="inlineStr">
        <is>
          <t>BANGUN MAKMUR</t>
        </is>
      </c>
      <c r="B33" t="inlineStr">
        <is>
          <t>Kab. Sukabumi</t>
        </is>
      </c>
      <c r="C33" t="inlineStr">
        <is>
          <t>081563153999</t>
        </is>
      </c>
      <c r="D33" t="inlineStr">
        <is>
          <t>bangunmakmurmep@gmail.com</t>
        </is>
      </c>
      <c r="E33" t="inlineStr">
        <is>
          <t>https://lpjk.pu.go.id/search-badan-usaha-detail/bjFpbEJxN3Q3Z3Z2dFdkTFhuNEZ6QT09</t>
        </is>
      </c>
      <c r="F33" t="n">
        <v>1</v>
      </c>
      <c r="G33" t="inlineStr">
        <is>
          <t>BG009</t>
        </is>
      </c>
      <c r="H33" t="inlineStr">
        <is>
          <t>29 Desember 2015</t>
        </is>
      </c>
      <c r="I33" s="2" t="n">
        <v>46347</v>
      </c>
      <c r="J33" t="inlineStr">
        <is>
          <t>Disetujui</t>
        </is>
      </c>
      <c r="K33" t="n">
        <v>60</v>
      </c>
      <c r="L33" t="inlineStr">
        <is>
          <t>21 November 2026</t>
        </is>
      </c>
      <c r="M33" t="inlineStr">
        <is>
          <t>Konstruksi Gedung Lainnya</t>
        </is>
      </c>
      <c r="N33" t="inlineStr">
        <is>
          <t>K</t>
        </is>
      </c>
      <c r="O33" t="inlineStr">
        <is>
          <t>20231121</t>
        </is>
      </c>
      <c r="P33" t="inlineStr">
        <is>
          <t>Jawa Barat</t>
        </is>
      </c>
      <c r="Q33" t="inlineStr"/>
    </row>
    <row r="34">
      <c r="A34" t="inlineStr">
        <is>
          <t>BANGUN NUSA CEMERLANG</t>
        </is>
      </c>
      <c r="B34" t="inlineStr">
        <is>
          <t>Kota Adm. Jakarta Utara</t>
        </is>
      </c>
      <c r="C34" t="inlineStr">
        <is>
          <t>02129569485</t>
        </is>
      </c>
      <c r="D34" t="inlineStr">
        <is>
          <t>ptbangunnusacemerlang@gmail.com</t>
        </is>
      </c>
      <c r="E34" t="inlineStr">
        <is>
          <t>https://lpjk.pu.go.id/search-badan-usaha-detail/MzgrbXlTdHoyWVp3NU5SZXBJdjZDQT09</t>
        </is>
      </c>
      <c r="F34" t="n">
        <v>2</v>
      </c>
      <c r="G34" t="inlineStr">
        <is>
          <t>BG001, BG009</t>
        </is>
      </c>
      <c r="H34" t="inlineStr">
        <is>
          <t>16 Agustus 2021</t>
        </is>
      </c>
      <c r="I34" s="2" t="n">
        <v>46347</v>
      </c>
      <c r="J34" t="inlineStr">
        <is>
          <t>Disetujui</t>
        </is>
      </c>
      <c r="K34" t="n">
        <v>60</v>
      </c>
      <c r="L34" t="inlineStr">
        <is>
          <t>21 November 2026</t>
        </is>
      </c>
      <c r="M34" t="inlineStr">
        <is>
          <t>Konstruksi Gedung Hunian, Konstruksi Gedung Lainnya</t>
        </is>
      </c>
      <c r="N34" t="inlineStr">
        <is>
          <t>K</t>
        </is>
      </c>
      <c r="O34" t="inlineStr">
        <is>
          <t>20231121</t>
        </is>
      </c>
      <c r="P34" t="inlineStr">
        <is>
          <t>DKI Jakarta</t>
        </is>
      </c>
      <c r="Q34" t="inlineStr"/>
    </row>
    <row r="35">
      <c r="A35" t="inlineStr">
        <is>
          <t>BANGUN PAPUA RAYA</t>
        </is>
      </c>
      <c r="B35" t="inlineStr">
        <is>
          <t>Kota Jayapura</t>
        </is>
      </c>
      <c r="C35" t="inlineStr">
        <is>
          <t>082269169981</t>
        </is>
      </c>
      <c r="D35" t="inlineStr">
        <is>
          <t>cv.bangunpapuaraya@gmail.com</t>
        </is>
      </c>
      <c r="E35" t="inlineStr">
        <is>
          <t>https://lpjk.pu.go.id/search-badan-usaha-detail/c3J1MUp5cFd1ekY4WW1jV1Z3aFJJZz09</t>
        </is>
      </c>
      <c r="F35" t="n">
        <v>1</v>
      </c>
      <c r="G35" t="inlineStr">
        <is>
          <t>PL005</t>
        </is>
      </c>
      <c r="H35" t="inlineStr">
        <is>
          <t>5 April 2022</t>
        </is>
      </c>
      <c r="I35" s="2" t="n">
        <v>46347</v>
      </c>
      <c r="J35" t="inlineStr">
        <is>
          <t>Pembekuan</t>
        </is>
      </c>
      <c r="K35" t="n">
        <v>60</v>
      </c>
      <c r="L35" t="inlineStr">
        <is>
          <t>21 November 2026</t>
        </is>
      </c>
      <c r="M35" t="inlineStr">
        <is>
          <t>Pembuatan/Pengeboran Sumur Air Tanah</t>
        </is>
      </c>
      <c r="N35" t="inlineStr">
        <is>
          <t>Spesialis</t>
        </is>
      </c>
      <c r="O35" t="inlineStr">
        <is>
          <t>20231121</t>
        </is>
      </c>
      <c r="P35" t="inlineStr">
        <is>
          <t>Papua</t>
        </is>
      </c>
      <c r="Q35" t="inlineStr"/>
    </row>
    <row r="36">
      <c r="A36" t="inlineStr">
        <is>
          <t>BERKAH NATA BANGUNAN</t>
        </is>
      </c>
      <c r="B36" t="inlineStr">
        <is>
          <t>Kota Tangerang Selatan</t>
        </is>
      </c>
      <c r="C36" t="inlineStr">
        <is>
          <t>02174791797</t>
        </is>
      </c>
      <c r="D36" t="inlineStr">
        <is>
          <t>berkahnatabangunan@gmail.com</t>
        </is>
      </c>
      <c r="E36" t="inlineStr">
        <is>
          <t>https://lpjk.pu.go.id/search-badan-usaha-detail/MzkrOUROVmZlY3JiMlpDa1JGRDk5UT09</t>
        </is>
      </c>
      <c r="F36" t="n">
        <v>4</v>
      </c>
      <c r="G36" t="inlineStr">
        <is>
          <t>BG001, BG006</t>
        </is>
      </c>
      <c r="H36" t="inlineStr">
        <is>
          <t>5 Juli 2023</t>
        </is>
      </c>
      <c r="I36" s="2" t="n">
        <v>46347</v>
      </c>
      <c r="J36" t="inlineStr">
        <is>
          <t>Disetujui</t>
        </is>
      </c>
      <c r="K36" t="n">
        <v>60</v>
      </c>
      <c r="L36" t="inlineStr">
        <is>
          <t>21 November 2026</t>
        </is>
      </c>
      <c r="M36" t="inlineStr">
        <is>
          <t>Konstruksi Gedung Hunian, Konstruksi Gedung Pendidikan</t>
        </is>
      </c>
      <c r="N36" t="inlineStr">
        <is>
          <t>K</t>
        </is>
      </c>
      <c r="O36" t="inlineStr">
        <is>
          <t>20231122</t>
        </is>
      </c>
      <c r="P36" t="inlineStr">
        <is>
          <t>Banten</t>
        </is>
      </c>
      <c r="Q36" t="inlineStr"/>
    </row>
    <row r="37">
      <c r="A37" t="inlineStr">
        <is>
          <t>BERKAH SYABNA KONSULTAN</t>
        </is>
      </c>
      <c r="B37" t="inlineStr">
        <is>
          <t>Kota Kendari</t>
        </is>
      </c>
      <c r="C37" t="inlineStr">
        <is>
          <t>085242653445</t>
        </is>
      </c>
      <c r="D37" t="inlineStr">
        <is>
          <t>berkahsyabna@gmail.com</t>
        </is>
      </c>
      <c r="E37" t="inlineStr">
        <is>
          <t>https://lpjk.pu.go.id/search-badan-usaha-detail/VnA3K0NBUzFBU2QrcEZyZ2RuT3JyQT09</t>
        </is>
      </c>
      <c r="F37" t="n">
        <v>2</v>
      </c>
      <c r="G37" t="inlineStr">
        <is>
          <t>RK003</t>
        </is>
      </c>
      <c r="H37" t="inlineStr">
        <is>
          <t>26 Desember 2019</t>
        </is>
      </c>
      <c r="I37" s="2" t="n">
        <v>46347</v>
      </c>
      <c r="J37" t="inlineStr">
        <is>
          <t>Disetujui</t>
        </is>
      </c>
      <c r="K37" t="n">
        <v>60</v>
      </c>
      <c r="L37" t="inlineStr">
        <is>
          <t>21 November 2026</t>
        </is>
      </c>
      <c r="M37" t="inlineStr">
        <is>
          <t>Jasa Rekayasa Pekerjaan Teknik Sipil Transportasi</t>
        </is>
      </c>
      <c r="N37" t="inlineStr">
        <is>
          <t>K</t>
        </is>
      </c>
      <c r="O37" t="inlineStr">
        <is>
          <t>20231114</t>
        </is>
      </c>
      <c r="P37" t="inlineStr">
        <is>
          <t>Sulawesi Tenggara</t>
        </is>
      </c>
      <c r="Q37" t="inlineStr"/>
    </row>
    <row r="38">
      <c r="A38" t="inlineStr">
        <is>
          <t>BERKAT PUTRA ANANTA</t>
        </is>
      </c>
      <c r="B38" t="inlineStr">
        <is>
          <t>Kota Tangerang Selatan</t>
        </is>
      </c>
      <c r="C38" t="inlineStr">
        <is>
          <t>081513006073</t>
        </is>
      </c>
      <c r="D38" t="inlineStr">
        <is>
          <t>bpakonsultan@berkatputraananta.com</t>
        </is>
      </c>
      <c r="E38" t="inlineStr">
        <is>
          <t>https://lpjk.pu.go.id/search-badan-usaha-detail/WGdZdWhRTzBSeStQaHpGMjNkc2lUQT09</t>
        </is>
      </c>
      <c r="F38" t="n">
        <v>2</v>
      </c>
      <c r="G38" t="inlineStr">
        <is>
          <t>AR002</t>
        </is>
      </c>
      <c r="H38" t="inlineStr">
        <is>
          <t>27 Juli 2013</t>
        </is>
      </c>
      <c r="I38" s="2" t="n">
        <v>46347</v>
      </c>
      <c r="J38" t="inlineStr">
        <is>
          <t>Disetujui</t>
        </is>
      </c>
      <c r="K38" t="n">
        <v>60</v>
      </c>
      <c r="L38" t="inlineStr">
        <is>
          <t>21 November 2026</t>
        </is>
      </c>
      <c r="M38" t="inlineStr">
        <is>
          <t>Jasa Arsitektural Lainnya</t>
        </is>
      </c>
      <c r="N38" t="inlineStr">
        <is>
          <t>K</t>
        </is>
      </c>
      <c r="O38" t="inlineStr">
        <is>
          <t>20231114</t>
        </is>
      </c>
      <c r="P38" t="inlineStr">
        <is>
          <t>Banten</t>
        </is>
      </c>
      <c r="Q38" t="inlineStr"/>
    </row>
    <row r="39">
      <c r="A39" t="inlineStr">
        <is>
          <t>BIRU PERSADA</t>
        </is>
      </c>
      <c r="B39" t="inlineStr">
        <is>
          <t>Kota Pontianak</t>
        </is>
      </c>
      <c r="C39" t="inlineStr">
        <is>
          <t>081345407525</t>
        </is>
      </c>
      <c r="D39" t="inlineStr">
        <is>
          <t>birupersada.cv@yahoo.com</t>
        </is>
      </c>
      <c r="E39" t="inlineStr">
        <is>
          <t>https://lpjk.pu.go.id/search-badan-usaha-detail/MmJtdmJGU1M3RUNFWkVLNEtXaU5wQT09</t>
        </is>
      </c>
      <c r="F39" t="n">
        <v>2</v>
      </c>
      <c r="G39" t="inlineStr">
        <is>
          <t>BG006, BS004</t>
        </is>
      </c>
      <c r="H39" t="inlineStr">
        <is>
          <t>25 Januari 2021</t>
        </is>
      </c>
      <c r="I39" s="2" t="n">
        <v>46347</v>
      </c>
      <c r="J39" t="inlineStr">
        <is>
          <t>Disetujui</t>
        </is>
      </c>
      <c r="K39" t="n">
        <v>60</v>
      </c>
      <c r="L39" t="inlineStr">
        <is>
          <t>21 November 2026</t>
        </is>
      </c>
      <c r="M39" t="inlineStr">
        <is>
          <t>Konstruksi Gedung Pendidikan, Konstruksi Jaringan Irigasi dan Drainase</t>
        </is>
      </c>
      <c r="N39" t="inlineStr">
        <is>
          <t>K</t>
        </is>
      </c>
      <c r="O39" t="inlineStr">
        <is>
          <t>20231121, 20231124</t>
        </is>
      </c>
      <c r="P39" t="inlineStr">
        <is>
          <t>Kalimantan Barat</t>
        </is>
      </c>
      <c r="Q39" t="inlineStr"/>
    </row>
    <row r="40">
      <c r="A40" t="inlineStr">
        <is>
          <t>BRAHMA ANANTA CONSULTANT</t>
        </is>
      </c>
      <c r="B40" t="inlineStr">
        <is>
          <t>Kab. Natuna</t>
        </is>
      </c>
      <c r="C40" t="inlineStr">
        <is>
          <t>082226846878</t>
        </is>
      </c>
      <c r="D40" t="inlineStr">
        <is>
          <t>brahmaanantaconsultant@gmail.com</t>
        </is>
      </c>
      <c r="E40" t="inlineStr">
        <is>
          <t>https://lpjk.pu.go.id/search-badan-usaha-detail/QVJaRk1BTDJmUFpodHBnQkZlN29Vdz09</t>
        </is>
      </c>
      <c r="F40" t="n">
        <v>1</v>
      </c>
      <c r="G40" t="inlineStr">
        <is>
          <t>RK001</t>
        </is>
      </c>
      <c r="H40" t="inlineStr">
        <is>
          <t>1 November 2023</t>
        </is>
      </c>
      <c r="I40" s="2" t="n">
        <v>46347</v>
      </c>
      <c r="J40" t="inlineStr">
        <is>
          <t>Disetujui</t>
        </is>
      </c>
      <c r="K40" t="n">
        <v>60</v>
      </c>
      <c r="L40" t="inlineStr">
        <is>
          <t>21 November 2026</t>
        </is>
      </c>
      <c r="M40" t="inlineStr">
        <is>
          <t>Jasa Rekayasa Konstruksi Bangunan Gedung Hunian dan Non Hunian</t>
        </is>
      </c>
      <c r="N40" t="inlineStr">
        <is>
          <t>K</t>
        </is>
      </c>
      <c r="O40" t="inlineStr">
        <is>
          <t>20231113</t>
        </is>
      </c>
      <c r="P40" t="inlineStr">
        <is>
          <t>Kepulauan Riau</t>
        </is>
      </c>
      <c r="Q40" t="inlineStr"/>
    </row>
    <row r="41">
      <c r="A41" t="inlineStr">
        <is>
          <t>BUDI ABRAR JAYA</t>
        </is>
      </c>
      <c r="B41" t="inlineStr">
        <is>
          <t>Kab. Batu Bara</t>
        </is>
      </c>
      <c r="C41" t="inlineStr">
        <is>
          <t>082367555042</t>
        </is>
      </c>
      <c r="D41" t="inlineStr">
        <is>
          <t>budiabrarjaya@gmail.com</t>
        </is>
      </c>
      <c r="E41" t="inlineStr">
        <is>
          <t>https://lpjk.pu.go.id/search-badan-usaha-detail/WGUzZitkSVZrYUVqRTZsT3F4YnF4Zz09</t>
        </is>
      </c>
      <c r="F41" t="n">
        <v>3</v>
      </c>
      <c r="G41" t="inlineStr">
        <is>
          <t>BG001, BG003, BS007</t>
        </is>
      </c>
      <c r="H41" t="inlineStr">
        <is>
          <t>13 Oktober 2023</t>
        </is>
      </c>
      <c r="I41" s="2" t="n">
        <v>46347</v>
      </c>
      <c r="J41" t="inlineStr">
        <is>
          <t>Disetujui</t>
        </is>
      </c>
      <c r="K41" t="n">
        <v>60</v>
      </c>
      <c r="L41" t="inlineStr">
        <is>
          <t>21 November 2026</t>
        </is>
      </c>
      <c r="M41" t="inlineStr">
        <is>
          <t>Konstruksi Bangunan Sipil Elektrikal, Konstruksi Gedung Hunian, Konstruksi Gedung Industri</t>
        </is>
      </c>
      <c r="N41" t="inlineStr">
        <is>
          <t>K</t>
        </is>
      </c>
      <c r="O41" t="inlineStr">
        <is>
          <t>20231122</t>
        </is>
      </c>
      <c r="P41" t="inlineStr">
        <is>
          <t>Sumatera Utara</t>
        </is>
      </c>
      <c r="Q41" t="inlineStr"/>
    </row>
    <row r="42">
      <c r="A42" t="inlineStr">
        <is>
          <t>CAHAYA AGUNG BAROKAH</t>
        </is>
      </c>
      <c r="B42" t="inlineStr">
        <is>
          <t>Kab. Cilacap</t>
        </is>
      </c>
      <c r="C42" t="inlineStr">
        <is>
          <t>081286439037</t>
        </is>
      </c>
      <c r="D42" t="inlineStr">
        <is>
          <t>cahaya_caba47@yahoo.com</t>
        </is>
      </c>
      <c r="E42" t="inlineStr">
        <is>
          <t>https://lpjk.pu.go.id/search-badan-usaha-detail/aTBTZ0ptZk8reGR4dVh6ZGtVUllmZz09</t>
        </is>
      </c>
      <c r="F42" t="n">
        <v>1</v>
      </c>
      <c r="G42" t="inlineStr">
        <is>
          <t>PL003</t>
        </is>
      </c>
      <c r="H42" t="inlineStr">
        <is>
          <t>20 November 2017</t>
        </is>
      </c>
      <c r="I42" s="2" t="n">
        <v>46347</v>
      </c>
      <c r="J42" t="inlineStr">
        <is>
          <t>Disetujui</t>
        </is>
      </c>
      <c r="K42" t="n">
        <v>60</v>
      </c>
      <c r="L42" t="inlineStr">
        <is>
          <t>21 November 2026</t>
        </is>
      </c>
      <c r="M42" t="inlineStr">
        <is>
          <t>Penyiapan Lahan Konstruksi</t>
        </is>
      </c>
      <c r="N42" t="inlineStr">
        <is>
          <t>Spesialis</t>
        </is>
      </c>
      <c r="O42" t="inlineStr">
        <is>
          <t>20231120</t>
        </is>
      </c>
      <c r="P42" t="inlineStr">
        <is>
          <t>Jawa Tengah</t>
        </is>
      </c>
      <c r="Q42" t="inlineStr"/>
    </row>
    <row r="43">
      <c r="A43" t="inlineStr">
        <is>
          <t>CAHAYA EFATA</t>
        </is>
      </c>
      <c r="B43" t="inlineStr">
        <is>
          <t>Kab. Sintang</t>
        </is>
      </c>
      <c r="C43" t="inlineStr">
        <is>
          <t>081347755859</t>
        </is>
      </c>
      <c r="D43" t="inlineStr">
        <is>
          <t>cvcahayaefata@gmail.com</t>
        </is>
      </c>
      <c r="E43" t="inlineStr">
        <is>
          <t>https://lpjk.pu.go.id/search-badan-usaha-detail/b3BZYk00dm1kZ1FwN05FU1FVeXo0UT09</t>
        </is>
      </c>
      <c r="F43" t="n">
        <v>1</v>
      </c>
      <c r="G43" t="inlineStr">
        <is>
          <t>BS002</t>
        </is>
      </c>
      <c r="H43" t="inlineStr">
        <is>
          <t>12 Juni 2007</t>
        </is>
      </c>
      <c r="I43" s="2" t="n">
        <v>46347</v>
      </c>
      <c r="J43" t="inlineStr">
        <is>
          <t>Disetujui</t>
        </is>
      </c>
      <c r="K43" t="n">
        <v>60</v>
      </c>
      <c r="L43" t="inlineStr">
        <is>
          <t>21 November 2026</t>
        </is>
      </c>
      <c r="M43" t="inlineStr">
        <is>
          <t>Bangunan Sipil Jembatan, Jalan Layang, Fly Over, dan Underpass</t>
        </is>
      </c>
      <c r="N43" t="inlineStr">
        <is>
          <t>K</t>
        </is>
      </c>
      <c r="O43" t="inlineStr">
        <is>
          <t>20230718</t>
        </is>
      </c>
      <c r="P43" t="inlineStr">
        <is>
          <t>Kalimantan Barat</t>
        </is>
      </c>
      <c r="Q43" t="inlineStr"/>
    </row>
    <row r="44">
      <c r="A44" t="inlineStr">
        <is>
          <t>CAHAYA ERVIN GEMILANG</t>
        </is>
      </c>
      <c r="B44" t="inlineStr">
        <is>
          <t>Kota Jambi</t>
        </is>
      </c>
      <c r="C44" t="inlineStr">
        <is>
          <t>081274873873</t>
        </is>
      </c>
      <c r="D44" t="inlineStr">
        <is>
          <t>herryrachmayanto@gmail.com</t>
        </is>
      </c>
      <c r="E44" t="inlineStr">
        <is>
          <t>https://lpjk.pu.go.id/search-badan-usaha-detail/cUdBc1N0YmdwZTNNQ2NaZDdEY21odz09</t>
        </is>
      </c>
      <c r="F44" t="n">
        <v>1</v>
      </c>
      <c r="G44" t="inlineStr">
        <is>
          <t>BG001</t>
        </is>
      </c>
      <c r="H44" t="inlineStr">
        <is>
          <t>19 Januari 2008</t>
        </is>
      </c>
      <c r="I44" s="2" t="n">
        <v>46347</v>
      </c>
      <c r="J44" t="inlineStr">
        <is>
          <t>Disetujui</t>
        </is>
      </c>
      <c r="K44" t="n">
        <v>60</v>
      </c>
      <c r="L44" t="inlineStr">
        <is>
          <t>21 November 2026</t>
        </is>
      </c>
      <c r="M44" t="inlineStr">
        <is>
          <t>Konstruksi Gedung Hunian</t>
        </is>
      </c>
      <c r="N44" t="inlineStr">
        <is>
          <t>K</t>
        </is>
      </c>
      <c r="O44" t="inlineStr">
        <is>
          <t>20231122</t>
        </is>
      </c>
      <c r="P44" t="inlineStr">
        <is>
          <t>Jambi</t>
        </is>
      </c>
      <c r="Q44" t="inlineStr"/>
    </row>
    <row r="45">
      <c r="A45" t="inlineStr">
        <is>
          <t>CAHAYA MANGUNANG</t>
        </is>
      </c>
      <c r="B45" t="inlineStr">
        <is>
          <t>Kota Palembang</t>
        </is>
      </c>
      <c r="C45" t="inlineStr">
        <is>
          <t>082374748675</t>
        </is>
      </c>
      <c r="D45" t="inlineStr">
        <is>
          <t>cahaya.mangunang@gmail.com</t>
        </is>
      </c>
      <c r="E45" t="inlineStr">
        <is>
          <t>https://lpjk.pu.go.id/search-badan-usaha-detail/bmR6eE52cXV3N2JrbkhRcTRTUnVCQT09</t>
        </is>
      </c>
      <c r="F45" t="n">
        <v>4</v>
      </c>
      <c r="G45" t="inlineStr">
        <is>
          <t>BG005, BG006, BS001, BS004</t>
        </is>
      </c>
      <c r="H45" t="inlineStr">
        <is>
          <t>3 September 2012</t>
        </is>
      </c>
      <c r="I45" s="2" t="n">
        <v>46347</v>
      </c>
      <c r="J45" t="inlineStr">
        <is>
          <t>Disetujui</t>
        </is>
      </c>
      <c r="K45" t="n">
        <v>60</v>
      </c>
      <c r="L45" t="inlineStr">
        <is>
          <t>21 November 2026</t>
        </is>
      </c>
      <c r="M45" t="inlineStr">
        <is>
          <t>Konstruksi Bangunan Sipil Jalan, Konstruksi Gedung Kesehatan, Konstruksi Gedung Pendidikan, Konstruksi Jaringan Irigasi dan Drainase</t>
        </is>
      </c>
      <c r="N45" t="inlineStr">
        <is>
          <t>K</t>
        </is>
      </c>
      <c r="O45" t="inlineStr">
        <is>
          <t>20230914, 20230926, 20231115</t>
        </is>
      </c>
      <c r="P45" t="inlineStr">
        <is>
          <t>Sumatera Selatan</t>
        </is>
      </c>
      <c r="Q45" t="inlineStr"/>
    </row>
    <row r="46">
      <c r="A46" t="inlineStr">
        <is>
          <t>CEMPAKA TIRTA NUSANTARA</t>
        </is>
      </c>
      <c r="B46" t="inlineStr">
        <is>
          <t>Kota Adm. Jakarta Pusat</t>
        </is>
      </c>
      <c r="C46" t="inlineStr">
        <is>
          <t>02128671531</t>
        </is>
      </c>
      <c r="D46" t="inlineStr">
        <is>
          <t>cempaka.tirta@hotmail.com</t>
        </is>
      </c>
      <c r="E46" t="inlineStr">
        <is>
          <t>https://lpjk.pu.go.id/search-badan-usaha-detail/NHpJTHEzWjJmV3pHOGE2OForY1E5dz09</t>
        </is>
      </c>
      <c r="F46" t="n">
        <v>3</v>
      </c>
      <c r="G46" t="inlineStr">
        <is>
          <t>BG001, BG006, BG009</t>
        </is>
      </c>
      <c r="H46" t="inlineStr">
        <is>
          <t>4 November 2014</t>
        </is>
      </c>
      <c r="I46" s="2" t="n">
        <v>46347</v>
      </c>
      <c r="J46" t="inlineStr">
        <is>
          <t>Disetujui</t>
        </is>
      </c>
      <c r="K46" t="n">
        <v>60</v>
      </c>
      <c r="L46" t="inlineStr">
        <is>
          <t>21 November 2026</t>
        </is>
      </c>
      <c r="M46" t="inlineStr">
        <is>
          <t>Konstruksi Gedung Hunian, Konstruksi Gedung Lainnya, Konstruksi Gedung Pendidikan</t>
        </is>
      </c>
      <c r="N46" t="inlineStr">
        <is>
          <t>K</t>
        </is>
      </c>
      <c r="O46" t="inlineStr">
        <is>
          <t>20231121</t>
        </is>
      </c>
      <c r="P46" t="inlineStr">
        <is>
          <t>DKI Jakarta</t>
        </is>
      </c>
      <c r="Q46" t="inlineStr"/>
    </row>
    <row r="47">
      <c r="A47" t="inlineStr">
        <is>
          <t>CITRA CAHAYA LETTI</t>
        </is>
      </c>
      <c r="B47" t="inlineStr">
        <is>
          <t>Kab. Maluku Barat Daya</t>
        </is>
      </c>
      <c r="C47" t="inlineStr">
        <is>
          <t>081230182554</t>
        </is>
      </c>
      <c r="D47" t="inlineStr">
        <is>
          <t>pt.citracahayaletty@yahoo.co.id</t>
        </is>
      </c>
      <c r="E47" t="inlineStr">
        <is>
          <t>https://lpjk.pu.go.id/search-badan-usaha-detail/QzFNakVHSm1Fd1EzbkdpT1FENnJsQT09</t>
        </is>
      </c>
      <c r="F47" t="n">
        <v>4</v>
      </c>
      <c r="G47" t="inlineStr">
        <is>
          <t>BG001, BG005, BG006, BG009</t>
        </is>
      </c>
      <c r="H47" t="inlineStr">
        <is>
          <t>10 Februari 2012</t>
        </is>
      </c>
      <c r="I47" s="2" t="n">
        <v>46347</v>
      </c>
      <c r="J47" t="inlineStr">
        <is>
          <t>Disetujui</t>
        </is>
      </c>
      <c r="K47" t="n">
        <v>60</v>
      </c>
      <c r="L47" t="inlineStr">
        <is>
          <t>21 November 2026</t>
        </is>
      </c>
      <c r="M47" t="inlineStr">
        <is>
          <t>Konstruksi Gedung Hunian, Konstruksi Gedung Kesehatan, Konstruksi Gedung Lainnya, Konstruksi Gedung Pendidikan</t>
        </is>
      </c>
      <c r="N47" t="inlineStr">
        <is>
          <t>K</t>
        </is>
      </c>
      <c r="O47" t="inlineStr">
        <is>
          <t>20231121, 20231123</t>
        </is>
      </c>
      <c r="P47" t="inlineStr">
        <is>
          <t>Maluku</t>
        </is>
      </c>
      <c r="Q47" t="inlineStr"/>
    </row>
    <row r="48">
      <c r="A48" t="inlineStr">
        <is>
          <t>DANANJAYA UTAMA</t>
        </is>
      </c>
      <c r="B48" t="inlineStr">
        <is>
          <t>Kab. Cilacap</t>
        </is>
      </c>
      <c r="C48" t="inlineStr">
        <is>
          <t>088239611466</t>
        </is>
      </c>
      <c r="D48" t="inlineStr">
        <is>
          <t>dananjayautama11@gmail.com</t>
        </is>
      </c>
      <c r="E48" t="inlineStr">
        <is>
          <t>https://lpjk.pu.go.id/search-badan-usaha-detail/Ymp3Q01GQnQ2cmxFajhESVR0dEU2Zz09</t>
        </is>
      </c>
      <c r="F48" t="n">
        <v>2</v>
      </c>
      <c r="G48" t="inlineStr">
        <is>
          <t>BG006, BS004</t>
        </is>
      </c>
      <c r="H48" t="inlineStr">
        <is>
          <t>8 November 2023</t>
        </is>
      </c>
      <c r="I48" s="2" t="n">
        <v>46347</v>
      </c>
      <c r="J48" t="inlineStr">
        <is>
          <t>Disetujui</t>
        </is>
      </c>
      <c r="K48" t="n">
        <v>60</v>
      </c>
      <c r="L48" t="inlineStr">
        <is>
          <t>21 November 2026</t>
        </is>
      </c>
      <c r="M48" t="inlineStr">
        <is>
          <t>Konstruksi Gedung Pendidikan, Konstruksi Jaringan Irigasi dan Drainase</t>
        </is>
      </c>
      <c r="N48" t="inlineStr">
        <is>
          <t>K</t>
        </is>
      </c>
      <c r="O48" t="inlineStr">
        <is>
          <t>20231120</t>
        </is>
      </c>
      <c r="P48" t="inlineStr">
        <is>
          <t>Jawa Tengah</t>
        </is>
      </c>
      <c r="Q48" t="inlineStr"/>
    </row>
    <row r="49">
      <c r="A49" t="inlineStr">
        <is>
          <t>DARMA JAYA</t>
        </is>
      </c>
      <c r="B49" t="inlineStr">
        <is>
          <t>Kab. Kuningan</t>
        </is>
      </c>
      <c r="C49" t="inlineStr">
        <is>
          <t>082128342222</t>
        </is>
      </c>
      <c r="D49" t="inlineStr">
        <is>
          <t>darmajaya0411@gmail.com</t>
        </is>
      </c>
      <c r="E49" t="inlineStr">
        <is>
          <t>https://lpjk.pu.go.id/search-badan-usaha-detail/U3o0U2drSCswUWNWMW5JeTlyazFGQT09</t>
        </is>
      </c>
      <c r="F49" t="n">
        <v>1</v>
      </c>
      <c r="G49" t="inlineStr">
        <is>
          <t>BG006</t>
        </is>
      </c>
      <c r="H49" t="inlineStr">
        <is>
          <t>6 Februari 2018</t>
        </is>
      </c>
      <c r="I49" s="2" t="n">
        <v>46347</v>
      </c>
      <c r="J49" t="inlineStr">
        <is>
          <t>Disetujui</t>
        </is>
      </c>
      <c r="K49" t="n">
        <v>60</v>
      </c>
      <c r="L49" t="inlineStr">
        <is>
          <t>21 November 2026</t>
        </is>
      </c>
      <c r="M49" t="inlineStr">
        <is>
          <t>Konstruksi Gedung Pendidikan</t>
        </is>
      </c>
      <c r="N49" t="inlineStr">
        <is>
          <t>K</t>
        </is>
      </c>
      <c r="O49" t="inlineStr">
        <is>
          <t>20231121</t>
        </is>
      </c>
      <c r="P49" t="inlineStr">
        <is>
          <t>Jawa Barat</t>
        </is>
      </c>
      <c r="Q49" t="inlineStr"/>
    </row>
    <row r="50">
      <c r="A50" t="inlineStr">
        <is>
          <t>DEVI BHAKTI</t>
        </is>
      </c>
      <c r="B50" t="inlineStr">
        <is>
          <t>Kab. Sukabumi</t>
        </is>
      </c>
      <c r="C50" t="inlineStr">
        <is>
          <t>085797830234</t>
        </is>
      </c>
      <c r="D50" t="inlineStr">
        <is>
          <t>cvdb.smi@gmail.com</t>
        </is>
      </c>
      <c r="E50" t="inlineStr">
        <is>
          <t>https://lpjk.pu.go.id/search-badan-usaha-detail/ZE4zSktnNHJMZXpVMDNQUmthNUJQUT09</t>
        </is>
      </c>
      <c r="F50" t="n">
        <v>5</v>
      </c>
      <c r="G50" t="inlineStr">
        <is>
          <t>BG005, BG006, BG009, BS001, BS005</t>
        </is>
      </c>
      <c r="H50" t="inlineStr">
        <is>
          <t>6 April 1982</t>
        </is>
      </c>
      <c r="I50" s="2" t="n">
        <v>46347</v>
      </c>
      <c r="J50" t="inlineStr">
        <is>
          <t>Disetujui</t>
        </is>
      </c>
      <c r="K50" t="n">
        <v>60</v>
      </c>
      <c r="L50" t="inlineStr">
        <is>
          <t>21 November 2026</t>
        </is>
      </c>
      <c r="M50" t="inlineStr">
        <is>
          <t>Konstruksi Bangunan Sipil Jalan, Konstruksi Bangunan Sipil Pengolahan Air Bersih, Konstruksi Gedung Kesehatan, Konstruksi Gedung Lainnya, Konstruksi Gedung Pendidikan</t>
        </is>
      </c>
      <c r="N50" t="inlineStr">
        <is>
          <t>K</t>
        </is>
      </c>
      <c r="O50" t="inlineStr">
        <is>
          <t>20231120, 20231121</t>
        </is>
      </c>
      <c r="P50" t="inlineStr">
        <is>
          <t>Jawa Barat</t>
        </is>
      </c>
      <c r="Q50" t="inlineStr"/>
    </row>
    <row r="51">
      <c r="A51" t="inlineStr">
        <is>
          <t>DWITAMA JAYA ABADI</t>
        </is>
      </c>
      <c r="B51" t="inlineStr">
        <is>
          <t>Kota Adm. Jakarta Selatan</t>
        </is>
      </c>
      <c r="C51" t="inlineStr">
        <is>
          <t>02172797642</t>
        </is>
      </c>
      <c r="D51" t="inlineStr">
        <is>
          <t>dwitamadja@yahoo.co.id</t>
        </is>
      </c>
      <c r="E51" t="inlineStr">
        <is>
          <t>https://lpjk.pu.go.id/search-badan-usaha-detail/S0pGbEtqYkw0bUx0NXB5bytSQ2ZpQT09</t>
        </is>
      </c>
      <c r="F51" t="n">
        <v>2</v>
      </c>
      <c r="G51" t="inlineStr">
        <is>
          <t>BG001</t>
        </is>
      </c>
      <c r="H51" t="inlineStr">
        <is>
          <t>12 Maret 2002</t>
        </is>
      </c>
      <c r="I51" s="2" t="n">
        <v>46347</v>
      </c>
      <c r="J51" t="inlineStr">
        <is>
          <t>Disetujui</t>
        </is>
      </c>
      <c r="K51" t="n">
        <v>60</v>
      </c>
      <c r="L51" t="inlineStr">
        <is>
          <t>21 November 2026</t>
        </is>
      </c>
      <c r="M51" t="inlineStr">
        <is>
          <t>Konstruksi Gedung Hunian</t>
        </is>
      </c>
      <c r="N51" t="inlineStr">
        <is>
          <t>K</t>
        </is>
      </c>
      <c r="O51" t="inlineStr">
        <is>
          <t>20231122</t>
        </is>
      </c>
      <c r="P51" t="inlineStr">
        <is>
          <t>DKI Jakarta</t>
        </is>
      </c>
      <c r="Q51" t="inlineStr"/>
    </row>
    <row r="52">
      <c r="A52" t="inlineStr">
        <is>
          <t>EASTERN BANGUN PERKASA</t>
        </is>
      </c>
      <c r="B52" t="inlineStr">
        <is>
          <t>Kota Palangkaraya</t>
        </is>
      </c>
      <c r="C52" t="inlineStr">
        <is>
          <t>081334070066</t>
        </is>
      </c>
      <c r="D52" t="inlineStr">
        <is>
          <t>cveasternbangunperkasa@gmail.com</t>
        </is>
      </c>
      <c r="E52" t="inlineStr">
        <is>
          <t>https://lpjk.pu.go.id/search-badan-usaha-detail/ZXBITE9VMmYxNHp5elZrenlDdUxJZz09</t>
        </is>
      </c>
      <c r="F52" t="n">
        <v>1</v>
      </c>
      <c r="G52" t="inlineStr">
        <is>
          <t>AL002</t>
        </is>
      </c>
      <c r="H52" t="inlineStr">
        <is>
          <t>16 April 2014</t>
        </is>
      </c>
      <c r="I52" s="2" t="n">
        <v>46347</v>
      </c>
      <c r="J52" t="inlineStr">
        <is>
          <t>Disetujui</t>
        </is>
      </c>
      <c r="K52" t="n">
        <v>60</v>
      </c>
      <c r="L52" t="inlineStr">
        <is>
          <t>21 November 2026</t>
        </is>
      </c>
      <c r="M52" t="inlineStr">
        <is>
          <t>Jasa Pengembangan Wilayah</t>
        </is>
      </c>
      <c r="N52" t="inlineStr">
        <is>
          <t>K</t>
        </is>
      </c>
      <c r="O52" t="inlineStr">
        <is>
          <t>20231112</t>
        </is>
      </c>
      <c r="P52" t="inlineStr">
        <is>
          <t>Kalimantan Tengah</t>
        </is>
      </c>
      <c r="Q52" t="inlineStr"/>
    </row>
    <row r="53">
      <c r="A53" t="inlineStr">
        <is>
          <t>ELSA NUREGA</t>
        </is>
      </c>
      <c r="B53" t="inlineStr">
        <is>
          <t>Kab. Gunungkidul</t>
        </is>
      </c>
      <c r="C53" t="inlineStr">
        <is>
          <t>0882008379708</t>
        </is>
      </c>
      <c r="D53" t="inlineStr">
        <is>
          <t>enurega@yahoo.com</t>
        </is>
      </c>
      <c r="E53" t="inlineStr">
        <is>
          <t>https://lpjk.pu.go.id/search-badan-usaha-detail/eGxiYVc0M0xFMEJEWVhpNnpRcjg1QT09</t>
        </is>
      </c>
      <c r="F53" t="n">
        <v>1</v>
      </c>
      <c r="G53" t="inlineStr">
        <is>
          <t>PB010</t>
        </is>
      </c>
      <c r="H53" t="inlineStr">
        <is>
          <t>1 Mei 2007</t>
        </is>
      </c>
      <c r="I53" s="2" t="n">
        <v>46347</v>
      </c>
      <c r="J53" t="inlineStr">
        <is>
          <t>Disetujui</t>
        </is>
      </c>
      <c r="K53" t="n">
        <v>60</v>
      </c>
      <c r="L53" t="inlineStr">
        <is>
          <t>21 November 2026</t>
        </is>
      </c>
      <c r="M53" t="inlineStr">
        <is>
          <t>Pekerjaan Lanskap, Pertamanan, dan Penanaman Vegetasi</t>
        </is>
      </c>
      <c r="N53" t="inlineStr">
        <is>
          <t>Spesialis</t>
        </is>
      </c>
      <c r="O53" t="inlineStr">
        <is>
          <t>20231117</t>
        </is>
      </c>
      <c r="P53" t="inlineStr">
        <is>
          <t>DI Yogyakarta</t>
        </is>
      </c>
      <c r="Q53" t="inlineStr"/>
    </row>
    <row r="54">
      <c r="A54" t="inlineStr">
        <is>
          <t>ERA DISELINDO JAYA</t>
        </is>
      </c>
      <c r="B54" t="inlineStr">
        <is>
          <t>Kota Palembang</t>
        </is>
      </c>
      <c r="C54" t="inlineStr">
        <is>
          <t>081373592102</t>
        </is>
      </c>
      <c r="D54" t="inlineStr">
        <is>
          <t>eradiselindojaya@gmail.com</t>
        </is>
      </c>
      <c r="E54" t="inlineStr">
        <is>
          <t>https://lpjk.pu.go.id/search-badan-usaha-detail/enlRMnk4bjBhWlZ3dkIxQ21SWHFhdz09</t>
        </is>
      </c>
      <c r="F54" t="n">
        <v>2</v>
      </c>
      <c r="G54" t="inlineStr">
        <is>
          <t>BG001, BG009</t>
        </is>
      </c>
      <c r="H54" t="inlineStr">
        <is>
          <t>2 Mei 2019</t>
        </is>
      </c>
      <c r="I54" s="2" t="n">
        <v>46347</v>
      </c>
      <c r="J54" t="inlineStr">
        <is>
          <t>Disetujui</t>
        </is>
      </c>
      <c r="K54" t="n">
        <v>60</v>
      </c>
      <c r="L54" t="inlineStr">
        <is>
          <t>21 November 2026</t>
        </is>
      </c>
      <c r="M54" t="inlineStr">
        <is>
          <t>Konstruksi Gedung Hunian, Konstruksi Gedung Lainnya</t>
        </is>
      </c>
      <c r="N54" t="inlineStr">
        <is>
          <t>K</t>
        </is>
      </c>
      <c r="O54" t="inlineStr">
        <is>
          <t>20231122</t>
        </is>
      </c>
      <c r="P54" t="inlineStr">
        <is>
          <t>Sumatera Selatan</t>
        </is>
      </c>
      <c r="Q54" t="inlineStr"/>
    </row>
    <row r="55">
      <c r="A55" t="inlineStr">
        <is>
          <t>FAJAR PRATAMA TEKNIK</t>
        </is>
      </c>
      <c r="B55" t="inlineStr">
        <is>
          <t>Kota Bontang</t>
        </is>
      </c>
      <c r="C55" t="inlineStr">
        <is>
          <t>081350998989</t>
        </is>
      </c>
      <c r="D55" t="inlineStr">
        <is>
          <t>famatek007@gmail.com</t>
        </is>
      </c>
      <c r="E55" t="inlineStr">
        <is>
          <t>https://lpjk.pu.go.id/search-badan-usaha-detail/ZSt1MGZVa3ZmUzNFQUF1ZnlOWXJoQT09</t>
        </is>
      </c>
      <c r="F55" t="n">
        <v>1</v>
      </c>
      <c r="G55" t="inlineStr">
        <is>
          <t>BS004</t>
        </is>
      </c>
      <c r="H55" t="inlineStr">
        <is>
          <t>7 Juli 2007</t>
        </is>
      </c>
      <c r="I55" s="2" t="n">
        <v>46347</v>
      </c>
      <c r="J55" t="inlineStr">
        <is>
          <t>Disetujui</t>
        </is>
      </c>
      <c r="K55" t="n">
        <v>60</v>
      </c>
      <c r="L55" t="inlineStr">
        <is>
          <t>21 November 2026</t>
        </is>
      </c>
      <c r="M55" t="inlineStr">
        <is>
          <t>Konstruksi Jaringan Irigasi dan Drainase</t>
        </is>
      </c>
      <c r="N55" t="inlineStr">
        <is>
          <t>K</t>
        </is>
      </c>
      <c r="O55" t="inlineStr">
        <is>
          <t>20231120</t>
        </is>
      </c>
      <c r="P55" t="inlineStr">
        <is>
          <t>Kalimantan Timur</t>
        </is>
      </c>
      <c r="Q55" t="inlineStr"/>
    </row>
    <row r="56">
      <c r="A56" t="inlineStr">
        <is>
          <t>GEO SURVEY PERSADA INDONESIA</t>
        </is>
      </c>
      <c r="B56" t="inlineStr">
        <is>
          <t>Kab. Sleman</t>
        </is>
      </c>
      <c r="C56" t="inlineStr">
        <is>
          <t>085268634870</t>
        </is>
      </c>
      <c r="D56" t="inlineStr">
        <is>
          <t>geosurveypersadaindonesia@gmail.com</t>
        </is>
      </c>
      <c r="E56" t="inlineStr">
        <is>
          <t>https://lpjk.pu.go.id/search-badan-usaha-detail/WjJrSU52VG9mVFk1SHoveW1iRWFGdz09</t>
        </is>
      </c>
      <c r="F56" t="n">
        <v>1</v>
      </c>
      <c r="G56" t="inlineStr">
        <is>
          <t>RK003</t>
        </is>
      </c>
      <c r="H56" t="inlineStr">
        <is>
          <t>13 November 2018</t>
        </is>
      </c>
      <c r="I56" s="2" t="n">
        <v>46347</v>
      </c>
      <c r="J56" t="inlineStr">
        <is>
          <t>Disetujui</t>
        </is>
      </c>
      <c r="K56" t="n">
        <v>60</v>
      </c>
      <c r="L56" t="inlineStr">
        <is>
          <t>21 November 2026</t>
        </is>
      </c>
      <c r="M56" t="inlineStr">
        <is>
          <t>Jasa Rekayasa Pekerjaan Teknik Sipil Transportasi</t>
        </is>
      </c>
      <c r="N56" t="inlineStr">
        <is>
          <t>K</t>
        </is>
      </c>
      <c r="O56" t="inlineStr">
        <is>
          <t>20231010</t>
        </is>
      </c>
      <c r="P56" t="inlineStr">
        <is>
          <t>DI Yogyakarta</t>
        </is>
      </c>
      <c r="Q56" t="inlineStr"/>
    </row>
    <row r="57">
      <c r="A57" t="inlineStr">
        <is>
          <t>GLOBAL EDUKASI NUSANTARA</t>
        </is>
      </c>
      <c r="B57" t="inlineStr">
        <is>
          <t>Kab. Lima Puluh Kota</t>
        </is>
      </c>
      <c r="C57" t="inlineStr">
        <is>
          <t>085264595078</t>
        </is>
      </c>
      <c r="D57" t="inlineStr">
        <is>
          <t>harmazen.gen@gmail.com</t>
        </is>
      </c>
      <c r="E57" t="inlineStr">
        <is>
          <t>https://lpjk.pu.go.id/search-badan-usaha-detail/aGxZbGJLRXhBeUF3b2pnVXZnVDhrZz09</t>
        </is>
      </c>
      <c r="F57" t="n">
        <v>5</v>
      </c>
      <c r="G57" t="inlineStr">
        <is>
          <t>BG002, BG005, BG006, BG009, BS001</t>
        </is>
      </c>
      <c r="H57" t="inlineStr">
        <is>
          <t>14 April 2011</t>
        </is>
      </c>
      <c r="I57" s="2" t="n">
        <v>46347</v>
      </c>
      <c r="J57" t="inlineStr">
        <is>
          <t>Disetujui</t>
        </is>
      </c>
      <c r="K57" t="n">
        <v>60</v>
      </c>
      <c r="L57" t="inlineStr">
        <is>
          <t>21 November 2026</t>
        </is>
      </c>
      <c r="M57" t="inlineStr">
        <is>
          <t>Konstruksi Bangunan Sipil Jalan, Konstruksi Gedung Kesehatan, Konstruksi Gedung Lainnya, Konstruksi Gedung Pendidikan, Konstruksi Gedung Perkantoran</t>
        </is>
      </c>
      <c r="N57" t="inlineStr">
        <is>
          <t>K</t>
        </is>
      </c>
      <c r="O57" t="inlineStr">
        <is>
          <t>20231122</t>
        </is>
      </c>
      <c r="P57" t="inlineStr">
        <is>
          <t>Sumatera Barat</t>
        </is>
      </c>
      <c r="Q57" t="inlineStr"/>
    </row>
    <row r="58">
      <c r="A58" t="inlineStr">
        <is>
          <t>GLOBAL PORT ENGINEERING INDONESIA</t>
        </is>
      </c>
      <c r="B58" t="inlineStr">
        <is>
          <t>Kota Surabaya</t>
        </is>
      </c>
      <c r="C58" t="inlineStr">
        <is>
          <t>03160038279</t>
        </is>
      </c>
      <c r="D58" t="inlineStr">
        <is>
          <t>mona@gpes.com.my</t>
        </is>
      </c>
      <c r="E58" t="inlineStr">
        <is>
          <t>https://lpjk.pu.go.id/search-badan-usaha-detail/NjR1cGlsQkxWeGhneklTM016bjlaZz09</t>
        </is>
      </c>
      <c r="F58" t="n">
        <v>1</v>
      </c>
      <c r="G58" t="inlineStr">
        <is>
          <t>IN001</t>
        </is>
      </c>
      <c r="H58" t="inlineStr">
        <is>
          <t>2 Oktober 2015</t>
        </is>
      </c>
      <c r="I58" s="2" t="n">
        <v>46347</v>
      </c>
      <c r="J58" t="inlineStr">
        <is>
          <t>Disetujui</t>
        </is>
      </c>
      <c r="K58" t="n">
        <v>60</v>
      </c>
      <c r="L58" t="inlineStr">
        <is>
          <t>21 November 2026</t>
        </is>
      </c>
      <c r="M58" t="inlineStr">
        <is>
          <t>Instalasi Mekanikal</t>
        </is>
      </c>
      <c r="N58" t="inlineStr">
        <is>
          <t>Spesialis</t>
        </is>
      </c>
      <c r="O58" t="inlineStr">
        <is>
          <t>20231121</t>
        </is>
      </c>
      <c r="P58" t="inlineStr">
        <is>
          <t>Jawa Timur</t>
        </is>
      </c>
      <c r="Q58" t="inlineStr"/>
    </row>
    <row r="59">
      <c r="A59" t="inlineStr">
        <is>
          <t>GRAHA KONSTRUKSI NUSANTARA</t>
        </is>
      </c>
      <c r="B59" t="inlineStr">
        <is>
          <t>Kota Banda Aceh</t>
        </is>
      </c>
      <c r="C59" t="inlineStr">
        <is>
          <t>085260133200</t>
        </is>
      </c>
      <c r="D59" t="inlineStr">
        <is>
          <t>grahanusantara99@gmail.com</t>
        </is>
      </c>
      <c r="E59" t="inlineStr">
        <is>
          <t>https://lpjk.pu.go.id/search-badan-usaha-detail/eTFCV2E3OSt4aHZIazhHc3JqcWlqQT09</t>
        </is>
      </c>
      <c r="F59" t="n">
        <v>2</v>
      </c>
      <c r="G59" t="inlineStr">
        <is>
          <t>BG009, BS004</t>
        </is>
      </c>
      <c r="H59" t="inlineStr">
        <is>
          <t>5 Maret 2019</t>
        </is>
      </c>
      <c r="I59" s="2" t="n">
        <v>46347</v>
      </c>
      <c r="J59" t="inlineStr">
        <is>
          <t>Disetujui</t>
        </is>
      </c>
      <c r="K59" t="n">
        <v>60</v>
      </c>
      <c r="L59" t="inlineStr">
        <is>
          <t>21 November 2026</t>
        </is>
      </c>
      <c r="M59" t="inlineStr">
        <is>
          <t>Konstruksi Gedung Lainnya, Konstruksi Jaringan Irigasi dan Drainase</t>
        </is>
      </c>
      <c r="N59" t="inlineStr">
        <is>
          <t>K</t>
        </is>
      </c>
      <c r="O59" t="inlineStr">
        <is>
          <t>20231121</t>
        </is>
      </c>
      <c r="P59" t="inlineStr">
        <is>
          <t>Aceh</t>
        </is>
      </c>
      <c r="Q59" t="inlineStr"/>
    </row>
    <row r="60">
      <c r="A60" t="inlineStr">
        <is>
          <t>GRAHA MEDISINDO UTAMA</t>
        </is>
      </c>
      <c r="B60" t="inlineStr">
        <is>
          <t>Kota Padang</t>
        </is>
      </c>
      <c r="C60" t="inlineStr">
        <is>
          <t>07517050930</t>
        </is>
      </c>
      <c r="D60" t="inlineStr">
        <is>
          <t>pt.grahamedisindoutama@gmail.com</t>
        </is>
      </c>
      <c r="E60" t="inlineStr">
        <is>
          <t>https://lpjk.pu.go.id/search-badan-usaha-detail/MEpoYTdKZDl5VkhiK3VEQlVtbkx3dz09</t>
        </is>
      </c>
      <c r="F60" t="n">
        <v>5</v>
      </c>
      <c r="G60" t="inlineStr">
        <is>
          <t>BG001, BG002, BG005, BG006, BG009</t>
        </is>
      </c>
      <c r="H60" t="inlineStr">
        <is>
          <t>20 Januari 2010</t>
        </is>
      </c>
      <c r="I60" s="2" t="n">
        <v>46347</v>
      </c>
      <c r="J60" t="inlineStr">
        <is>
          <t>Disetujui</t>
        </is>
      </c>
      <c r="K60" t="n">
        <v>60</v>
      </c>
      <c r="L60" t="inlineStr">
        <is>
          <t>21 November 2026</t>
        </is>
      </c>
      <c r="M60" t="inlineStr">
        <is>
          <t>Konstruksi Gedung Hunian, Konstruksi Gedung Kesehatan, Konstruksi Gedung Lainnya, Konstruksi Gedung Pendidikan, Konstruksi Gedung Perkantoran</t>
        </is>
      </c>
      <c r="N60" t="inlineStr">
        <is>
          <t>K</t>
        </is>
      </c>
      <c r="O60" t="inlineStr">
        <is>
          <t>20231116</t>
        </is>
      </c>
      <c r="P60" t="inlineStr">
        <is>
          <t>Sumatera Barat</t>
        </is>
      </c>
      <c r="Q60" t="inlineStr"/>
    </row>
    <row r="61">
      <c r="A61" t="inlineStr">
        <is>
          <t>GUNTUR WIJAYA PUTRA</t>
        </is>
      </c>
      <c r="B61" t="inlineStr">
        <is>
          <t>Kota Surabaya</t>
        </is>
      </c>
      <c r="C61" t="inlineStr">
        <is>
          <t>081331946984</t>
        </is>
      </c>
      <c r="D61" t="inlineStr">
        <is>
          <t>haripurwanto878@yahoo.co.id</t>
        </is>
      </c>
      <c r="E61" t="inlineStr">
        <is>
          <t>https://lpjk.pu.go.id/search-badan-usaha-detail/bWJNR3lsMkcrVW5DeENEVzdhV3VBUT09</t>
        </is>
      </c>
      <c r="F61" t="n">
        <v>2</v>
      </c>
      <c r="G61" t="inlineStr">
        <is>
          <t>BS001, BS004</t>
        </is>
      </c>
      <c r="H61" t="inlineStr">
        <is>
          <t>22 Juni 1990</t>
        </is>
      </c>
      <c r="I61" s="2" t="n">
        <v>46347</v>
      </c>
      <c r="J61" t="inlineStr">
        <is>
          <t>Disetujui</t>
        </is>
      </c>
      <c r="K61" t="n">
        <v>60</v>
      </c>
      <c r="L61" t="inlineStr">
        <is>
          <t>21 November 2026</t>
        </is>
      </c>
      <c r="M61" t="inlineStr">
        <is>
          <t>Konstruksi Bangunan Sipil Jalan, Konstruksi Jaringan Irigasi dan Drainase</t>
        </is>
      </c>
      <c r="N61" t="inlineStr">
        <is>
          <t>K</t>
        </is>
      </c>
      <c r="O61" t="inlineStr">
        <is>
          <t>20231115</t>
        </is>
      </c>
      <c r="P61" t="inlineStr">
        <is>
          <t>Jawa Timur</t>
        </is>
      </c>
      <c r="Q61" t="inlineStr"/>
    </row>
    <row r="62">
      <c r="A62" t="inlineStr">
        <is>
          <t>HARAPAN SEMPURNA</t>
        </is>
      </c>
      <c r="B62" t="inlineStr">
        <is>
          <t>Kab. Barito Utara</t>
        </is>
      </c>
      <c r="C62" t="inlineStr">
        <is>
          <t>081328757540</t>
        </is>
      </c>
      <c r="D62" t="inlineStr">
        <is>
          <t>cv.prf07@gmail.com</t>
        </is>
      </c>
      <c r="E62" t="inlineStr">
        <is>
          <t>https://lpjk.pu.go.id/search-badan-usaha-detail/NktWRlI3WWVTOUxKZmMzcXViUlRrZz09</t>
        </is>
      </c>
      <c r="F62" t="n">
        <v>5</v>
      </c>
      <c r="G62" t="inlineStr">
        <is>
          <t>BG002, BG005, BG006, BG008, BG009</t>
        </is>
      </c>
      <c r="H62" t="inlineStr">
        <is>
          <t>28 Desember 2016</t>
        </is>
      </c>
      <c r="I62" s="2" t="n">
        <v>46347</v>
      </c>
      <c r="J62" t="inlineStr">
        <is>
          <t>Disetujui</t>
        </is>
      </c>
      <c r="K62" t="n">
        <v>60</v>
      </c>
      <c r="L62" t="inlineStr">
        <is>
          <t>21 November 2026</t>
        </is>
      </c>
      <c r="M62" t="inlineStr">
        <is>
          <t>Konstruksi Gedung Kesehatan, Konstruksi Gedung Lainnya, Konstruksi Gedung Pendidikan, Konstruksi Gedung Perkantoran, Konstruksi Gedung Tempat Hiburan dan Olahraga</t>
        </is>
      </c>
      <c r="N62" t="inlineStr">
        <is>
          <t>K</t>
        </is>
      </c>
      <c r="O62" t="inlineStr">
        <is>
          <t>20231119</t>
        </is>
      </c>
      <c r="P62" t="inlineStr">
        <is>
          <t>Kalimantan Tengah</t>
        </is>
      </c>
      <c r="Q62" t="inlineStr"/>
    </row>
    <row r="63">
      <c r="A63" t="inlineStr">
        <is>
          <t>HASRAT JAYA UTAMA</t>
        </is>
      </c>
      <c r="B63" t="inlineStr">
        <is>
          <t>Kota Banjarmasin</t>
        </is>
      </c>
      <c r="C63" t="inlineStr">
        <is>
          <t>05113201516</t>
        </is>
      </c>
      <c r="D63" t="inlineStr">
        <is>
          <t>hjubjm@yahoo.com</t>
        </is>
      </c>
      <c r="E63" t="inlineStr">
        <is>
          <t>https://lpjk.pu.go.id/search-badan-usaha-detail/MHNJY0xiV1Z6amNhdWJ4aUU0SkpnSzVGbXc5S3pXVGdDZWdLS0pKUGhkMD0</t>
        </is>
      </c>
      <c r="F63" t="n">
        <v>2</v>
      </c>
      <c r="G63" t="inlineStr">
        <is>
          <t>BS001, BS002</t>
        </is>
      </c>
      <c r="H63" t="inlineStr">
        <is>
          <t>10 Januari 2025</t>
        </is>
      </c>
      <c r="I63" s="2" t="n">
        <v>46347</v>
      </c>
      <c r="J63" t="inlineStr">
        <is>
          <t>Disetujui</t>
        </is>
      </c>
      <c r="K63" t="n">
        <v>60</v>
      </c>
      <c r="L63" t="inlineStr">
        <is>
          <t>21 November 2026</t>
        </is>
      </c>
      <c r="M63" t="inlineStr">
        <is>
          <t>Bangunan Sipil Jembatan, Jalan Layang, Fly Over, dan Underpass, Konstruksi Bangunan Sipil Jalan</t>
        </is>
      </c>
      <c r="N63" t="inlineStr">
        <is>
          <t>B, M</t>
        </is>
      </c>
      <c r="O63" t="inlineStr">
        <is>
          <t>20231103</t>
        </is>
      </c>
      <c r="P63" t="inlineStr">
        <is>
          <t>Kalimantan Selatan</t>
        </is>
      </c>
      <c r="Q63" t="inlineStr"/>
    </row>
    <row r="64">
      <c r="A64" t="inlineStr">
        <is>
          <t>INTAN PERMATA</t>
        </is>
      </c>
      <c r="B64" t="inlineStr">
        <is>
          <t>Kab. Sukabumi</t>
        </is>
      </c>
      <c r="C64" t="inlineStr">
        <is>
          <t>082115163034</t>
        </is>
      </c>
      <c r="D64" t="inlineStr">
        <is>
          <t>intanpermatacv1@gmail.com</t>
        </is>
      </c>
      <c r="E64" t="inlineStr">
        <is>
          <t>https://lpjk.pu.go.id/search-badan-usaha-detail/SkRhTGc4SlgvTGxWdk9ZSFpFVmk5dz09</t>
        </is>
      </c>
      <c r="F64" t="n">
        <v>2</v>
      </c>
      <c r="G64" t="inlineStr">
        <is>
          <t>BG006, BS001</t>
        </is>
      </c>
      <c r="H64" t="inlineStr">
        <is>
          <t>10 April 2012</t>
        </is>
      </c>
      <c r="I64" s="2" t="n">
        <v>46347</v>
      </c>
      <c r="J64" t="inlineStr">
        <is>
          <t>Disetujui</t>
        </is>
      </c>
      <c r="K64" t="n">
        <v>60</v>
      </c>
      <c r="L64" t="inlineStr">
        <is>
          <t>21 November 2026</t>
        </is>
      </c>
      <c r="M64" t="inlineStr">
        <is>
          <t>Konstruksi Bangunan Sipil Jalan, Konstruksi Gedung Pendidikan</t>
        </is>
      </c>
      <c r="N64" t="inlineStr">
        <is>
          <t>K</t>
        </is>
      </c>
      <c r="O64" t="inlineStr">
        <is>
          <t>20231120</t>
        </is>
      </c>
      <c r="P64" t="inlineStr">
        <is>
          <t>Jawa Barat</t>
        </is>
      </c>
      <c r="Q64" t="inlineStr"/>
    </row>
    <row r="65">
      <c r="A65" t="inlineStr">
        <is>
          <t>INTAN TIMUR ENERGI</t>
        </is>
      </c>
      <c r="B65" t="inlineStr">
        <is>
          <t>Kab. Sidoarjo</t>
        </is>
      </c>
      <c r="C65" t="inlineStr">
        <is>
          <t>082260607447</t>
        </is>
      </c>
      <c r="D65" t="inlineStr">
        <is>
          <t>intantimurenergi@gmail.com</t>
        </is>
      </c>
      <c r="E65" t="inlineStr">
        <is>
          <t>https://lpjk.pu.go.id/search-badan-usaha-detail/aU80NmFWY2xob09lcWt0R21LZFZ2dz09</t>
        </is>
      </c>
      <c r="F65" t="n">
        <v>1</v>
      </c>
      <c r="G65" t="inlineStr">
        <is>
          <t>BG003</t>
        </is>
      </c>
      <c r="H65" t="inlineStr">
        <is>
          <t>16 April 2021</t>
        </is>
      </c>
      <c r="I65" s="2" t="n">
        <v>46347</v>
      </c>
      <c r="J65" t="inlineStr">
        <is>
          <t>Permohonan Perubahan Non Asesmen</t>
        </is>
      </c>
      <c r="K65" t="n">
        <v>60</v>
      </c>
      <c r="L65" t="inlineStr">
        <is>
          <t>21 November 2026</t>
        </is>
      </c>
      <c r="M65" t="inlineStr">
        <is>
          <t>Konstruksi Gedung Industri</t>
        </is>
      </c>
      <c r="N65" t="inlineStr">
        <is>
          <t>K</t>
        </is>
      </c>
      <c r="O65" t="inlineStr">
        <is>
          <t>20231024</t>
        </is>
      </c>
      <c r="P65" t="inlineStr">
        <is>
          <t>Jawa Timur</t>
        </is>
      </c>
      <c r="Q65" t="inlineStr"/>
    </row>
    <row r="66">
      <c r="A66" t="inlineStr">
        <is>
          <t>INTI KARYA PASIFIK</t>
        </is>
      </c>
      <c r="B66" t="inlineStr">
        <is>
          <t>Kota Adm. Jakarta Pusat</t>
        </is>
      </c>
      <c r="C66" t="inlineStr">
        <is>
          <t>08176000267</t>
        </is>
      </c>
      <c r="D66" t="inlineStr">
        <is>
          <t>intikaryapasifik@gmail.com</t>
        </is>
      </c>
      <c r="E66" t="inlineStr">
        <is>
          <t>https://lpjk.pu.go.id/search-badan-usaha-detail/c2lLdzRDQVJKd1hmeEcwTDE1cFVjUT09</t>
        </is>
      </c>
      <c r="F66" t="n">
        <v>3</v>
      </c>
      <c r="G66" t="inlineStr">
        <is>
          <t>BG001, BG002, BG007</t>
        </is>
      </c>
      <c r="H66" t="inlineStr">
        <is>
          <t>19 September 2023</t>
        </is>
      </c>
      <c r="I66" s="2" t="n">
        <v>46347</v>
      </c>
      <c r="J66" t="inlineStr">
        <is>
          <t>Disetujui</t>
        </is>
      </c>
      <c r="K66" t="n">
        <v>60</v>
      </c>
      <c r="L66" t="inlineStr">
        <is>
          <t>21 November 2026</t>
        </is>
      </c>
      <c r="M66" t="inlineStr">
        <is>
          <t>Konstruksi Gedung Hunian, Konstruksi Gedung Penginapan, Konstruksi Gedung Perkantoran</t>
        </is>
      </c>
      <c r="N66" t="inlineStr">
        <is>
          <t>K</t>
        </is>
      </c>
      <c r="O66" t="inlineStr">
        <is>
          <t>20231117</t>
        </is>
      </c>
      <c r="P66" t="inlineStr">
        <is>
          <t>DKI Jakarta</t>
        </is>
      </c>
      <c r="Q66" t="inlineStr"/>
    </row>
    <row r="67">
      <c r="A67" t="inlineStr">
        <is>
          <t>INTI SOLID TRITAMA</t>
        </is>
      </c>
      <c r="B67" t="inlineStr">
        <is>
          <t>Kota Bandung</t>
        </is>
      </c>
      <c r="C67" t="inlineStr">
        <is>
          <t>0226123985</t>
        </is>
      </c>
      <c r="D67" t="inlineStr">
        <is>
          <t>intisolidtritama29@gmail.com</t>
        </is>
      </c>
      <c r="E67" t="inlineStr">
        <is>
          <t>https://lpjk.pu.go.id/search-badan-usaha-detail/c2hlKzJGcWNLbHA1aDRFTUo2WGhIdz09</t>
        </is>
      </c>
      <c r="F67" t="n">
        <v>5</v>
      </c>
      <c r="G67" t="inlineStr">
        <is>
          <t>BG002, BG003, BG007, BG008, BG009</t>
        </is>
      </c>
      <c r="H67" t="inlineStr">
        <is>
          <t>29 Februari 2008</t>
        </is>
      </c>
      <c r="I67" s="2" t="n">
        <v>46347</v>
      </c>
      <c r="J67" t="inlineStr">
        <is>
          <t>Disetujui</t>
        </is>
      </c>
      <c r="K67" t="n">
        <v>60</v>
      </c>
      <c r="L67" t="inlineStr">
        <is>
          <t>21 November 2026</t>
        </is>
      </c>
      <c r="M67" t="inlineStr">
        <is>
          <t>Konstruksi Gedung Industri, Konstruksi Gedung Lainnya, Konstruksi Gedung Penginapan, Konstruksi Gedung Perkantoran, Konstruksi Gedung Tempat Hiburan dan Olahraga</t>
        </is>
      </c>
      <c r="N67" t="inlineStr">
        <is>
          <t>K</t>
        </is>
      </c>
      <c r="O67" t="inlineStr">
        <is>
          <t>20231120, 20231121, 20231123</t>
        </is>
      </c>
      <c r="P67" t="inlineStr">
        <is>
          <t>Jawa Barat</t>
        </is>
      </c>
      <c r="Q67" t="inlineStr"/>
    </row>
    <row r="68">
      <c r="A68" t="inlineStr">
        <is>
          <t>JAGARNATAMA PUTRA MANDIRI</t>
        </is>
      </c>
      <c r="B68" t="inlineStr">
        <is>
          <t>Kota Padang</t>
        </is>
      </c>
      <c r="C68" t="inlineStr">
        <is>
          <t>085358618825</t>
        </is>
      </c>
      <c r="D68" t="inlineStr">
        <is>
          <t>jagarnatamaputram@gmail.com</t>
        </is>
      </c>
      <c r="E68" t="inlineStr">
        <is>
          <t>https://lpjk.pu.go.id/search-badan-usaha-detail/VkVqZllCSHVIUThRRkY3NkpBYmxMdz09</t>
        </is>
      </c>
      <c r="F68" t="n">
        <v>1</v>
      </c>
      <c r="G68" t="inlineStr">
        <is>
          <t>BS001</t>
        </is>
      </c>
      <c r="H68" t="inlineStr">
        <is>
          <t>14 Februari 2023</t>
        </is>
      </c>
      <c r="I68" s="2" t="n">
        <v>46347</v>
      </c>
      <c r="J68" t="inlineStr">
        <is>
          <t>Disetujui</t>
        </is>
      </c>
      <c r="K68" t="n">
        <v>60</v>
      </c>
      <c r="L68" t="inlineStr">
        <is>
          <t>21 November 2026</t>
        </is>
      </c>
      <c r="M68" t="inlineStr">
        <is>
          <t>Konstruksi Bangunan Sipil Jalan</t>
        </is>
      </c>
      <c r="N68" t="inlineStr">
        <is>
          <t>K</t>
        </is>
      </c>
      <c r="O68" t="inlineStr">
        <is>
          <t>20231110</t>
        </is>
      </c>
      <c r="P68" t="inlineStr">
        <is>
          <t>Sumatera Barat</t>
        </is>
      </c>
      <c r="Q68" t="inlineStr"/>
    </row>
    <row r="69">
      <c r="A69" t="inlineStr">
        <is>
          <t>JALAK BALI</t>
        </is>
      </c>
      <c r="B69" t="inlineStr">
        <is>
          <t>Kab. Tabanan</t>
        </is>
      </c>
      <c r="C69" t="inlineStr">
        <is>
          <t>0361799451</t>
        </is>
      </c>
      <c r="D69" t="inlineStr">
        <is>
          <t>bali.jalaklogin@gmail.com</t>
        </is>
      </c>
      <c r="E69" t="inlineStr">
        <is>
          <t>https://lpjk.pu.go.id/search-badan-usaha-detail/RjFkdUNtRWN1c1VualB3cjVsbmhNZz09</t>
        </is>
      </c>
      <c r="F69" t="n">
        <v>3</v>
      </c>
      <c r="G69" t="inlineStr">
        <is>
          <t>AR001, AR003, RK001</t>
        </is>
      </c>
      <c r="H69" t="inlineStr">
        <is>
          <t>17 April 2012</t>
        </is>
      </c>
      <c r="I69" s="2" t="n">
        <v>46347</v>
      </c>
      <c r="J69" t="inlineStr">
        <is>
          <t>Disetujui</t>
        </is>
      </c>
      <c r="K69" t="n">
        <v>60</v>
      </c>
      <c r="L69" t="inlineStr">
        <is>
          <t>21 November 2026</t>
        </is>
      </c>
      <c r="M69" t="inlineStr">
        <is>
          <t>Jasa Arsitektural Bangunan Gedung Hunian dan Non Hunian, Jasa Desain Interior pada Bangunan Gedung dan Bangunan Sipil, Jasa Rekayasa Konstruksi Bangunan Gedung Hunian dan Non Hunian</t>
        </is>
      </c>
      <c r="N69" t="inlineStr">
        <is>
          <t>K</t>
        </is>
      </c>
      <c r="O69" t="inlineStr">
        <is>
          <t>20231109</t>
        </is>
      </c>
      <c r="P69" t="inlineStr">
        <is>
          <t>Bali</t>
        </is>
      </c>
      <c r="Q69" t="inlineStr"/>
    </row>
    <row r="70">
      <c r="A70" t="inlineStr">
        <is>
          <t>JAYA PRIMA PROTEKSI</t>
        </is>
      </c>
      <c r="B70" t="inlineStr">
        <is>
          <t>Kota Tangerang</t>
        </is>
      </c>
      <c r="C70" t="inlineStr">
        <is>
          <t>082111045773</t>
        </is>
      </c>
      <c r="D70" t="inlineStr">
        <is>
          <t>ptjayaprimaproteksi@gmail.com</t>
        </is>
      </c>
      <c r="E70" t="inlineStr">
        <is>
          <t>https://lpjk.pu.go.id/search-badan-usaha-detail/ZW4vc0tobVJpeWN4TVZMOE9CRGdBdz09</t>
        </is>
      </c>
      <c r="F70" t="n">
        <v>1</v>
      </c>
      <c r="G70" t="inlineStr">
        <is>
          <t>BS001</t>
        </is>
      </c>
      <c r="H70" t="inlineStr">
        <is>
          <t>24 Desember 2014</t>
        </is>
      </c>
      <c r="I70" s="2" t="n">
        <v>46347</v>
      </c>
      <c r="J70" t="inlineStr">
        <is>
          <t>Disetujui</t>
        </is>
      </c>
      <c r="K70" t="n">
        <v>60</v>
      </c>
      <c r="L70" t="inlineStr">
        <is>
          <t>21 November 2026</t>
        </is>
      </c>
      <c r="M70" t="inlineStr">
        <is>
          <t>Konstruksi Bangunan Sipil Jalan</t>
        </is>
      </c>
      <c r="N70" t="inlineStr">
        <is>
          <t>K</t>
        </is>
      </c>
      <c r="O70" t="inlineStr">
        <is>
          <t>20231122</t>
        </is>
      </c>
      <c r="P70" t="inlineStr">
        <is>
          <t>Banten</t>
        </is>
      </c>
      <c r="Q70" t="inlineStr"/>
    </row>
    <row r="71">
      <c r="A71" t="inlineStr">
        <is>
          <t>JAYA RAYA KONSTRUKSI</t>
        </is>
      </c>
      <c r="B71" t="inlineStr">
        <is>
          <t>Kab. Blitar</t>
        </is>
      </c>
      <c r="C71" t="inlineStr">
        <is>
          <t>0</t>
        </is>
      </c>
      <c r="D71" t="inlineStr">
        <is>
          <t>jayarayakonstruksi_cv@yahoo.com</t>
        </is>
      </c>
      <c r="E71" t="inlineStr">
        <is>
          <t>https://lpjk.pu.go.id/search-badan-usaha-detail/NFk4aGVNeU1nQUJ5dkdaL3pUVlZOdz09</t>
        </is>
      </c>
      <c r="F71" t="n">
        <v>2</v>
      </c>
      <c r="G71" t="inlineStr">
        <is>
          <t>BS001, BS010</t>
        </is>
      </c>
      <c r="H71" t="inlineStr">
        <is>
          <t>28 September 2006</t>
        </is>
      </c>
      <c r="I71" s="2" t="n">
        <v>46347</v>
      </c>
      <c r="J71" t="inlineStr">
        <is>
          <t>Pencabutan</t>
        </is>
      </c>
      <c r="K71" t="n">
        <v>60</v>
      </c>
      <c r="L71" t="inlineStr">
        <is>
          <t>21 November 2026</t>
        </is>
      </c>
      <c r="M71" t="inlineStr">
        <is>
          <t>Konstruksi Bangunan Prasarana Sumber Daya Air, Konstruksi Bangunan Sipil Jalan</t>
        </is>
      </c>
      <c r="N71" t="inlineStr">
        <is>
          <t>K</t>
        </is>
      </c>
      <c r="O71" t="inlineStr">
        <is>
          <t>20231115, 20231122</t>
        </is>
      </c>
      <c r="P71" t="inlineStr">
        <is>
          <t>Jawa Timur</t>
        </is>
      </c>
      <c r="Q71" t="inlineStr"/>
    </row>
    <row r="72">
      <c r="A72" t="inlineStr">
        <is>
          <t>KARYA DUTA BERSAMA</t>
        </is>
      </c>
      <c r="B72" t="inlineStr">
        <is>
          <t>Kota Medan</t>
        </is>
      </c>
      <c r="C72" t="inlineStr">
        <is>
          <t>081396136525</t>
        </is>
      </c>
      <c r="D72" t="inlineStr">
        <is>
          <t>karyadutabersama23@gmail.com</t>
        </is>
      </c>
      <c r="E72" t="inlineStr">
        <is>
          <t>https://lpjk.pu.go.id/search-badan-usaha-detail/MjZXMzd4Q3pjVmF4U3ViTUE5WWt4UT09</t>
        </is>
      </c>
      <c r="F72" t="n">
        <v>2</v>
      </c>
      <c r="G72" t="inlineStr">
        <is>
          <t>RK001, RK003</t>
        </is>
      </c>
      <c r="H72" t="inlineStr">
        <is>
          <t>24 Oktober 2012</t>
        </is>
      </c>
      <c r="I72" s="2" t="n">
        <v>46347</v>
      </c>
      <c r="J72" t="inlineStr">
        <is>
          <t>Disetujui</t>
        </is>
      </c>
      <c r="K72" t="n">
        <v>60</v>
      </c>
      <c r="L72" t="inlineStr">
        <is>
          <t>21 November 2026</t>
        </is>
      </c>
      <c r="M72" t="inlineStr">
        <is>
          <t>Jasa Rekayasa Konstruksi Bangunan Gedung Hunian dan Non Hunian, Jasa Rekayasa Pekerjaan Teknik Sipil Transportasi</t>
        </is>
      </c>
      <c r="N72" t="inlineStr">
        <is>
          <t>K</t>
        </is>
      </c>
      <c r="O72" t="inlineStr">
        <is>
          <t>20231113</t>
        </is>
      </c>
      <c r="P72" t="inlineStr">
        <is>
          <t>Sumatera Utara</t>
        </is>
      </c>
      <c r="Q72" t="inlineStr"/>
    </row>
    <row r="73">
      <c r="A73" t="inlineStr">
        <is>
          <t>KARYA MANDIRI</t>
        </is>
      </c>
      <c r="B73" t="inlineStr">
        <is>
          <t>Kab. Jembrana</t>
        </is>
      </c>
      <c r="C73" t="inlineStr">
        <is>
          <t>081338337245</t>
        </is>
      </c>
      <c r="D73" t="inlineStr">
        <is>
          <t>www.kr_mandiri@yahoo.com</t>
        </is>
      </c>
      <c r="E73" t="inlineStr">
        <is>
          <t>https://lpjk.pu.go.id/search-badan-usaha-detail/Q2FhTXNydjQwRFFWVHNqWjlLeUNmQT09</t>
        </is>
      </c>
      <c r="F73" t="n">
        <v>5</v>
      </c>
      <c r="G73" t="inlineStr">
        <is>
          <t>BG002, BG006, BG009, BS004, BS005</t>
        </is>
      </c>
      <c r="H73" t="inlineStr">
        <is>
          <t>18 Mei 2009</t>
        </is>
      </c>
      <c r="I73" s="2" t="n">
        <v>46347</v>
      </c>
      <c r="J73" t="inlineStr">
        <is>
          <t>Disetujui</t>
        </is>
      </c>
      <c r="K73" t="n">
        <v>60</v>
      </c>
      <c r="L73" t="inlineStr">
        <is>
          <t>21 November 2026</t>
        </is>
      </c>
      <c r="M73" t="inlineStr">
        <is>
          <t>Konstruksi Bangunan Sipil Pengolahan Air Bersih, Konstruksi Gedung Lainnya, Konstruksi Gedung Pendidikan, Konstruksi Gedung Perkantoran, Konstruksi Jaringan Irigasi dan Drainase</t>
        </is>
      </c>
      <c r="N73" t="inlineStr">
        <is>
          <t>K</t>
        </is>
      </c>
      <c r="O73" t="inlineStr">
        <is>
          <t>20231115</t>
        </is>
      </c>
      <c r="P73" t="inlineStr">
        <is>
          <t>Bali</t>
        </is>
      </c>
      <c r="Q73" t="inlineStr"/>
    </row>
    <row r="74">
      <c r="A74" t="inlineStr">
        <is>
          <t>KARYA SAHABAT GLOBAL</t>
        </is>
      </c>
      <c r="B74" t="inlineStr">
        <is>
          <t>Kota Adm. Jakarta Barat</t>
        </is>
      </c>
      <c r="C74" t="inlineStr">
        <is>
          <t>0811193301</t>
        </is>
      </c>
      <c r="D74" t="inlineStr">
        <is>
          <t>info@karyasahabatglobal.com</t>
        </is>
      </c>
      <c r="E74" t="inlineStr">
        <is>
          <t>https://lpjk.pu.go.id/search-badan-usaha-detail/ZTQvSUNSTWN3ajB5VFV3WVgxSFlBQT09</t>
        </is>
      </c>
      <c r="F74" t="n">
        <v>1</v>
      </c>
      <c r="G74" t="inlineStr">
        <is>
          <t>BG008</t>
        </is>
      </c>
      <c r="H74" t="inlineStr">
        <is>
          <t>13 April 2021</t>
        </is>
      </c>
      <c r="I74" s="2" t="n">
        <v>46347</v>
      </c>
      <c r="J74" t="inlineStr">
        <is>
          <t>Disetujui</t>
        </is>
      </c>
      <c r="K74" t="n">
        <v>60</v>
      </c>
      <c r="L74" t="inlineStr">
        <is>
          <t>21 November 2026</t>
        </is>
      </c>
      <c r="M74" t="inlineStr">
        <is>
          <t>Konstruksi Gedung Tempat Hiburan dan Olahraga</t>
        </is>
      </c>
      <c r="N74" t="inlineStr">
        <is>
          <t>K</t>
        </is>
      </c>
      <c r="O74" t="inlineStr">
        <is>
          <t>20231121</t>
        </is>
      </c>
      <c r="P74" t="inlineStr">
        <is>
          <t>DKI Jakarta</t>
        </is>
      </c>
      <c r="Q74" t="inlineStr"/>
    </row>
    <row r="75">
      <c r="A75" t="inlineStr">
        <is>
          <t>KEMBAR EMAS BERSAUDARA</t>
        </is>
      </c>
      <c r="B75" t="inlineStr">
        <is>
          <t>Kab. Nunukan</t>
        </is>
      </c>
      <c r="C75" t="inlineStr">
        <is>
          <t>081238515982</t>
        </is>
      </c>
      <c r="D75" t="inlineStr">
        <is>
          <t>kembaremascv@gmail.com</t>
        </is>
      </c>
      <c r="E75" t="inlineStr">
        <is>
          <t>https://lpjk.pu.go.id/search-badan-usaha-detail/bFZSZHJmWDRaOHlGa1FRc1A5TU4zUT09</t>
        </is>
      </c>
      <c r="F75" t="n">
        <v>1</v>
      </c>
      <c r="G75" t="inlineStr">
        <is>
          <t>BS001</t>
        </is>
      </c>
      <c r="H75" t="inlineStr">
        <is>
          <t>9 Mei 2022</t>
        </is>
      </c>
      <c r="I75" s="2" t="n">
        <v>46347</v>
      </c>
      <c r="J75" t="inlineStr">
        <is>
          <t>Disetujui</t>
        </is>
      </c>
      <c r="K75" t="n">
        <v>60</v>
      </c>
      <c r="L75" t="inlineStr">
        <is>
          <t>21 November 2026</t>
        </is>
      </c>
      <c r="M75" t="inlineStr">
        <is>
          <t>Konstruksi Bangunan Sipil Jalan</t>
        </is>
      </c>
      <c r="N75" t="inlineStr">
        <is>
          <t>K</t>
        </is>
      </c>
      <c r="O75" t="inlineStr">
        <is>
          <t>20231005</t>
        </is>
      </c>
      <c r="P75" t="inlineStr">
        <is>
          <t>Kalimantan Utara</t>
        </is>
      </c>
      <c r="Q75" t="inlineStr"/>
    </row>
    <row r="76">
      <c r="A76" t="inlineStr">
        <is>
          <t>KEVIN JAYA KONTRAKTOR</t>
        </is>
      </c>
      <c r="B76" t="inlineStr">
        <is>
          <t>Kab. Kampar</t>
        </is>
      </c>
      <c r="C76" t="inlineStr">
        <is>
          <t>081268768597</t>
        </is>
      </c>
      <c r="D76" t="inlineStr">
        <is>
          <t>kontraktorkevin2022@gmail.com</t>
        </is>
      </c>
      <c r="E76" t="inlineStr">
        <is>
          <t>https://lpjk.pu.go.id/search-badan-usaha-detail/MDhkZ0JVZlVOVzNTL3RuWTNrQTFvQT09</t>
        </is>
      </c>
      <c r="F76" t="n">
        <v>3</v>
      </c>
      <c r="G76" t="inlineStr">
        <is>
          <t>BG005, BG006, BG009</t>
        </is>
      </c>
      <c r="H76" t="inlineStr">
        <is>
          <t>5 Agustus 2022</t>
        </is>
      </c>
      <c r="I76" s="2" t="n">
        <v>46347</v>
      </c>
      <c r="J76" t="inlineStr">
        <is>
          <t>Disetujui</t>
        </is>
      </c>
      <c r="K76" t="n">
        <v>60</v>
      </c>
      <c r="L76" t="inlineStr">
        <is>
          <t>21 November 2026</t>
        </is>
      </c>
      <c r="M76" t="inlineStr">
        <is>
          <t>Konstruksi Gedung Kesehatan, Konstruksi Gedung Lainnya, Konstruksi Gedung Pendidikan</t>
        </is>
      </c>
      <c r="N76" t="inlineStr">
        <is>
          <t>K</t>
        </is>
      </c>
      <c r="O76" t="inlineStr">
        <is>
          <t>20231120</t>
        </is>
      </c>
      <c r="P76" t="inlineStr">
        <is>
          <t>Riau</t>
        </is>
      </c>
      <c r="Q76" t="inlineStr"/>
    </row>
    <row r="77">
      <c r="A77" t="inlineStr">
        <is>
          <t>LENTERA HIDUP</t>
        </is>
      </c>
      <c r="B77" t="inlineStr">
        <is>
          <t>Kota Manado</t>
        </is>
      </c>
      <c r="C77" t="inlineStr">
        <is>
          <t>085256622884</t>
        </is>
      </c>
      <c r="D77" t="inlineStr">
        <is>
          <t>cvlenterahidup@gmail.com</t>
        </is>
      </c>
      <c r="E77" t="inlineStr">
        <is>
          <t>https://lpjk.pu.go.id/search-badan-usaha-detail/RXo3RmFtSitxY3FTbnpld3lVcTI0UT09</t>
        </is>
      </c>
      <c r="F77" t="n">
        <v>4</v>
      </c>
      <c r="G77" t="inlineStr">
        <is>
          <t>BG002, BG005, BG006, BG009</t>
        </is>
      </c>
      <c r="H77" t="inlineStr">
        <is>
          <t>2 November 2020</t>
        </is>
      </c>
      <c r="I77" s="2" t="n">
        <v>46347</v>
      </c>
      <c r="J77" t="inlineStr">
        <is>
          <t>Disetujui</t>
        </is>
      </c>
      <c r="K77" t="n">
        <v>60</v>
      </c>
      <c r="L77" t="inlineStr">
        <is>
          <t>21 November 2026</t>
        </is>
      </c>
      <c r="M77" t="inlineStr">
        <is>
          <t>Konstruksi Gedung Kesehatan, Konstruksi Gedung Lainnya, Konstruksi Gedung Pendidikan, Konstruksi Gedung Perkantoran</t>
        </is>
      </c>
      <c r="N77" t="inlineStr">
        <is>
          <t>K</t>
        </is>
      </c>
      <c r="O77" t="inlineStr">
        <is>
          <t>20231122</t>
        </is>
      </c>
      <c r="P77" t="inlineStr">
        <is>
          <t>Sulawesi Utara</t>
        </is>
      </c>
      <c r="Q77" t="inlineStr"/>
    </row>
    <row r="78">
      <c r="A78" t="inlineStr">
        <is>
          <t>MAHAKA CONSULTANT INDONESIA</t>
        </is>
      </c>
      <c r="B78" t="inlineStr">
        <is>
          <t>Kab. Lombok Tengah</t>
        </is>
      </c>
      <c r="C78" t="inlineStr">
        <is>
          <t>081917122857</t>
        </is>
      </c>
      <c r="D78" t="inlineStr">
        <is>
          <t>mci.lombok@gmail.com</t>
        </is>
      </c>
      <c r="E78" t="inlineStr">
        <is>
          <t>https://lpjk.pu.go.id/search-badan-usaha-detail/d2JQaVdGZm9kcVZRUkdyZHFDOVBidz09</t>
        </is>
      </c>
      <c r="F78" t="n">
        <v>2</v>
      </c>
      <c r="G78" t="inlineStr">
        <is>
          <t>RK001</t>
        </is>
      </c>
      <c r="H78" t="inlineStr">
        <is>
          <t>5 Desember 2019</t>
        </is>
      </c>
      <c r="I78" s="2" t="n">
        <v>46347</v>
      </c>
      <c r="J78" t="inlineStr">
        <is>
          <t>Disetujui</t>
        </is>
      </c>
      <c r="K78" t="n">
        <v>60</v>
      </c>
      <c r="L78" t="inlineStr">
        <is>
          <t>21 November 2026</t>
        </is>
      </c>
      <c r="M78" t="inlineStr">
        <is>
          <t>Jasa Rekayasa Konstruksi Bangunan Gedung Hunian dan Non Hunian</t>
        </is>
      </c>
      <c r="N78" t="inlineStr">
        <is>
          <t>K</t>
        </is>
      </c>
      <c r="O78" t="inlineStr">
        <is>
          <t>20230414</t>
        </is>
      </c>
      <c r="P78" t="inlineStr">
        <is>
          <t>Nusa Tenggara Barat</t>
        </is>
      </c>
      <c r="Q78" t="inlineStr"/>
    </row>
    <row r="79">
      <c r="A79" t="inlineStr">
        <is>
          <t>MAHAMERU KONSTRUKSI INDONESIA</t>
        </is>
      </c>
      <c r="B79" t="inlineStr">
        <is>
          <t>Kab. Subang</t>
        </is>
      </c>
      <c r="C79" t="inlineStr">
        <is>
          <t>08112446397</t>
        </is>
      </c>
      <c r="D79" t="inlineStr">
        <is>
          <t>mahamerukonstruksindo@gmail.com</t>
        </is>
      </c>
      <c r="E79" t="inlineStr">
        <is>
          <t>https://lpjk.pu.go.id/search-badan-usaha-detail/MDRuZnBJMzlOVTFtaTQ3Nk1XQUlyQT09</t>
        </is>
      </c>
      <c r="F79" t="n">
        <v>8</v>
      </c>
      <c r="G79" t="inlineStr">
        <is>
          <t>BG006, BG009, BS001, BS004</t>
        </is>
      </c>
      <c r="H79" t="inlineStr">
        <is>
          <t>17 Juli 2021</t>
        </is>
      </c>
      <c r="I79" s="2" t="n">
        <v>46347</v>
      </c>
      <c r="J79" t="inlineStr">
        <is>
          <t>Disetujui</t>
        </is>
      </c>
      <c r="K79" t="n">
        <v>60</v>
      </c>
      <c r="L79" t="inlineStr">
        <is>
          <t>21 November 2026</t>
        </is>
      </c>
      <c r="M79" t="inlineStr">
        <is>
          <t>Konstruksi Bangunan Sipil Jalan, Konstruksi Gedung Lainnya, Konstruksi Gedung Pendidikan, Konstruksi Jaringan Irigasi dan Drainase</t>
        </is>
      </c>
      <c r="N79" t="inlineStr">
        <is>
          <t>K</t>
        </is>
      </c>
      <c r="O79" t="inlineStr">
        <is>
          <t>20231122, 20231124</t>
        </is>
      </c>
      <c r="P79" t="inlineStr">
        <is>
          <t>Jawa Barat</t>
        </is>
      </c>
      <c r="Q79" t="inlineStr"/>
    </row>
    <row r="80">
      <c r="A80" t="inlineStr">
        <is>
          <t>MAHATAMA KARYA</t>
        </is>
      </c>
      <c r="B80" t="inlineStr">
        <is>
          <t>Kab. Pandeglang</t>
        </is>
      </c>
      <c r="C80" t="inlineStr">
        <is>
          <t>0877 3523 223_</t>
        </is>
      </c>
      <c r="D80" t="inlineStr">
        <is>
          <t>mahatamakarya@gmail.com</t>
        </is>
      </c>
      <c r="E80" t="inlineStr">
        <is>
          <t>https://lpjk.pu.go.id/search-badan-usaha-detail/cmFsOTlHbUZUeFJ3dC9DTXpwZFc4OEI5dFdWK25WQ1NXalJtL2NxQWppYz0</t>
        </is>
      </c>
      <c r="F80" t="n">
        <v>1</v>
      </c>
      <c r="G80" t="inlineStr">
        <is>
          <t>BG006</t>
        </is>
      </c>
      <c r="H80" t="inlineStr">
        <is>
          <t>9 Januari 2020</t>
        </is>
      </c>
      <c r="I80" s="2" t="n">
        <v>46347</v>
      </c>
      <c r="J80" t="inlineStr">
        <is>
          <t>Dokumen Lengkap</t>
        </is>
      </c>
      <c r="K80" t="n">
        <v>60</v>
      </c>
      <c r="L80" t="inlineStr">
        <is>
          <t>21 November 2026</t>
        </is>
      </c>
      <c r="M80" t="inlineStr">
        <is>
          <t>Konstruksi Gedung Pendidikan</t>
        </is>
      </c>
      <c r="N80" t="inlineStr">
        <is>
          <t>K</t>
        </is>
      </c>
      <c r="O80" t="inlineStr">
        <is>
          <t>20230408</t>
        </is>
      </c>
      <c r="P80" t="inlineStr">
        <is>
          <t>Banten</t>
        </is>
      </c>
      <c r="Q80" t="inlineStr"/>
    </row>
    <row r="81">
      <c r="A81" t="inlineStr">
        <is>
          <t>MANDALA</t>
        </is>
      </c>
      <c r="B81" t="inlineStr">
        <is>
          <t>Kab. Lampung Selatan</t>
        </is>
      </c>
      <c r="C81" t="inlineStr">
        <is>
          <t>082285866727</t>
        </is>
      </c>
      <c r="D81" t="inlineStr">
        <is>
          <t>wyulyasari@gmail.com</t>
        </is>
      </c>
      <c r="E81" t="inlineStr">
        <is>
          <t>https://lpjk.pu.go.id/search-badan-usaha-detail/bThiUXRtWVZGN3hWT1ZjWEdOaTNTZz09</t>
        </is>
      </c>
      <c r="F81" t="n">
        <v>2</v>
      </c>
      <c r="G81" t="inlineStr">
        <is>
          <t>BS004</t>
        </is>
      </c>
      <c r="H81" t="inlineStr">
        <is>
          <t>18 November 2010</t>
        </is>
      </c>
      <c r="I81" s="2" t="n">
        <v>46347</v>
      </c>
      <c r="J81" t="inlineStr">
        <is>
          <t>Disetujui</t>
        </is>
      </c>
      <c r="K81" t="n">
        <v>60</v>
      </c>
      <c r="L81" t="inlineStr">
        <is>
          <t>21 November 2026</t>
        </is>
      </c>
      <c r="M81" t="inlineStr">
        <is>
          <t>Konstruksi Jaringan Irigasi dan Drainase</t>
        </is>
      </c>
      <c r="N81" t="inlineStr">
        <is>
          <t>K</t>
        </is>
      </c>
      <c r="O81" t="inlineStr">
        <is>
          <t>20231120</t>
        </is>
      </c>
      <c r="P81" t="inlineStr">
        <is>
          <t>Lampung</t>
        </is>
      </c>
      <c r="Q81" t="inlineStr"/>
    </row>
    <row r="82">
      <c r="A82" t="inlineStr">
        <is>
          <t>MAS GLOBAL</t>
        </is>
      </c>
      <c r="B82" t="inlineStr">
        <is>
          <t>Kab. Tanjung Jabung Barat</t>
        </is>
      </c>
      <c r="C82" t="inlineStr">
        <is>
          <t>085266788228</t>
        </is>
      </c>
      <c r="D82" t="inlineStr">
        <is>
          <t>masglobalcv@gmail.com</t>
        </is>
      </c>
      <c r="E82" t="inlineStr">
        <is>
          <t>https://lpjk.pu.go.id/search-badan-usaha-detail/ZG1FUzFWSEFKU013M3BKRm0yZDZtUT09</t>
        </is>
      </c>
      <c r="F82" t="n">
        <v>1</v>
      </c>
      <c r="G82" t="inlineStr">
        <is>
          <t>BS007</t>
        </is>
      </c>
      <c r="H82" t="inlineStr">
        <is>
          <t>14 Mei 2019</t>
        </is>
      </c>
      <c r="I82" s="2" t="n">
        <v>46347</v>
      </c>
      <c r="J82" t="inlineStr">
        <is>
          <t>Disetujui</t>
        </is>
      </c>
      <c r="K82" t="n">
        <v>60</v>
      </c>
      <c r="L82" t="inlineStr">
        <is>
          <t>21 November 2026</t>
        </is>
      </c>
      <c r="M82" t="inlineStr">
        <is>
          <t>Konstruksi Bangunan Sipil Elektrikal</t>
        </is>
      </c>
      <c r="N82" t="inlineStr">
        <is>
          <t>K</t>
        </is>
      </c>
      <c r="O82" t="inlineStr">
        <is>
          <t>20230608</t>
        </is>
      </c>
      <c r="P82" t="inlineStr">
        <is>
          <t>Jambi</t>
        </is>
      </c>
      <c r="Q82" t="inlineStr"/>
    </row>
    <row r="83">
      <c r="A83" t="inlineStr">
        <is>
          <t>MULTI NIAGA PUTRA</t>
        </is>
      </c>
      <c r="B83" t="inlineStr">
        <is>
          <t>Kota Adm. Jakarta Utara</t>
        </is>
      </c>
      <c r="C83" t="inlineStr">
        <is>
          <t>082113404863</t>
        </is>
      </c>
      <c r="D83" t="inlineStr">
        <is>
          <t>pt.multiniagaputra1@gmail.com</t>
        </is>
      </c>
      <c r="E83" t="inlineStr">
        <is>
          <t>https://lpjk.pu.go.id/search-badan-usaha-detail/dnE3eW5PQnlmZkFRYU91OVFJaEpHdz09</t>
        </is>
      </c>
      <c r="F83" t="n">
        <v>2</v>
      </c>
      <c r="G83" t="inlineStr">
        <is>
          <t>BS001, BS002</t>
        </is>
      </c>
      <c r="H83" t="inlineStr">
        <is>
          <t>15 Mei 2023</t>
        </is>
      </c>
      <c r="I83" s="2" t="n">
        <v>46347</v>
      </c>
      <c r="J83" t="inlineStr">
        <is>
          <t>Disetujui</t>
        </is>
      </c>
      <c r="K83" t="n">
        <v>60</v>
      </c>
      <c r="L83" t="inlineStr">
        <is>
          <t>21 November 2026</t>
        </is>
      </c>
      <c r="M83" t="inlineStr">
        <is>
          <t>Bangunan Sipil Jembatan, Jalan Layang, Fly Over, dan Underpass, Konstruksi Bangunan Sipil Jalan</t>
        </is>
      </c>
      <c r="N83" t="inlineStr">
        <is>
          <t>K</t>
        </is>
      </c>
      <c r="O83" t="inlineStr">
        <is>
          <t>20231117, 20231119</t>
        </is>
      </c>
      <c r="P83" t="inlineStr">
        <is>
          <t>DKI Jakarta</t>
        </is>
      </c>
      <c r="Q83" t="inlineStr"/>
    </row>
    <row r="84">
      <c r="A84" t="inlineStr">
        <is>
          <t>MUTIARA RUMBERPON</t>
        </is>
      </c>
      <c r="B84" t="inlineStr">
        <is>
          <t>Kota Jayapura</t>
        </is>
      </c>
      <c r="C84" t="inlineStr">
        <is>
          <t>085244784996</t>
        </is>
      </c>
      <c r="D84" t="inlineStr">
        <is>
          <t>mutiararumberpon@gmail.com</t>
        </is>
      </c>
      <c r="E84" t="inlineStr">
        <is>
          <t>https://lpjk.pu.go.id/search-badan-usaha-detail/dXNHZ0l3ZjR6OTU0RjRKVFBuZGlPQT09</t>
        </is>
      </c>
      <c r="F84" t="n">
        <v>6</v>
      </c>
      <c r="G84" t="inlineStr">
        <is>
          <t>RK001, RK002, RK003</t>
        </is>
      </c>
      <c r="H84" t="inlineStr">
        <is>
          <t>3 Februari 2020</t>
        </is>
      </c>
      <c r="I84" s="2" t="n">
        <v>46347</v>
      </c>
      <c r="J84" t="inlineStr">
        <is>
          <t>Disetujui</t>
        </is>
      </c>
      <c r="K84" t="n">
        <v>60</v>
      </c>
      <c r="L84" t="inlineStr">
        <is>
          <t>21 November 2026</t>
        </is>
      </c>
      <c r="M84" t="inlineStr">
        <is>
          <t>Jasa Rekayasa Konstruksi Bangunan Gedung Hunian dan Non Hunian, Jasa Rekayasa Pekerjaan Teknik Sipil Sumber Daya Air, Jasa Rekayasa Pekerjaan Teknik Sipil Transportasi</t>
        </is>
      </c>
      <c r="N84" t="inlineStr">
        <is>
          <t>K</t>
        </is>
      </c>
      <c r="O84" t="inlineStr">
        <is>
          <t>20231114</t>
        </is>
      </c>
      <c r="P84" t="inlineStr">
        <is>
          <t>Papua</t>
        </is>
      </c>
      <c r="Q84" t="inlineStr"/>
    </row>
    <row r="85">
      <c r="A85" t="inlineStr">
        <is>
          <t>NUR SHAMS</t>
        </is>
      </c>
      <c r="B85" t="inlineStr">
        <is>
          <t>Kota Kendari</t>
        </is>
      </c>
      <c r="C85" t="inlineStr">
        <is>
          <t>0816248280</t>
        </is>
      </c>
      <c r="D85" t="inlineStr">
        <is>
          <t>cvnurshams@gmail.com</t>
        </is>
      </c>
      <c r="E85" t="inlineStr">
        <is>
          <t>https://lpjk.pu.go.id/search-badan-usaha-detail/SXBJUjRzMlllT0o0MzJ3MmR2cng4Zz09</t>
        </is>
      </c>
      <c r="F85" t="n">
        <v>4</v>
      </c>
      <c r="G85" t="inlineStr">
        <is>
          <t>BG006, BG009, BS001, BS004</t>
        </is>
      </c>
      <c r="H85" t="inlineStr">
        <is>
          <t>24 Maret 2015</t>
        </is>
      </c>
      <c r="I85" s="2" t="n">
        <v>46347</v>
      </c>
      <c r="J85" t="inlineStr">
        <is>
          <t>Disetujui</t>
        </is>
      </c>
      <c r="K85" t="n">
        <v>60</v>
      </c>
      <c r="L85" t="inlineStr">
        <is>
          <t>21 November 2026</t>
        </is>
      </c>
      <c r="M85" t="inlineStr">
        <is>
          <t>Konstruksi Bangunan Sipil Jalan, Konstruksi Gedung Lainnya, Konstruksi Gedung Pendidikan, Konstruksi Jaringan Irigasi dan Drainase</t>
        </is>
      </c>
      <c r="N85" t="inlineStr">
        <is>
          <t>K</t>
        </is>
      </c>
      <c r="O85" t="inlineStr">
        <is>
          <t>20231115, 20231122</t>
        </is>
      </c>
      <c r="P85" t="inlineStr">
        <is>
          <t>Sulawesi Tenggara</t>
        </is>
      </c>
      <c r="Q85" t="inlineStr"/>
    </row>
    <row r="86">
      <c r="A86" t="inlineStr">
        <is>
          <t>PARAHYANGAN IRGI YASA</t>
        </is>
      </c>
      <c r="B86" t="inlineStr">
        <is>
          <t>Kab. Berau</t>
        </is>
      </c>
      <c r="C86" t="inlineStr">
        <is>
          <t>082158665078</t>
        </is>
      </c>
      <c r="D86" t="inlineStr">
        <is>
          <t>cvparahyanganirgiyasa@gmail.com</t>
        </is>
      </c>
      <c r="E86" t="inlineStr">
        <is>
          <t>https://lpjk.pu.go.id/search-badan-usaha-detail/VTl2TldRcDl3ZTI0TzcvOU5DMjh2UT09</t>
        </is>
      </c>
      <c r="F86" t="n">
        <v>4</v>
      </c>
      <c r="G86" t="inlineStr">
        <is>
          <t>BS001, BS004</t>
        </is>
      </c>
      <c r="H86" t="inlineStr">
        <is>
          <t>24 Oktober 2023</t>
        </is>
      </c>
      <c r="I86" s="2" t="n">
        <v>46347</v>
      </c>
      <c r="J86" t="inlineStr">
        <is>
          <t>Disetujui</t>
        </is>
      </c>
      <c r="K86" t="n">
        <v>60</v>
      </c>
      <c r="L86" t="inlineStr">
        <is>
          <t>21 November 2026</t>
        </is>
      </c>
      <c r="M86" t="inlineStr">
        <is>
          <t>Konstruksi Bangunan Sipil Jalan, Konstruksi Jaringan Irigasi dan Drainase</t>
        </is>
      </c>
      <c r="N86" t="inlineStr">
        <is>
          <t>K</t>
        </is>
      </c>
      <c r="O86" t="inlineStr">
        <is>
          <t>20231120</t>
        </is>
      </c>
      <c r="P86" t="inlineStr">
        <is>
          <t>Kalimantan Timur</t>
        </is>
      </c>
      <c r="Q86" t="inlineStr"/>
    </row>
    <row r="87">
      <c r="A87" t="inlineStr">
        <is>
          <t>PESONA CAHAYA KEBERUNTUNGAN</t>
        </is>
      </c>
      <c r="B87" t="inlineStr">
        <is>
          <t>Kota Semarang</t>
        </is>
      </c>
      <c r="C87" t="inlineStr">
        <is>
          <t>082137186450</t>
        </is>
      </c>
      <c r="D87" t="inlineStr">
        <is>
          <t>pesonacahaya2023@gmail.com</t>
        </is>
      </c>
      <c r="E87" t="inlineStr">
        <is>
          <t>https://lpjk.pu.go.id/search-badan-usaha-detail/Vmk3SVZhaUxkcy9ramlWQ292Si9UUT09</t>
        </is>
      </c>
      <c r="F87" t="n">
        <v>1</v>
      </c>
      <c r="G87" t="inlineStr">
        <is>
          <t>BS004</t>
        </is>
      </c>
      <c r="H87" t="inlineStr">
        <is>
          <t>18 September 2023</t>
        </is>
      </c>
      <c r="I87" s="2" t="n">
        <v>46347</v>
      </c>
      <c r="J87" t="inlineStr">
        <is>
          <t>Disetujui</t>
        </is>
      </c>
      <c r="K87" t="n">
        <v>60</v>
      </c>
      <c r="L87" t="inlineStr">
        <is>
          <t>21 November 2026</t>
        </is>
      </c>
      <c r="M87" t="inlineStr">
        <is>
          <t>Konstruksi Jaringan Irigasi dan Drainase</t>
        </is>
      </c>
      <c r="N87" t="inlineStr">
        <is>
          <t>K</t>
        </is>
      </c>
      <c r="O87" t="inlineStr">
        <is>
          <t>20231110</t>
        </is>
      </c>
      <c r="P87" t="inlineStr">
        <is>
          <t>Jawa Tengah</t>
        </is>
      </c>
      <c r="Q87" t="inlineStr"/>
    </row>
    <row r="88">
      <c r="A88" t="inlineStr">
        <is>
          <t>POWER RANGER FORTUNE</t>
        </is>
      </c>
      <c r="B88" t="inlineStr">
        <is>
          <t>Kab. Barito Utara</t>
        </is>
      </c>
      <c r="C88" t="inlineStr">
        <is>
          <t>082153742464</t>
        </is>
      </c>
      <c r="D88" t="inlineStr">
        <is>
          <t>kk3450497@gmail.com</t>
        </is>
      </c>
      <c r="E88" t="inlineStr">
        <is>
          <t>https://lpjk.pu.go.id/search-badan-usaha-detail/SkEza3FYSHZRcFQ0YzhaNThMb0ZFdz09</t>
        </is>
      </c>
      <c r="F88" t="n">
        <v>2</v>
      </c>
      <c r="G88" t="inlineStr">
        <is>
          <t>BG005, BG006</t>
        </is>
      </c>
      <c r="H88" t="inlineStr">
        <is>
          <t>28 Januari 2019</t>
        </is>
      </c>
      <c r="I88" s="2" t="n">
        <v>46347</v>
      </c>
      <c r="J88" t="inlineStr">
        <is>
          <t>Pencabutan</t>
        </is>
      </c>
      <c r="K88" t="n">
        <v>60</v>
      </c>
      <c r="L88" t="inlineStr">
        <is>
          <t>21 November 2026</t>
        </is>
      </c>
      <c r="M88" t="inlineStr">
        <is>
          <t>Konstruksi Gedung Kesehatan, Konstruksi Gedung Pendidikan</t>
        </is>
      </c>
      <c r="N88" t="inlineStr">
        <is>
          <t>K</t>
        </is>
      </c>
      <c r="O88" t="inlineStr">
        <is>
          <t>20231121</t>
        </is>
      </c>
      <c r="P88" t="inlineStr">
        <is>
          <t>Kalimantan Tengah</t>
        </is>
      </c>
      <c r="Q88" t="inlineStr"/>
    </row>
    <row r="89">
      <c r="A89" t="inlineStr">
        <is>
          <t>PRAJANATA</t>
        </is>
      </c>
      <c r="B89" t="inlineStr">
        <is>
          <t>Kab. Tabanan</t>
        </is>
      </c>
      <c r="C89" t="inlineStr">
        <is>
          <t>081246590420</t>
        </is>
      </c>
      <c r="D89" t="inlineStr">
        <is>
          <t>prajanatacv@yahoo.co.id</t>
        </is>
      </c>
      <c r="E89" t="inlineStr">
        <is>
          <t>https://lpjk.pu.go.id/search-badan-usaha-detail/QkRrb1o2VFhtUmpCbXdzcHBRU1drdz09</t>
        </is>
      </c>
      <c r="F89" t="n">
        <v>1</v>
      </c>
      <c r="G89" t="inlineStr">
        <is>
          <t>BG002</t>
        </is>
      </c>
      <c r="H89" t="inlineStr">
        <is>
          <t>15 Januari 2001</t>
        </is>
      </c>
      <c r="I89" s="2" t="n">
        <v>46347</v>
      </c>
      <c r="J89" t="inlineStr">
        <is>
          <t>Disetujui</t>
        </is>
      </c>
      <c r="K89" t="n">
        <v>60</v>
      </c>
      <c r="L89" t="inlineStr">
        <is>
          <t>21 November 2026</t>
        </is>
      </c>
      <c r="M89" t="inlineStr">
        <is>
          <t>Konstruksi Gedung Perkantoran</t>
        </is>
      </c>
      <c r="N89" t="inlineStr">
        <is>
          <t>K</t>
        </is>
      </c>
      <c r="O89" t="inlineStr">
        <is>
          <t>20231113</t>
        </is>
      </c>
      <c r="P89" t="inlineStr">
        <is>
          <t>Bali</t>
        </is>
      </c>
      <c r="Q89" t="inlineStr"/>
    </row>
    <row r="90">
      <c r="A90" t="inlineStr">
        <is>
          <t>PURNAMA JAYA</t>
        </is>
      </c>
      <c r="B90" t="inlineStr">
        <is>
          <t>Kab. Grobogan</t>
        </is>
      </c>
      <c r="C90" t="inlineStr">
        <is>
          <t>0292 421905</t>
        </is>
      </c>
      <c r="D90" t="inlineStr">
        <is>
          <t>purnamajaya.purwodadi@gmail.com</t>
        </is>
      </c>
      <c r="E90" t="inlineStr">
        <is>
          <t>https://lpjk.pu.go.id/search-badan-usaha-detail/d3hNMXRzYmtod2hUZFdTalpPRmdwdz09</t>
        </is>
      </c>
      <c r="F90" t="n">
        <v>10</v>
      </c>
      <c r="G90" t="inlineStr">
        <is>
          <t>BG004, BG006, BG009, BS001, BS004</t>
        </is>
      </c>
      <c r="H90" t="inlineStr">
        <is>
          <t>13 Januari 1993</t>
        </is>
      </c>
      <c r="I90" s="2" t="n">
        <v>46347</v>
      </c>
      <c r="J90" t="inlineStr">
        <is>
          <t>Disetujui</t>
        </is>
      </c>
      <c r="K90" t="n">
        <v>60</v>
      </c>
      <c r="L90" t="inlineStr">
        <is>
          <t>21 November 2026</t>
        </is>
      </c>
      <c r="M90" t="inlineStr">
        <is>
          <t>Konstruksi Bangunan Sipil Jalan, Konstruksi Gedung Lainnya, Konstruksi Gedung Pendidikan, Konstruksi Gedung Perbelanjaan, Konstruksi Jaringan Irigasi dan Drainase</t>
        </is>
      </c>
      <c r="N90" t="inlineStr">
        <is>
          <t>K</t>
        </is>
      </c>
      <c r="O90" t="inlineStr">
        <is>
          <t>20231118</t>
        </is>
      </c>
      <c r="P90" t="inlineStr">
        <is>
          <t>Jawa Tengah</t>
        </is>
      </c>
      <c r="Q90" t="inlineStr"/>
    </row>
    <row r="91">
      <c r="A91" t="inlineStr">
        <is>
          <t>PUTRA BALEPOH</t>
        </is>
      </c>
      <c r="B91" t="inlineStr">
        <is>
          <t>Kota Pariaman</t>
        </is>
      </c>
      <c r="C91" t="inlineStr">
        <is>
          <t>085263113947</t>
        </is>
      </c>
      <c r="D91" t="inlineStr">
        <is>
          <t>putrabalepoh10@gmail.com</t>
        </is>
      </c>
      <c r="E91" t="inlineStr">
        <is>
          <t>https://lpjk.pu.go.id/search-badan-usaha-detail/UFdBTHU1NzBDSWFQN2tMSHU3cGRaUT09</t>
        </is>
      </c>
      <c r="F91" t="n">
        <v>2</v>
      </c>
      <c r="G91" t="inlineStr">
        <is>
          <t>BG005, BS004</t>
        </is>
      </c>
      <c r="H91" t="inlineStr">
        <is>
          <t>4 Oktober 2007</t>
        </is>
      </c>
      <c r="I91" s="2" t="n">
        <v>46347</v>
      </c>
      <c r="J91" t="inlineStr">
        <is>
          <t>Disetujui</t>
        </is>
      </c>
      <c r="K91" t="n">
        <v>60</v>
      </c>
      <c r="L91" t="inlineStr">
        <is>
          <t>21 November 2026</t>
        </is>
      </c>
      <c r="M91" t="inlineStr">
        <is>
          <t>Konstruksi Gedung Kesehatan, Konstruksi Jaringan Irigasi dan Drainase</t>
        </is>
      </c>
      <c r="N91" t="inlineStr">
        <is>
          <t>K</t>
        </is>
      </c>
      <c r="O91" t="inlineStr">
        <is>
          <t>20231101, 20231127</t>
        </is>
      </c>
      <c r="P91" t="inlineStr">
        <is>
          <t>Sumatera Barat</t>
        </is>
      </c>
      <c r="Q91" t="inlineStr"/>
    </row>
    <row r="92">
      <c r="A92" t="inlineStr">
        <is>
          <t>PUTRA BERLIAN PERKASA</t>
        </is>
      </c>
      <c r="B92" t="inlineStr">
        <is>
          <t>Kab. Grobogan</t>
        </is>
      </c>
      <c r="C92" t="inlineStr">
        <is>
          <t>083154591807</t>
        </is>
      </c>
      <c r="D92" t="inlineStr">
        <is>
          <t>Putraberlianperkasa@gmail.com</t>
        </is>
      </c>
      <c r="E92" t="inlineStr">
        <is>
          <t>https://lpjk.pu.go.id/search-badan-usaha-detail/SE9WVWduRDBtQXR0eHQ4Z2syaXVFQT09</t>
        </is>
      </c>
      <c r="F92" t="n">
        <v>1</v>
      </c>
      <c r="G92" t="inlineStr">
        <is>
          <t>BG006</t>
        </is>
      </c>
      <c r="H92" t="inlineStr">
        <is>
          <t>24 Maret 2021</t>
        </is>
      </c>
      <c r="I92" s="2" t="n">
        <v>46347</v>
      </c>
      <c r="J92" t="inlineStr">
        <is>
          <t>Disetujui</t>
        </is>
      </c>
      <c r="K92" t="n">
        <v>60</v>
      </c>
      <c r="L92" t="inlineStr">
        <is>
          <t>21 November 2026</t>
        </is>
      </c>
      <c r="M92" t="inlineStr">
        <is>
          <t>Konstruksi Gedung Pendidikan</t>
        </is>
      </c>
      <c r="N92" t="inlineStr">
        <is>
          <t>K</t>
        </is>
      </c>
      <c r="O92" t="inlineStr">
        <is>
          <t>20231118</t>
        </is>
      </c>
      <c r="P92" t="inlineStr">
        <is>
          <t>Jawa Tengah</t>
        </is>
      </c>
      <c r="Q92" t="inlineStr"/>
    </row>
    <row r="93">
      <c r="A93" t="inlineStr">
        <is>
          <t>RANGGA JAYA MAKMUR</t>
        </is>
      </c>
      <c r="B93" t="inlineStr">
        <is>
          <t>Kab. Pesawaran</t>
        </is>
      </c>
      <c r="C93" t="inlineStr">
        <is>
          <t>08975781554</t>
        </is>
      </c>
      <c r="D93" t="inlineStr">
        <is>
          <t>ronggoorton@gmail.com</t>
        </is>
      </c>
      <c r="E93" t="inlineStr">
        <is>
          <t>https://lpjk.pu.go.id/search-badan-usaha-detail/ckRESUJTTzVZZEttZytBY052NkJtQT09</t>
        </is>
      </c>
      <c r="F93" t="n">
        <v>1</v>
      </c>
      <c r="G93" t="inlineStr">
        <is>
          <t>BG004</t>
        </is>
      </c>
      <c r="H93" t="inlineStr"/>
      <c r="I93" s="2" t="n">
        <v>46347</v>
      </c>
      <c r="J93" t="inlineStr">
        <is>
          <t>Disetujui</t>
        </is>
      </c>
      <c r="K93" t="n">
        <v>60</v>
      </c>
      <c r="L93" t="inlineStr">
        <is>
          <t>21 November 2026</t>
        </is>
      </c>
      <c r="M93" t="inlineStr">
        <is>
          <t>Konstruksi Gedung Perbelanjaan</t>
        </is>
      </c>
      <c r="N93" t="inlineStr">
        <is>
          <t>K</t>
        </is>
      </c>
      <c r="O93" t="inlineStr">
        <is>
          <t>20231119</t>
        </is>
      </c>
      <c r="P93" t="inlineStr">
        <is>
          <t>Lampung</t>
        </is>
      </c>
      <c r="Q93" t="inlineStr"/>
    </row>
    <row r="94">
      <c r="A94" t="inlineStr">
        <is>
          <t>RAYSA CIPTA ABADI</t>
        </is>
      </c>
      <c r="B94" t="inlineStr">
        <is>
          <t>Kab. Musi Rawas Utara</t>
        </is>
      </c>
      <c r="C94" t="inlineStr">
        <is>
          <t>085268695921</t>
        </is>
      </c>
      <c r="D94" t="inlineStr">
        <is>
          <t>cvraysaciptaabadi@gmai.com</t>
        </is>
      </c>
      <c r="E94" t="inlineStr">
        <is>
          <t>https://lpjk.pu.go.id/search-badan-usaha-detail/NTdCd1dyK09xcGNwRGd5TFNIUzZRQT09</t>
        </is>
      </c>
      <c r="F94" t="n">
        <v>1</v>
      </c>
      <c r="G94" t="inlineStr">
        <is>
          <t>RK001</t>
        </is>
      </c>
      <c r="H94" t="inlineStr">
        <is>
          <t>29 Januari 2020</t>
        </is>
      </c>
      <c r="I94" s="2" t="n">
        <v>46347</v>
      </c>
      <c r="J94" t="inlineStr">
        <is>
          <t>Disetujui</t>
        </is>
      </c>
      <c r="K94" t="n">
        <v>60</v>
      </c>
      <c r="L94" t="inlineStr">
        <is>
          <t>21 November 2026</t>
        </is>
      </c>
      <c r="M94" t="inlineStr">
        <is>
          <t>Jasa Rekayasa Konstruksi Bangunan Gedung Hunian dan Non Hunian</t>
        </is>
      </c>
      <c r="N94" t="inlineStr">
        <is>
          <t>K</t>
        </is>
      </c>
      <c r="O94" t="inlineStr">
        <is>
          <t>20231109</t>
        </is>
      </c>
      <c r="P94" t="inlineStr">
        <is>
          <t>Sumatera Selatan</t>
        </is>
      </c>
      <c r="Q94" t="inlineStr"/>
    </row>
    <row r="95">
      <c r="A95" t="inlineStr">
        <is>
          <t>SAMUDRA BIRU KONSTRUKSI</t>
        </is>
      </c>
      <c r="B95" t="inlineStr">
        <is>
          <t>Kab. Tangerang</t>
        </is>
      </c>
      <c r="C95" t="inlineStr">
        <is>
          <t>081382099995</t>
        </is>
      </c>
      <c r="D95" t="inlineStr">
        <is>
          <t>pt.samudrabirukonstruksi@gmail.com</t>
        </is>
      </c>
      <c r="E95" t="inlineStr">
        <is>
          <t>https://lpjk.pu.go.id/search-badan-usaha-detail/Q0dVVGZLL3h2Skt5NkRxL0VFSUVKUT09</t>
        </is>
      </c>
      <c r="F95" t="n">
        <v>1</v>
      </c>
      <c r="G95" t="inlineStr">
        <is>
          <t>BG001</t>
        </is>
      </c>
      <c r="H95" t="inlineStr">
        <is>
          <t>6 Juli 2021</t>
        </is>
      </c>
      <c r="I95" s="2" t="n">
        <v>46347</v>
      </c>
      <c r="J95" t="inlineStr">
        <is>
          <t>Pencabutan</t>
        </is>
      </c>
      <c r="K95" t="n">
        <v>60</v>
      </c>
      <c r="L95" t="inlineStr">
        <is>
          <t>21 November 2026</t>
        </is>
      </c>
      <c r="M95" t="inlineStr">
        <is>
          <t>Konstruksi Gedung Hunian</t>
        </is>
      </c>
      <c r="N95" t="inlineStr">
        <is>
          <t>K</t>
        </is>
      </c>
      <c r="O95" t="inlineStr">
        <is>
          <t>20231122</t>
        </is>
      </c>
      <c r="P95" t="inlineStr">
        <is>
          <t>Banten</t>
        </is>
      </c>
      <c r="Q95" t="inlineStr"/>
    </row>
    <row r="96">
      <c r="A96" t="inlineStr">
        <is>
          <t>SARI MERTA BAWA</t>
        </is>
      </c>
      <c r="B96" t="inlineStr">
        <is>
          <t>Kab. Karangasem</t>
        </is>
      </c>
      <c r="C96" t="inlineStr">
        <is>
          <t>085737453681</t>
        </is>
      </c>
      <c r="D96" t="inlineStr">
        <is>
          <t>mertabawa2020@gmail.com</t>
        </is>
      </c>
      <c r="E96" t="inlineStr">
        <is>
          <t>https://lpjk.pu.go.id/search-badan-usaha-detail/L3NKM0gwdzNGLzUrZGs3M1dqUm1MZz09</t>
        </is>
      </c>
      <c r="F96" t="n">
        <v>1</v>
      </c>
      <c r="G96" t="inlineStr">
        <is>
          <t>BG009</t>
        </is>
      </c>
      <c r="H96" t="inlineStr">
        <is>
          <t>26 Oktober 2020</t>
        </is>
      </c>
      <c r="I96" s="2" t="n">
        <v>46347</v>
      </c>
      <c r="J96" t="inlineStr">
        <is>
          <t>Disetujui</t>
        </is>
      </c>
      <c r="K96" t="n">
        <v>60</v>
      </c>
      <c r="L96" t="inlineStr">
        <is>
          <t>21 November 2026</t>
        </is>
      </c>
      <c r="M96" t="inlineStr">
        <is>
          <t>Konstruksi Gedung Lainnya</t>
        </is>
      </c>
      <c r="N96" t="inlineStr">
        <is>
          <t>K</t>
        </is>
      </c>
      <c r="O96" t="inlineStr">
        <is>
          <t>20231122</t>
        </is>
      </c>
      <c r="P96" t="inlineStr">
        <is>
          <t>Bali</t>
        </is>
      </c>
      <c r="Q96" t="inlineStr"/>
    </row>
    <row r="97">
      <c r="A97" t="inlineStr">
        <is>
          <t>SEJAHTERA MUDA</t>
        </is>
      </c>
      <c r="B97" t="inlineStr">
        <is>
          <t>Kab. Tana Toraja</t>
        </is>
      </c>
      <c r="C97" t="inlineStr">
        <is>
          <t>082238457471</t>
        </is>
      </c>
      <c r="D97" t="inlineStr">
        <is>
          <t>cvsejahteramuda@gmail.com</t>
        </is>
      </c>
      <c r="E97" t="inlineStr">
        <is>
          <t>https://lpjk.pu.go.id/search-badan-usaha-detail/RlIvVTVOaVBYOEp1VUlIbXVpQ01ZUT09</t>
        </is>
      </c>
      <c r="F97" t="n">
        <v>1</v>
      </c>
      <c r="G97" t="inlineStr">
        <is>
          <t>BS001</t>
        </is>
      </c>
      <c r="H97" t="inlineStr">
        <is>
          <t>9 Desember 2019</t>
        </is>
      </c>
      <c r="I97" s="2" t="n">
        <v>46347</v>
      </c>
      <c r="J97" t="inlineStr">
        <is>
          <t>Disetujui</t>
        </is>
      </c>
      <c r="K97" t="n">
        <v>60</v>
      </c>
      <c r="L97" t="inlineStr">
        <is>
          <t>21 November 2026</t>
        </is>
      </c>
      <c r="M97" t="inlineStr">
        <is>
          <t>Konstruksi Bangunan Sipil Jalan</t>
        </is>
      </c>
      <c r="N97" t="inlineStr">
        <is>
          <t>K</t>
        </is>
      </c>
      <c r="O97" t="inlineStr">
        <is>
          <t>20231120</t>
        </is>
      </c>
      <c r="P97" t="inlineStr">
        <is>
          <t>Sulawesi Selatan</t>
        </is>
      </c>
      <c r="Q97" t="inlineStr"/>
    </row>
    <row r="98">
      <c r="A98" t="inlineStr">
        <is>
          <t>SINAR KARUNIA</t>
        </is>
      </c>
      <c r="B98" t="inlineStr">
        <is>
          <t>Kab. Banyumas</t>
        </is>
      </c>
      <c r="C98" t="inlineStr">
        <is>
          <t>08156991293</t>
        </is>
      </c>
      <c r="D98" t="inlineStr">
        <is>
          <t>sinarkarunia88@gmail.com</t>
        </is>
      </c>
      <c r="E98" t="inlineStr">
        <is>
          <t>https://lpjk.pu.go.id/search-badan-usaha-detail/RWszaUlKL0pSWFRIYng0TjgyVHlYdz09</t>
        </is>
      </c>
      <c r="F98" t="n">
        <v>4</v>
      </c>
      <c r="G98" t="inlineStr">
        <is>
          <t>BG005, BG006, BG009, BS004</t>
        </is>
      </c>
      <c r="H98" t="inlineStr">
        <is>
          <t>10 Januari 2025</t>
        </is>
      </c>
      <c r="I98" s="2" t="n">
        <v>46347</v>
      </c>
      <c r="J98" t="inlineStr">
        <is>
          <t>Disetujui</t>
        </is>
      </c>
      <c r="K98" t="n">
        <v>60</v>
      </c>
      <c r="L98" t="inlineStr">
        <is>
          <t>21 November 2026</t>
        </is>
      </c>
      <c r="M98" t="inlineStr">
        <is>
          <t>Konstruksi Gedung Kesehatan, Konstruksi Gedung Lainnya, Konstruksi Gedung Pendidikan, Konstruksi Jaringan Irigasi dan Drainase</t>
        </is>
      </c>
      <c r="N98" t="inlineStr">
        <is>
          <t>K</t>
        </is>
      </c>
      <c r="O98" t="inlineStr">
        <is>
          <t>20231122</t>
        </is>
      </c>
      <c r="P98" t="inlineStr">
        <is>
          <t>Jawa Tengah</t>
        </is>
      </c>
      <c r="Q98" t="inlineStr"/>
    </row>
    <row r="99">
      <c r="A99" t="inlineStr">
        <is>
          <t>SINAR MEGA</t>
        </is>
      </c>
      <c r="B99" t="inlineStr">
        <is>
          <t>Kab. Ngada</t>
        </is>
      </c>
      <c r="C99" t="inlineStr">
        <is>
          <t>085238421391</t>
        </is>
      </c>
      <c r="D99" t="inlineStr">
        <is>
          <t>cvsinarmega@gmail.com</t>
        </is>
      </c>
      <c r="E99" t="inlineStr">
        <is>
          <t>https://lpjk.pu.go.id/search-badan-usaha-detail/Q0tDNTlZOVBsN01Odkg0MXl3RjIxZz09</t>
        </is>
      </c>
      <c r="F99" t="n">
        <v>3</v>
      </c>
      <c r="G99" t="inlineStr">
        <is>
          <t>BG005, BG006, BS001</t>
        </is>
      </c>
      <c r="H99" t="inlineStr">
        <is>
          <t>6 November 2002</t>
        </is>
      </c>
      <c r="I99" s="2" t="n">
        <v>46347</v>
      </c>
      <c r="J99" t="inlineStr">
        <is>
          <t>Disetujui</t>
        </is>
      </c>
      <c r="K99" t="n">
        <v>60</v>
      </c>
      <c r="L99" t="inlineStr">
        <is>
          <t>21 November 2026</t>
        </is>
      </c>
      <c r="M99" t="inlineStr">
        <is>
          <t>Konstruksi Bangunan Sipil Jalan, Konstruksi Gedung Kesehatan, Konstruksi Gedung Pendidikan</t>
        </is>
      </c>
      <c r="N99" t="inlineStr">
        <is>
          <t>K</t>
        </is>
      </c>
      <c r="O99" t="inlineStr">
        <is>
          <t>20231117, 20231122</t>
        </is>
      </c>
      <c r="P99" t="inlineStr">
        <is>
          <t>Nusa Tenggara Timur</t>
        </is>
      </c>
      <c r="Q99" t="inlineStr"/>
    </row>
    <row r="100">
      <c r="A100" t="inlineStr">
        <is>
          <t>SINERGI KARYA SEJAHTERA</t>
        </is>
      </c>
      <c r="B100" t="inlineStr">
        <is>
          <t>Kota Adm. Jakarta Pusat</t>
        </is>
      </c>
      <c r="C100" t="inlineStr">
        <is>
          <t>0216493347</t>
        </is>
      </c>
      <c r="D100" t="inlineStr">
        <is>
          <t>sinergikaryasejahtera@gmail.com</t>
        </is>
      </c>
      <c r="E100" t="inlineStr">
        <is>
          <t>https://lpjk.pu.go.id/search-badan-usaha-detail/OENwQXJ3VE9UOHdEQ3BRMWlGVlBpQT09</t>
        </is>
      </c>
      <c r="F100" t="n">
        <v>3</v>
      </c>
      <c r="G100" t="inlineStr">
        <is>
          <t>IN001, IN007, IN008</t>
        </is>
      </c>
      <c r="H100" t="inlineStr">
        <is>
          <t>1 Juni 2015</t>
        </is>
      </c>
      <c r="I100" s="2" t="n">
        <v>46347</v>
      </c>
      <c r="J100" t="inlineStr">
        <is>
          <t>Pembekuan</t>
        </is>
      </c>
      <c r="K100" t="n">
        <v>60</v>
      </c>
      <c r="L100" t="inlineStr">
        <is>
          <t>21 November 2026</t>
        </is>
      </c>
      <c r="M100" t="inlineStr">
        <is>
          <t>Instalasi Mekanikal, Instalasi Pendingin Dan Ventilasi Udara, Instalasi Saluran Air (Plambing)</t>
        </is>
      </c>
      <c r="N100" t="inlineStr">
        <is>
          <t>Spesialis</t>
        </is>
      </c>
      <c r="O100" t="inlineStr">
        <is>
          <t>20220802, 20231120</t>
        </is>
      </c>
      <c r="P100" t="inlineStr">
        <is>
          <t>DKI Jakarta</t>
        </is>
      </c>
      <c r="Q100" t="inlineStr"/>
    </row>
    <row r="101">
      <c r="A101" t="inlineStr">
        <is>
          <t>SOLAR METALLIC INDUSTRI</t>
        </is>
      </c>
      <c r="B101" t="inlineStr">
        <is>
          <t>Kota Medan</t>
        </is>
      </c>
      <c r="C101" t="inlineStr">
        <is>
          <t>0617322863</t>
        </is>
      </c>
      <c r="D101" t="inlineStr">
        <is>
          <t>solarmetallic@gmail.com</t>
        </is>
      </c>
      <c r="E101" t="inlineStr">
        <is>
          <t>https://lpjk.pu.go.id/search-badan-usaha-detail/Q2FxeDNPLzlxUy9KVXFGMm1SN3Y4UT09</t>
        </is>
      </c>
      <c r="F101" t="n">
        <v>1</v>
      </c>
      <c r="G101" t="inlineStr">
        <is>
          <t>IN004</t>
        </is>
      </c>
      <c r="H101" t="inlineStr">
        <is>
          <t>15 Juni 2023</t>
        </is>
      </c>
      <c r="I101" s="2" t="n">
        <v>46347</v>
      </c>
      <c r="J101" t="inlineStr">
        <is>
          <t>Pembekuan</t>
        </is>
      </c>
      <c r="K101" t="n">
        <v>60</v>
      </c>
      <c r="L101" t="inlineStr">
        <is>
          <t>21 November 2026</t>
        </is>
      </c>
      <c r="M101" t="inlineStr">
        <is>
          <t>Instalasi Minyak dan Gas</t>
        </is>
      </c>
      <c r="N101" t="inlineStr">
        <is>
          <t>Spesialis</t>
        </is>
      </c>
      <c r="O101" t="inlineStr">
        <is>
          <t>20231114</t>
        </is>
      </c>
      <c r="P101" t="inlineStr">
        <is>
          <t>Sumatera Utara</t>
        </is>
      </c>
      <c r="Q101" t="inlineStr"/>
    </row>
    <row r="102">
      <c r="A102" t="inlineStr">
        <is>
          <t>SUMBER BERKAH PUTRA</t>
        </is>
      </c>
      <c r="B102" t="inlineStr">
        <is>
          <t>Kab. Madiun</t>
        </is>
      </c>
      <c r="C102" t="inlineStr">
        <is>
          <t>085330069228</t>
        </is>
      </c>
      <c r="D102" t="inlineStr">
        <is>
          <t>sumberberkahputra123@gmail.com</t>
        </is>
      </c>
      <c r="E102" t="inlineStr">
        <is>
          <t>https://lpjk.pu.go.id/search-badan-usaha-detail/dVdPTEtDSFgvaUFOa1JMdXY2Ykh2dz09</t>
        </is>
      </c>
      <c r="F102" t="n">
        <v>2</v>
      </c>
      <c r="G102" t="inlineStr">
        <is>
          <t>BS001, BS004</t>
        </is>
      </c>
      <c r="H102" t="inlineStr">
        <is>
          <t>24 Desember 2021</t>
        </is>
      </c>
      <c r="I102" s="2" t="n">
        <v>46347</v>
      </c>
      <c r="J102" t="inlineStr">
        <is>
          <t>Disetujui</t>
        </is>
      </c>
      <c r="K102" t="n">
        <v>60</v>
      </c>
      <c r="L102" t="inlineStr">
        <is>
          <t>21 November 2026</t>
        </is>
      </c>
      <c r="M102" t="inlineStr">
        <is>
          <t>Konstruksi Bangunan Sipil Jalan, Konstruksi Jaringan Irigasi dan Drainase</t>
        </is>
      </c>
      <c r="N102" t="inlineStr">
        <is>
          <t>K</t>
        </is>
      </c>
      <c r="O102" t="inlineStr">
        <is>
          <t>20231116</t>
        </is>
      </c>
      <c r="P102" t="inlineStr">
        <is>
          <t>Jawa Timur</t>
        </is>
      </c>
      <c r="Q102" t="inlineStr"/>
    </row>
    <row r="103">
      <c r="A103" t="inlineStr">
        <is>
          <t>SWADAYA CIPTA</t>
        </is>
      </c>
      <c r="B103" t="inlineStr">
        <is>
          <t>Kab. Gresik</t>
        </is>
      </c>
      <c r="C103" t="inlineStr">
        <is>
          <t>03139923700</t>
        </is>
      </c>
      <c r="D103" t="inlineStr">
        <is>
          <t>admin@swadayacipta.com</t>
        </is>
      </c>
      <c r="E103" t="inlineStr">
        <is>
          <t>https://lpjk.pu.go.id/search-badan-usaha-detail/OWUxYkJ0MnZPVHJ2bFdKSjR5N24vQT09</t>
        </is>
      </c>
      <c r="F103" t="n">
        <v>2</v>
      </c>
      <c r="G103" t="inlineStr">
        <is>
          <t>BG005, BG006</t>
        </is>
      </c>
      <c r="H103" t="inlineStr">
        <is>
          <t>23 Agustus 2005</t>
        </is>
      </c>
      <c r="I103" s="2" t="n">
        <v>46347</v>
      </c>
      <c r="J103" t="inlineStr">
        <is>
          <t>Disetujui</t>
        </is>
      </c>
      <c r="K103" t="n">
        <v>60</v>
      </c>
      <c r="L103" t="inlineStr">
        <is>
          <t>21 November 2026</t>
        </is>
      </c>
      <c r="M103" t="inlineStr">
        <is>
          <t>Konstruksi Gedung Kesehatan, Konstruksi Gedung Pendidikan</t>
        </is>
      </c>
      <c r="N103" t="inlineStr">
        <is>
          <t>K</t>
        </is>
      </c>
      <c r="O103" t="inlineStr">
        <is>
          <t>20231115</t>
        </is>
      </c>
      <c r="P103" t="inlineStr">
        <is>
          <t>Jawa Timur</t>
        </is>
      </c>
      <c r="Q103" t="inlineStr"/>
    </row>
    <row r="104">
      <c r="A104" t="inlineStr">
        <is>
          <t>TIGA MANUNGGAL ABADI</t>
        </is>
      </c>
      <c r="B104" t="inlineStr">
        <is>
          <t>Kota Samarinda</t>
        </is>
      </c>
      <c r="C104" t="inlineStr">
        <is>
          <t>082318081969</t>
        </is>
      </c>
      <c r="D104" t="inlineStr">
        <is>
          <t>tma.smd.1@gmail.com</t>
        </is>
      </c>
      <c r="E104" t="inlineStr">
        <is>
          <t>https://lpjk.pu.go.id/search-badan-usaha-detail/WEtPckRlVjZaNWUrN1VGWDcxUW0xdz09</t>
        </is>
      </c>
      <c r="F104" t="n">
        <v>1</v>
      </c>
      <c r="G104" t="inlineStr">
        <is>
          <t>AL004</t>
        </is>
      </c>
      <c r="H104" t="inlineStr">
        <is>
          <t>26 Februari 2001</t>
        </is>
      </c>
      <c r="I104" s="2" t="n">
        <v>46347</v>
      </c>
      <c r="J104" t="inlineStr">
        <is>
          <t>Disetujui</t>
        </is>
      </c>
      <c r="K104" t="n">
        <v>60</v>
      </c>
      <c r="L104" t="inlineStr">
        <is>
          <t>21 November 2026</t>
        </is>
      </c>
      <c r="M104" t="inlineStr">
        <is>
          <t>Jasa Pengembangan Lingkungan Bangunan dan Lanskap</t>
        </is>
      </c>
      <c r="N104" t="inlineStr">
        <is>
          <t>K</t>
        </is>
      </c>
      <c r="O104" t="inlineStr">
        <is>
          <t>20231114</t>
        </is>
      </c>
      <c r="P104" t="inlineStr">
        <is>
          <t>Kalimantan Timur</t>
        </is>
      </c>
      <c r="Q104" t="inlineStr"/>
    </row>
    <row r="105">
      <c r="A105" t="inlineStr">
        <is>
          <t>TIMURJAYA TUNGGAL</t>
        </is>
      </c>
      <c r="B105" t="inlineStr">
        <is>
          <t>Kota Balikpapan</t>
        </is>
      </c>
      <c r="C105" t="inlineStr">
        <is>
          <t>0542733522</t>
        </is>
      </c>
      <c r="D105" t="inlineStr">
        <is>
          <t>tuffahatii@kotaminyak.co.id</t>
        </is>
      </c>
      <c r="E105" t="inlineStr">
        <is>
          <t>https://lpjk.pu.go.id/search-badan-usaha-detail/QTVJYVZORTh2SG41U3hDcWx4elRjZz09</t>
        </is>
      </c>
      <c r="F105" t="n">
        <v>1</v>
      </c>
      <c r="G105" t="inlineStr">
        <is>
          <t>IN001</t>
        </is>
      </c>
      <c r="H105" t="inlineStr">
        <is>
          <t>23 Agustus 1991</t>
        </is>
      </c>
      <c r="I105" s="2" t="n">
        <v>46347</v>
      </c>
      <c r="J105" t="inlineStr">
        <is>
          <t>Disetujui</t>
        </is>
      </c>
      <c r="K105" t="n">
        <v>60</v>
      </c>
      <c r="L105" t="inlineStr">
        <is>
          <t>21 November 2026</t>
        </is>
      </c>
      <c r="M105" t="inlineStr">
        <is>
          <t>Instalasi Mekanikal</t>
        </is>
      </c>
      <c r="N105" t="inlineStr">
        <is>
          <t>Spesialis</t>
        </is>
      </c>
      <c r="O105" t="inlineStr">
        <is>
          <t>20231115</t>
        </is>
      </c>
      <c r="P105" t="inlineStr">
        <is>
          <t>Kalimantan Timur</t>
        </is>
      </c>
      <c r="Q105" t="inlineStr"/>
    </row>
    <row r="106">
      <c r="A106" t="inlineStr">
        <is>
          <t>TRIBUANA SATRIA MEGANTARA</t>
        </is>
      </c>
      <c r="B106" t="inlineStr">
        <is>
          <t>Kota Langsa</t>
        </is>
      </c>
      <c r="C106" t="inlineStr">
        <is>
          <t>082284868599</t>
        </is>
      </c>
      <c r="D106" t="inlineStr">
        <is>
          <t>ts.megantara@gmail.com</t>
        </is>
      </c>
      <c r="E106" t="inlineStr">
        <is>
          <t>https://lpjk.pu.go.id/search-badan-usaha-detail/WkozT3h5V0xzUXREYnFFR1A5NEdpUT09</t>
        </is>
      </c>
      <c r="F106" t="n">
        <v>1</v>
      </c>
      <c r="G106" t="inlineStr">
        <is>
          <t>BS004</t>
        </is>
      </c>
      <c r="H106" t="inlineStr">
        <is>
          <t>24 Mei 2021</t>
        </is>
      </c>
      <c r="I106" s="2" t="n">
        <v>46347</v>
      </c>
      <c r="J106" t="inlineStr">
        <is>
          <t>Disetujui</t>
        </is>
      </c>
      <c r="K106" t="n">
        <v>60</v>
      </c>
      <c r="L106" t="inlineStr">
        <is>
          <t>21 November 2026</t>
        </is>
      </c>
      <c r="M106" t="inlineStr">
        <is>
          <t>Konstruksi Jaringan Irigasi dan Drainase</t>
        </is>
      </c>
      <c r="N106" t="inlineStr">
        <is>
          <t>K</t>
        </is>
      </c>
      <c r="O106" t="inlineStr">
        <is>
          <t>20231116</t>
        </is>
      </c>
      <c r="P106" t="inlineStr">
        <is>
          <t>Aceh</t>
        </is>
      </c>
      <c r="Q106" t="inlineStr"/>
    </row>
    <row r="107">
      <c r="A107" t="inlineStr">
        <is>
          <t>TRT GROUP</t>
        </is>
      </c>
      <c r="B107" t="inlineStr">
        <is>
          <t>Kab. Sumedang</t>
        </is>
      </c>
      <c r="C107" t="inlineStr">
        <is>
          <t>087878979436</t>
        </is>
      </c>
      <c r="D107" t="inlineStr">
        <is>
          <t>cv.trtgroup@gmail.com</t>
        </is>
      </c>
      <c r="E107" t="inlineStr">
        <is>
          <t>https://lpjk.pu.go.id/search-badan-usaha-detail/bjhUOUlMamJTL29SNk5EbFpjZjFpQT09</t>
        </is>
      </c>
      <c r="F107" t="n">
        <v>1</v>
      </c>
      <c r="G107" t="inlineStr">
        <is>
          <t>BG009</t>
        </is>
      </c>
      <c r="H107" t="inlineStr">
        <is>
          <t>22 Mei 2023</t>
        </is>
      </c>
      <c r="I107" s="2" t="n">
        <v>46347</v>
      </c>
      <c r="J107" t="inlineStr">
        <is>
          <t>Disetujui</t>
        </is>
      </c>
      <c r="K107" t="n">
        <v>60</v>
      </c>
      <c r="L107" t="inlineStr">
        <is>
          <t>21 November 2026</t>
        </is>
      </c>
      <c r="M107" t="inlineStr">
        <is>
          <t>Konstruksi Gedung Lainnya</t>
        </is>
      </c>
      <c r="N107" t="inlineStr">
        <is>
          <t>K</t>
        </is>
      </c>
      <c r="O107" t="inlineStr">
        <is>
          <t>20231122</t>
        </is>
      </c>
      <c r="P107" t="inlineStr">
        <is>
          <t>Jawa Barat</t>
        </is>
      </c>
      <c r="Q107" t="inlineStr"/>
    </row>
    <row r="108">
      <c r="A108" t="inlineStr">
        <is>
          <t>TUJUH-TUJUH</t>
        </is>
      </c>
      <c r="B108" t="inlineStr">
        <is>
          <t>Kota Metro</t>
        </is>
      </c>
      <c r="C108" t="inlineStr">
        <is>
          <t>081278017591</t>
        </is>
      </c>
      <c r="D108" t="inlineStr">
        <is>
          <t>cvtujuhtujuh687@gmail.com</t>
        </is>
      </c>
      <c r="E108" t="inlineStr">
        <is>
          <t>https://lpjk.pu.go.id/search-badan-usaha-detail/Zi9RM2FNQkozVm9YLy9jd3NlZklvUT09</t>
        </is>
      </c>
      <c r="F108" t="n">
        <v>3</v>
      </c>
      <c r="G108" t="inlineStr">
        <is>
          <t>BG001, BG005, BG009</t>
        </is>
      </c>
      <c r="H108" t="inlineStr">
        <is>
          <t>14 Juli 2006</t>
        </is>
      </c>
      <c r="I108" s="2" t="n">
        <v>46347</v>
      </c>
      <c r="J108" t="inlineStr">
        <is>
          <t>Disetujui</t>
        </is>
      </c>
      <c r="K108" t="n">
        <v>60</v>
      </c>
      <c r="L108" t="inlineStr">
        <is>
          <t>21 November 2026</t>
        </is>
      </c>
      <c r="M108" t="inlineStr">
        <is>
          <t>Konstruksi Gedung Hunian, Konstruksi Gedung Kesehatan, Konstruksi Gedung Lainnya</t>
        </is>
      </c>
      <c r="N108" t="inlineStr">
        <is>
          <t>K</t>
        </is>
      </c>
      <c r="O108" t="inlineStr">
        <is>
          <t>20231120, 20231121</t>
        </is>
      </c>
      <c r="P108" t="inlineStr">
        <is>
          <t>Lampung</t>
        </is>
      </c>
      <c r="Q108" t="inlineStr"/>
    </row>
    <row r="109">
      <c r="A109" t="inlineStr">
        <is>
          <t>TUNAS AISHWA</t>
        </is>
      </c>
      <c r="B109" t="inlineStr">
        <is>
          <t>Kota Probolinggo</t>
        </is>
      </c>
      <c r="C109" t="inlineStr">
        <is>
          <t>082244067724</t>
        </is>
      </c>
      <c r="D109" t="inlineStr">
        <is>
          <t>tunasaishwa@gmail.com</t>
        </is>
      </c>
      <c r="E109" t="inlineStr">
        <is>
          <t>https://lpjk.pu.go.id/search-badan-usaha-detail/ZXBHZnVDYlVUVldaZkpDdHI2US85QT09</t>
        </is>
      </c>
      <c r="F109" t="n">
        <v>5</v>
      </c>
      <c r="G109" t="inlineStr">
        <is>
          <t>BG001, BG002, BG003, BG004, BG009</t>
        </is>
      </c>
      <c r="H109" t="inlineStr">
        <is>
          <t>24 Agustus 2023</t>
        </is>
      </c>
      <c r="I109" s="2" t="n">
        <v>46347</v>
      </c>
      <c r="J109" t="inlineStr">
        <is>
          <t>Disetujui</t>
        </is>
      </c>
      <c r="K109" t="n">
        <v>60</v>
      </c>
      <c r="L109" t="inlineStr">
        <is>
          <t>21 November 2026</t>
        </is>
      </c>
      <c r="M109" t="inlineStr">
        <is>
          <t>Konstruksi Gedung Hunian, Konstruksi Gedung Industri, Konstruksi Gedung Lainnya, Konstruksi Gedung Perbelanjaan, Konstruksi Gedung Perkantoran</t>
        </is>
      </c>
      <c r="N109" t="inlineStr">
        <is>
          <t>K</t>
        </is>
      </c>
      <c r="O109" t="inlineStr">
        <is>
          <t>20231118</t>
        </is>
      </c>
      <c r="P109" t="inlineStr">
        <is>
          <t>Jawa Timur</t>
        </is>
      </c>
      <c r="Q109" t="inlineStr"/>
    </row>
    <row r="110">
      <c r="A110" t="inlineStr">
        <is>
          <t>VIA CIPTA MANDIRI</t>
        </is>
      </c>
      <c r="B110" t="inlineStr">
        <is>
          <t>Kab. Serang</t>
        </is>
      </c>
      <c r="C110" t="inlineStr">
        <is>
          <t>081317535680</t>
        </is>
      </c>
      <c r="D110" t="inlineStr">
        <is>
          <t>ptviaciptamandiri@gmail.com</t>
        </is>
      </c>
      <c r="E110" t="inlineStr">
        <is>
          <t>https://lpjk.pu.go.id/search-badan-usaha-detail/ZmRFcER6UDNVeVcwWlRSTXhPL2pFdz09</t>
        </is>
      </c>
      <c r="F110" t="n">
        <v>1</v>
      </c>
      <c r="G110" t="inlineStr">
        <is>
          <t>BG009</t>
        </is>
      </c>
      <c r="H110" t="inlineStr">
        <is>
          <t>6 Oktober 2023</t>
        </is>
      </c>
      <c r="I110" s="2" t="n">
        <v>46347</v>
      </c>
      <c r="J110" t="inlineStr">
        <is>
          <t>Disetujui</t>
        </is>
      </c>
      <c r="K110" t="n">
        <v>60</v>
      </c>
      <c r="L110" t="inlineStr">
        <is>
          <t>21 November 2026</t>
        </is>
      </c>
      <c r="M110" t="inlineStr">
        <is>
          <t>Konstruksi Gedung Lainnya</t>
        </is>
      </c>
      <c r="N110" t="inlineStr">
        <is>
          <t>K</t>
        </is>
      </c>
      <c r="O110" t="inlineStr">
        <is>
          <t>20231121</t>
        </is>
      </c>
      <c r="P110" t="inlineStr">
        <is>
          <t>Banten</t>
        </is>
      </c>
      <c r="Q110" t="inlineStr"/>
    </row>
    <row r="111">
      <c r="A111" t="inlineStr">
        <is>
          <t>WAHYU JAYA</t>
        </is>
      </c>
      <c r="B111" t="inlineStr">
        <is>
          <t>Kota Semarang</t>
        </is>
      </c>
      <c r="C111" t="inlineStr">
        <is>
          <t>0246734000</t>
        </is>
      </c>
      <c r="D111" t="inlineStr">
        <is>
          <t>wahyujayasmg@gmail.com</t>
        </is>
      </c>
      <c r="E111" t="inlineStr">
        <is>
          <t>https://lpjk.pu.go.id/search-badan-usaha-detail/UUVJcU5CYTEwd1hWeTVxSzVvUE40QT09</t>
        </is>
      </c>
      <c r="F111" t="n">
        <v>2</v>
      </c>
      <c r="G111" t="inlineStr">
        <is>
          <t>BG002, BG004</t>
        </is>
      </c>
      <c r="H111" t="inlineStr">
        <is>
          <t>24 Desember 2002</t>
        </is>
      </c>
      <c r="I111" s="2" t="n">
        <v>46347</v>
      </c>
      <c r="J111" t="inlineStr">
        <is>
          <t>Disetujui</t>
        </is>
      </c>
      <c r="K111" t="n">
        <v>60</v>
      </c>
      <c r="L111" t="inlineStr">
        <is>
          <t>21 November 2026</t>
        </is>
      </c>
      <c r="M111" t="inlineStr">
        <is>
          <t>Konstruksi Gedung Perbelanjaan, Konstruksi Gedung Perkantoran</t>
        </is>
      </c>
      <c r="N111" t="inlineStr">
        <is>
          <t>K</t>
        </is>
      </c>
      <c r="O111" t="inlineStr">
        <is>
          <t>20231109, 20231121</t>
        </is>
      </c>
      <c r="P111" t="inlineStr">
        <is>
          <t>Jawa Tengah</t>
        </is>
      </c>
      <c r="Q111" t="inlineStr"/>
    </row>
    <row r="112">
      <c r="A112" t="inlineStr">
        <is>
          <t>WIRATMANA SURYA MANDIRI</t>
        </is>
      </c>
      <c r="B112" t="inlineStr">
        <is>
          <t>Kab. Bandung</t>
        </is>
      </c>
      <c r="C112" t="inlineStr">
        <is>
          <t>081298305540</t>
        </is>
      </c>
      <c r="D112" t="inlineStr">
        <is>
          <t>pt.wiratmanasurya.mandiri@gmail.com</t>
        </is>
      </c>
      <c r="E112" t="inlineStr">
        <is>
          <t>https://lpjk.pu.go.id/search-badan-usaha-detail/OGErS3dobDBPQXh1RXphbUEyb2ZSUT09</t>
        </is>
      </c>
      <c r="F112" t="n">
        <v>3</v>
      </c>
      <c r="G112" t="inlineStr">
        <is>
          <t>BS009</t>
        </is>
      </c>
      <c r="H112" t="inlineStr">
        <is>
          <t>11 Agustus 2023</t>
        </is>
      </c>
      <c r="I112" s="2" t="n">
        <v>46347</v>
      </c>
      <c r="J112" t="inlineStr">
        <is>
          <t>Pencabutan</t>
        </is>
      </c>
      <c r="K112" t="n">
        <v>60</v>
      </c>
      <c r="L112" t="inlineStr">
        <is>
          <t>21 November 2026</t>
        </is>
      </c>
      <c r="M112" t="inlineStr">
        <is>
          <t>Konstruksi Sentral Telekomunikasi</t>
        </is>
      </c>
      <c r="N112" t="inlineStr">
        <is>
          <t>K</t>
        </is>
      </c>
      <c r="O112" t="inlineStr">
        <is>
          <t>20231114</t>
        </is>
      </c>
      <c r="P112" t="inlineStr">
        <is>
          <t>Jawa Barat</t>
        </is>
      </c>
      <c r="Q1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0"/>
  <sheetViews>
    <sheetView workbookViewId="0">
      <selection activeCell="A1" sqref="A1"/>
    </sheetView>
  </sheetViews>
  <sheetFormatPr baseColWidth="8" defaultRowHeight="15"/>
  <cols>
    <col width="30" customWidth="1" min="1" max="1"/>
    <col width="27" customWidth="1" min="2" max="2"/>
    <col width="16" customWidth="1" min="3" max="3"/>
    <col width="40" customWidth="1" min="4" max="4"/>
    <col width="50" customWidth="1" min="5" max="5"/>
    <col width="18" customWidth="1" min="6" max="6"/>
    <col width="49" customWidth="1" min="7" max="7"/>
    <col width="20" customWidth="1" min="8" max="8"/>
    <col width="28" customWidth="1" min="9" max="9"/>
    <col width="34"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BINTANG MILENIUM PERKASA</t>
        </is>
      </c>
      <c r="B2" t="inlineStr">
        <is>
          <t>Kota Adm. Jakarta Timur</t>
        </is>
      </c>
      <c r="C2" t="inlineStr">
        <is>
          <t>02122845408</t>
        </is>
      </c>
      <c r="D2" t="inlineStr">
        <is>
          <t>info@bintangmileniumperkasa.co.id</t>
        </is>
      </c>
      <c r="E2" t="inlineStr">
        <is>
          <t>https://lpjk.pu.go.id/search-badan-usaha-detail/dC96QmIxNmc0SWU1ODVCZkQva3pQUT09</t>
        </is>
      </c>
      <c r="F2" t="n">
        <v>2</v>
      </c>
      <c r="G2" t="inlineStr">
        <is>
          <t>BG006</t>
        </is>
      </c>
      <c r="H2" t="inlineStr">
        <is>
          <t>16 Januari 2008</t>
        </is>
      </c>
      <c r="I2" s="2" t="n">
        <v>46317</v>
      </c>
      <c r="J2" t="inlineStr">
        <is>
          <t>Disetujui</t>
        </is>
      </c>
      <c r="K2" t="n">
        <v>30</v>
      </c>
      <c r="L2" t="inlineStr">
        <is>
          <t>22 Oktober 2026</t>
        </is>
      </c>
      <c r="M2" t="inlineStr">
        <is>
          <t>Konstruksi Gedung Pendidikan</t>
        </is>
      </c>
      <c r="N2" t="inlineStr">
        <is>
          <t>M</t>
        </is>
      </c>
      <c r="O2" t="inlineStr">
        <is>
          <t>20231016</t>
        </is>
      </c>
      <c r="P2" t="inlineStr">
        <is>
          <t>DKI Jakarta</t>
        </is>
      </c>
      <c r="Q2" t="inlineStr"/>
    </row>
    <row r="3">
      <c r="A3" t="inlineStr">
        <is>
          <t>BUMI PERKASA INTERNASIONAL</t>
        </is>
      </c>
      <c r="B3" t="inlineStr">
        <is>
          <t>Kota Bekasi</t>
        </is>
      </c>
      <c r="C3" t="inlineStr">
        <is>
          <t>081387083633</t>
        </is>
      </c>
      <c r="D3" t="inlineStr">
        <is>
          <t>bpinternasional@gmail.com</t>
        </is>
      </c>
      <c r="E3" t="inlineStr">
        <is>
          <t>https://lpjk.pu.go.id/search-badan-usaha-detail/N0lyUDdDQ3hWU3NyaG42VU1qcU1QUT09</t>
        </is>
      </c>
      <c r="F3" t="n">
        <v>2</v>
      </c>
      <c r="G3" t="inlineStr">
        <is>
          <t>IN001, IN008</t>
        </is>
      </c>
      <c r="H3" t="inlineStr">
        <is>
          <t>20 September 2022</t>
        </is>
      </c>
      <c r="I3" s="2" t="n">
        <v>46317</v>
      </c>
      <c r="J3" t="inlineStr">
        <is>
          <t>Disetujui</t>
        </is>
      </c>
      <c r="K3" t="n">
        <v>30</v>
      </c>
      <c r="L3" t="inlineStr">
        <is>
          <t>22 Oktober 2026</t>
        </is>
      </c>
      <c r="M3" t="inlineStr">
        <is>
          <t>Instalasi Mekanikal, Instalasi Pendingin Dan Ventilasi Udara</t>
        </is>
      </c>
      <c r="N3" t="inlineStr">
        <is>
          <t>Spesialis</t>
        </is>
      </c>
      <c r="O3" t="inlineStr">
        <is>
          <t>20231011</t>
        </is>
      </c>
      <c r="P3" t="inlineStr">
        <is>
          <t>Jawa Barat</t>
        </is>
      </c>
      <c r="Q3" s="3">
        <f>HYPERLINK("https://wa.me/6281387083633?text=*[Pengingat Masa Berlaku SBU BUMI PERKASA INTERNASIONAL]*%0A%0AYth. Pimpinan BUMI PERKASA INTERNASIONAL,%0AMohon izin menginformasikan status SBU Anda:%0A%0A📄 SBU: IN001, IN008%0A📅 Expired: 22 Oktober 2026 (30 Hari Lagi)%0A%0AKami tim PT. ESDEA Assistance Management siap men-support proses perpanjangan segera agar administrasi proyek tidak terhambat%0A%0AApakah boleh saya bantu siapkan estimasi biaya dan waktu pengerjaannya?.", "Hubungi")</f>
        <v/>
      </c>
    </row>
    <row r="4">
      <c r="A4" t="inlineStr">
        <is>
          <t>GLOBAL BERKAH SEMPURNA</t>
        </is>
      </c>
      <c r="B4" t="inlineStr">
        <is>
          <t>Kota Bekasi</t>
        </is>
      </c>
      <c r="C4" t="inlineStr">
        <is>
          <t>082113015586</t>
        </is>
      </c>
      <c r="D4" t="inlineStr">
        <is>
          <t>ptglobalberkahsempurna06@gmail.com</t>
        </is>
      </c>
      <c r="E4" t="inlineStr">
        <is>
          <t>https://lpjk.pu.go.id/search-badan-usaha-detail/MjRFaGpPU21qN1c5blV4SDJCK0hVUT09</t>
        </is>
      </c>
      <c r="F4" t="n">
        <v>1</v>
      </c>
      <c r="G4" t="inlineStr">
        <is>
          <t>BG003</t>
        </is>
      </c>
      <c r="H4" t="inlineStr">
        <is>
          <t>6 April 2023</t>
        </is>
      </c>
      <c r="I4" s="2" t="n">
        <v>46317</v>
      </c>
      <c r="J4" t="inlineStr">
        <is>
          <t>Disetujui</t>
        </is>
      </c>
      <c r="K4" t="n">
        <v>30</v>
      </c>
      <c r="L4" t="inlineStr">
        <is>
          <t>22 Oktober 2026</t>
        </is>
      </c>
      <c r="M4" t="inlineStr">
        <is>
          <t>Konstruksi Gedung Industri</t>
        </is>
      </c>
      <c r="N4" t="inlineStr">
        <is>
          <t>K</t>
        </is>
      </c>
      <c r="O4" t="inlineStr">
        <is>
          <t>20231019</t>
        </is>
      </c>
      <c r="P4" t="inlineStr">
        <is>
          <t>Jawa Barat</t>
        </is>
      </c>
      <c r="Q4" s="3">
        <f>HYPERLINK("https://wa.me/6282113015586?text=*[Pengingat Masa Berlaku SBU GLOBAL BERKAH SEMPURNA]*%0A%0AYth. Pimpinan GLOBAL BERKAH SEMPURNA,%0AMohon izin menginformasikan status SBU Anda:%0A%0A📄 SBU: BG003%0A📅 Expired: 22 Oktober 2026 (30 Hari Lagi)%0A%0AKami tim PT. ESDEA Assistance Management siap men-support proses perpanjangan segera agar administrasi proyek tidak terhambat%0A%0AApakah boleh saya bantu siapkan estimasi biaya dan waktu pengerjaannya?.", "Hubungi")</f>
        <v/>
      </c>
    </row>
    <row r="5">
      <c r="A5" t="inlineStr">
        <is>
          <t>INDOSUPPLY MULIA BERSAMA</t>
        </is>
      </c>
      <c r="B5" t="inlineStr">
        <is>
          <t>Kab. Bekasi</t>
        </is>
      </c>
      <c r="C5" t="inlineStr">
        <is>
          <t>081389913000</t>
        </is>
      </c>
      <c r="D5" t="inlineStr">
        <is>
          <t>indosupplymuliabersama@gmail.com</t>
        </is>
      </c>
      <c r="E5" t="inlineStr">
        <is>
          <t>https://lpjk.pu.go.id/search-badan-usaha-detail/Q2NYT25EWmxMdHl5TktZZHg0WFMydz09</t>
        </is>
      </c>
      <c r="F5" t="n">
        <v>4</v>
      </c>
      <c r="G5" t="inlineStr">
        <is>
          <t>BS001, BS002</t>
        </is>
      </c>
      <c r="H5" t="inlineStr">
        <is>
          <t>8 Mei 2020</t>
        </is>
      </c>
      <c r="I5" s="2" t="n">
        <v>46317</v>
      </c>
      <c r="J5" t="inlineStr">
        <is>
          <t>Pencabutan</t>
        </is>
      </c>
      <c r="K5" t="n">
        <v>30</v>
      </c>
      <c r="L5" t="inlineStr">
        <is>
          <t>22 Oktober 2026</t>
        </is>
      </c>
      <c r="M5" t="inlineStr">
        <is>
          <t>Bangunan Sipil Jembatan, Jalan Layang, Fly Over, dan Underpass, Konstruksi Bangunan Sipil Jalan</t>
        </is>
      </c>
      <c r="N5" t="inlineStr">
        <is>
          <t>K</t>
        </is>
      </c>
      <c r="O5" t="inlineStr">
        <is>
          <t>20231019</t>
        </is>
      </c>
      <c r="P5" t="inlineStr">
        <is>
          <t>Jawa Barat</t>
        </is>
      </c>
      <c r="Q5" s="3">
        <f>HYPERLINK("https://wa.me/6281389913000?text=*[Pengingat Masa Berlaku SBU INDOSUPPLY MULIA BERSAMA]*%0A%0AYth. Pimpinan INDOSUPPLY MULIA BERSAMA,%0AMohon izin menginformasikan status SBU Anda:%0A%0A📄 SBU: BS001, BS002%0A📅 Expired: 22 Oktober 2026 (30 Hari Lagi)%0A%0AKami tim PT. ESDEA Assistance Management siap men-support proses perpanjangan segera agar administrasi proyek tidak terhambat%0A%0AApakah boleh saya bantu siapkan estimasi biaya dan waktu pengerjaannya?.", "Hubungi")</f>
        <v/>
      </c>
    </row>
    <row r="6">
      <c r="A6" t="inlineStr">
        <is>
          <t>INOVASI MODERN DESAIN</t>
        </is>
      </c>
      <c r="B6" t="inlineStr">
        <is>
          <t>Kota Adm. Jakarta Timur</t>
        </is>
      </c>
      <c r="C6" t="inlineStr">
        <is>
          <t>02122478793</t>
        </is>
      </c>
      <c r="D6" t="inlineStr">
        <is>
          <t>inovasimoderndesain@gmail.com</t>
        </is>
      </c>
      <c r="E6" t="inlineStr">
        <is>
          <t>https://lpjk.pu.go.id/search-badan-usaha-detail/Mzl5L2xob1VMc3J6MC9iR2tNVVlhdz09</t>
        </is>
      </c>
      <c r="F6" t="n">
        <v>1</v>
      </c>
      <c r="G6" t="inlineStr">
        <is>
          <t>PB004</t>
        </is>
      </c>
      <c r="H6" t="inlineStr">
        <is>
          <t>14 Juni 2023</t>
        </is>
      </c>
      <c r="I6" s="2" t="n">
        <v>46317</v>
      </c>
      <c r="J6" t="inlineStr">
        <is>
          <t>Disetujui</t>
        </is>
      </c>
      <c r="K6" t="n">
        <v>30</v>
      </c>
      <c r="L6" t="inlineStr">
        <is>
          <t>22 Oktober 2026</t>
        </is>
      </c>
      <c r="M6" t="inlineStr">
        <is>
          <t>Dekorasi Interior</t>
        </is>
      </c>
      <c r="N6" t="inlineStr">
        <is>
          <t>Spesialis</t>
        </is>
      </c>
      <c r="O6" t="inlineStr">
        <is>
          <t>20231020</t>
        </is>
      </c>
      <c r="P6" t="inlineStr">
        <is>
          <t>DKI Jakarta</t>
        </is>
      </c>
      <c r="Q6" t="inlineStr"/>
    </row>
    <row r="7">
      <c r="A7" t="inlineStr">
        <is>
          <t>JASKO PRIMA SEJAHTERA</t>
        </is>
      </c>
      <c r="B7" t="inlineStr">
        <is>
          <t>Kab. Bekasi</t>
        </is>
      </c>
      <c r="C7" t="inlineStr">
        <is>
          <t>02188357585</t>
        </is>
      </c>
      <c r="D7" t="inlineStr">
        <is>
          <t>jaskoprima@gmail.com</t>
        </is>
      </c>
      <c r="E7" t="inlineStr">
        <is>
          <t>https://lpjk.pu.go.id/search-badan-usaha-detail/cU1KaFVKcCtzSzZ1OTlLQ3pTcmlmUT09</t>
        </is>
      </c>
      <c r="F7" t="n">
        <v>1</v>
      </c>
      <c r="G7" t="inlineStr">
        <is>
          <t>BG009</t>
        </is>
      </c>
      <c r="H7" t="inlineStr">
        <is>
          <t>10 Juni 2004</t>
        </is>
      </c>
      <c r="I7" s="2" t="n">
        <v>46317</v>
      </c>
      <c r="J7" t="inlineStr">
        <is>
          <t>Disetujui</t>
        </is>
      </c>
      <c r="K7" t="n">
        <v>30</v>
      </c>
      <c r="L7" t="inlineStr">
        <is>
          <t>22 Oktober 2026</t>
        </is>
      </c>
      <c r="M7" t="inlineStr">
        <is>
          <t>Konstruksi Gedung Lainnya</t>
        </is>
      </c>
      <c r="N7" t="inlineStr">
        <is>
          <t>K</t>
        </is>
      </c>
      <c r="O7" t="inlineStr">
        <is>
          <t>20231020</t>
        </is>
      </c>
      <c r="P7" t="inlineStr">
        <is>
          <t>Jawa Barat</t>
        </is>
      </c>
      <c r="Q7" t="inlineStr"/>
    </row>
    <row r="8">
      <c r="A8" t="inlineStr">
        <is>
          <t>KURNIA MAKMUR BAROKAH</t>
        </is>
      </c>
      <c r="B8" t="inlineStr">
        <is>
          <t>Kab. Bogor</t>
        </is>
      </c>
      <c r="C8" t="inlineStr">
        <is>
          <t>02150105732</t>
        </is>
      </c>
      <c r="D8" t="inlineStr">
        <is>
          <t>kurniamakmurbarokah@gmail.com</t>
        </is>
      </c>
      <c r="E8" t="inlineStr">
        <is>
          <t>https://lpjk.pu.go.id/search-badan-usaha-detail/NDFXOXlITS9mbW11dmFsSGk3UVJsdz09</t>
        </is>
      </c>
      <c r="F8" t="n">
        <v>4</v>
      </c>
      <c r="G8" t="inlineStr">
        <is>
          <t>BG002, BG005, BG006, BG009</t>
        </is>
      </c>
      <c r="H8" t="inlineStr">
        <is>
          <t>11 Juli 2023</t>
        </is>
      </c>
      <c r="I8" s="2" t="n">
        <v>46317</v>
      </c>
      <c r="J8" t="inlineStr">
        <is>
          <t>Disetujui</t>
        </is>
      </c>
      <c r="K8" t="n">
        <v>30</v>
      </c>
      <c r="L8" t="inlineStr">
        <is>
          <t>22 Oktober 2026</t>
        </is>
      </c>
      <c r="M8" t="inlineStr">
        <is>
          <t>Konstruksi Gedung Kesehatan, Konstruksi Gedung Lainnya, Konstruksi Gedung Pendidikan, Konstruksi Gedung Perkantoran</t>
        </is>
      </c>
      <c r="N8" t="inlineStr">
        <is>
          <t>K</t>
        </is>
      </c>
      <c r="O8" t="inlineStr">
        <is>
          <t>20231017, 20231018</t>
        </is>
      </c>
      <c r="P8" t="inlineStr">
        <is>
          <t>Jawa Barat</t>
        </is>
      </c>
      <c r="Q8" t="inlineStr"/>
    </row>
    <row r="9">
      <c r="A9" t="inlineStr">
        <is>
          <t>PUTRA SELANG MANDIRI JAYA</t>
        </is>
      </c>
      <c r="B9" t="inlineStr">
        <is>
          <t>Kab. Bekasi</t>
        </is>
      </c>
      <c r="C9" t="inlineStr">
        <is>
          <t>085714607989</t>
        </is>
      </c>
      <c r="D9" t="inlineStr">
        <is>
          <t>gentengtigaputra95@gmail.com</t>
        </is>
      </c>
      <c r="E9" t="inlineStr">
        <is>
          <t>https://lpjk.pu.go.id/search-badan-usaha-detail/Smh2eGhMMHE4eWJJR1Y2WlZmeUJWQT09</t>
        </is>
      </c>
      <c r="F9" t="n">
        <v>1</v>
      </c>
      <c r="G9" t="inlineStr">
        <is>
          <t>BG001</t>
        </is>
      </c>
      <c r="H9" t="inlineStr">
        <is>
          <t>2 Oktober 2014</t>
        </is>
      </c>
      <c r="I9" s="2" t="n">
        <v>46317</v>
      </c>
      <c r="J9" t="inlineStr">
        <is>
          <t>Disetujui</t>
        </is>
      </c>
      <c r="K9" t="n">
        <v>30</v>
      </c>
      <c r="L9" t="inlineStr">
        <is>
          <t>22 Oktober 2026</t>
        </is>
      </c>
      <c r="M9" t="inlineStr">
        <is>
          <t>Konstruksi Gedung Hunian</t>
        </is>
      </c>
      <c r="N9" t="inlineStr">
        <is>
          <t>K</t>
        </is>
      </c>
      <c r="O9" t="inlineStr">
        <is>
          <t>20231006</t>
        </is>
      </c>
      <c r="P9" t="inlineStr">
        <is>
          <t>Jawa Barat</t>
        </is>
      </c>
      <c r="Q9" s="3">
        <f>HYPERLINK("https://wa.me/6285714607989?text=*[Pengingat Masa Berlaku SBU PUTRA SELANG MANDIRI JAYA]*%0A%0AYth. Pimpinan PUTRA SELANG MANDIRI JAYA,%0AMohon izin menginformasikan status SBU Anda:%0A%0A📄 SBU: BG001%0A📅 Expired: 22 Oktober 2026 (30 Hari Lagi)%0A%0AKami tim PT. ESDEA Assistance Management siap men-support proses perpanjangan segera agar administrasi proyek tidak terhambat%0A%0AApakah boleh saya bantu siapkan estimasi biaya dan waktu pengerjaannya?.", "Hubungi")</f>
        <v/>
      </c>
    </row>
    <row r="10">
      <c r="A10" t="inlineStr">
        <is>
          <t>SANGGUL BARINGIN BERKARYA</t>
        </is>
      </c>
      <c r="B10" t="inlineStr">
        <is>
          <t>Kota Bekasi</t>
        </is>
      </c>
      <c r="C10" t="inlineStr">
        <is>
          <t>087804072018</t>
        </is>
      </c>
      <c r="D10" t="inlineStr">
        <is>
          <t>pt.sanggulbaringinberkarya@gmail.com</t>
        </is>
      </c>
      <c r="E10" t="inlineStr">
        <is>
          <t>https://lpjk.pu.go.id/search-badan-usaha-detail/RDVYcmFTc00vTzliMUxQWExZT2h2QT09</t>
        </is>
      </c>
      <c r="F10" t="n">
        <v>10</v>
      </c>
      <c r="G10" t="inlineStr">
        <is>
          <t>BG001, BG003, BG006, BG008, BS004</t>
        </is>
      </c>
      <c r="H10" t="inlineStr">
        <is>
          <t>4 Juli 2022</t>
        </is>
      </c>
      <c r="I10" s="2" t="n">
        <v>46317</v>
      </c>
      <c r="J10" t="inlineStr">
        <is>
          <t>Disetujui, Konfirmasi Pembayaran</t>
        </is>
      </c>
      <c r="K10" t="n">
        <v>30</v>
      </c>
      <c r="L10" t="inlineStr">
        <is>
          <t>22 Oktober 2026</t>
        </is>
      </c>
      <c r="M10" t="inlineStr">
        <is>
          <t>Konstruksi Gedung Hunian, Konstruksi Gedung Industri, Konstruksi Gedung Pendidikan, Konstruksi Gedung Tempat Hiburan dan Olahraga, Konstruksi Jaringan Irigasi dan Drainase</t>
        </is>
      </c>
      <c r="N10" t="inlineStr">
        <is>
          <t>K</t>
        </is>
      </c>
      <c r="O10" t="inlineStr">
        <is>
          <t>20231013</t>
        </is>
      </c>
      <c r="P10" t="inlineStr">
        <is>
          <t>Jawa Barat</t>
        </is>
      </c>
      <c r="Q10" s="3">
        <f>HYPERLINK("https://wa.me/6287804072018?text=*[Pengingat Masa Berlaku SBU SANGGUL BARINGIN BERKARYA]*%0A%0AYth. Pimpinan SANGGUL BARINGIN BERKARYA,%0AMohon izin menginformasikan status SBU Anda:%0A%0A📄 SBU: BG001, BG003, BG006, BG008, BS004%0A📅 Expired: 22 Oktober 2026 (30 Hari Lagi)%0A%0AKami tim PT. ESDEA Assistance Management siap men-support proses perpanjangan segera agar administrasi proyek tidak terhambat%0A%0AApakah boleh saya bantu siapkan estimasi biaya dan waktu pengerjaannya?.", "Hubungi")</f>
        <v/>
      </c>
    </row>
    <row r="11">
      <c r="A11" t="inlineStr">
        <is>
          <t>SUMBER REJEKI</t>
        </is>
      </c>
      <c r="B11" t="inlineStr">
        <is>
          <t>Kab. Bogor</t>
        </is>
      </c>
      <c r="C11" t="inlineStr">
        <is>
          <t>081282802307</t>
        </is>
      </c>
      <c r="D11" t="inlineStr">
        <is>
          <t>sumberrejeki1982@gmail.com</t>
        </is>
      </c>
      <c r="E11" t="inlineStr">
        <is>
          <t>https://lpjk.pu.go.id/search-badan-usaha-detail/U1BiQm83Ty96SGtFVW9aQUYrSklJUT09</t>
        </is>
      </c>
      <c r="F11" t="n">
        <v>1</v>
      </c>
      <c r="G11" t="inlineStr">
        <is>
          <t>BS004</t>
        </is>
      </c>
      <c r="H11" t="inlineStr">
        <is>
          <t>6 Maret 2014</t>
        </is>
      </c>
      <c r="I11" s="2" t="n">
        <v>46317</v>
      </c>
      <c r="J11" t="inlineStr">
        <is>
          <t>Disetujui</t>
        </is>
      </c>
      <c r="K11" t="n">
        <v>30</v>
      </c>
      <c r="L11" t="inlineStr">
        <is>
          <t>22 Oktober 2026</t>
        </is>
      </c>
      <c r="M11" t="inlineStr">
        <is>
          <t>Konstruksi Jaringan Irigasi dan Drainase</t>
        </is>
      </c>
      <c r="N11" t="inlineStr">
        <is>
          <t>K</t>
        </is>
      </c>
      <c r="O11" t="inlineStr">
        <is>
          <t>20231011</t>
        </is>
      </c>
      <c r="P11" t="inlineStr">
        <is>
          <t>Jawa Barat</t>
        </is>
      </c>
      <c r="Q11" s="3">
        <f>HYPERLINK("https://wa.me/6281282802307?text=*[Pengingat Masa Berlaku SBU SUMBER REJEKI]*%0A%0AYth. Pimpinan SUMBER REJEKI,%0AMohon izin menginformasikan status SBU Anda:%0A%0A📄 SBU: BS004%0A📅 Expired: 22 Oktober 2026 (30 Hari Lagi)%0A%0AKami tim PT. ESDEA Assistance Management siap men-support proses perpanjangan segera agar administrasi proyek tidak terhambat%0A%0AApakah boleh saya bantu siapkan estimasi biaya dan waktu pengerjaannya?.", "Hubungi")</f>
        <v/>
      </c>
    </row>
    <row r="12">
      <c r="A12" t="inlineStr">
        <is>
          <t>TIRTA BUMI NAGA</t>
        </is>
      </c>
      <c r="B12" t="inlineStr">
        <is>
          <t>Kota Bekasi</t>
        </is>
      </c>
      <c r="C12" t="inlineStr">
        <is>
          <t>081298978649</t>
        </is>
      </c>
      <c r="D12" t="inlineStr">
        <is>
          <t>tirtabn@gmail.com</t>
        </is>
      </c>
      <c r="E12" t="inlineStr">
        <is>
          <t>https://lpjk.pu.go.id/search-badan-usaha-detail/SXR3b1VEMnVrMlhhR3grTXArRTBIUT09</t>
        </is>
      </c>
      <c r="F12" t="n">
        <v>3</v>
      </c>
      <c r="G12" t="inlineStr">
        <is>
          <t>BG001, BG002, BG003</t>
        </is>
      </c>
      <c r="H12" t="inlineStr">
        <is>
          <t>13 Juli 2020</t>
        </is>
      </c>
      <c r="I12" s="2" t="n">
        <v>46317</v>
      </c>
      <c r="J12" t="inlineStr">
        <is>
          <t>Disetujui</t>
        </is>
      </c>
      <c r="K12" t="n">
        <v>30</v>
      </c>
      <c r="L12" t="inlineStr">
        <is>
          <t>22 Oktober 2026</t>
        </is>
      </c>
      <c r="M12" t="inlineStr">
        <is>
          <t>Konstruksi Gedung Hunian, Konstruksi Gedung Industri, Konstruksi Gedung Perkantoran</t>
        </is>
      </c>
      <c r="N12" t="inlineStr">
        <is>
          <t>K</t>
        </is>
      </c>
      <c r="O12" t="inlineStr">
        <is>
          <t>20231020</t>
        </is>
      </c>
      <c r="P12" t="inlineStr">
        <is>
          <t>Jawa Barat</t>
        </is>
      </c>
      <c r="Q12" s="3">
        <f>HYPERLINK("https://wa.me/6281298978649?text=*[Pengingat Masa Berlaku SBU TIRTA BUMI NAGA]*%0A%0AYth. Pimpinan TIRTA BUMI NAGA,%0AMohon izin menginformasikan status SBU Anda:%0A%0A📄 SBU: BG001, BG002, BG003%0A📅 Expired: 22 Oktober 2026 (30 Hari Lagi)%0A%0AKami tim PT. ESDEA Assistance Management siap men-support proses perpanjangan segera agar administrasi proyek tidak terhambat%0A%0AApakah boleh saya bantu siapkan estimasi biaya dan waktu pengerjaannya?.", "Hubungi")</f>
        <v/>
      </c>
    </row>
    <row r="13">
      <c r="A13" t="inlineStr">
        <is>
          <t>ABHIRAMA MANDIRI</t>
        </is>
      </c>
      <c r="B13" t="inlineStr">
        <is>
          <t>Kota Surabaya</t>
        </is>
      </c>
      <c r="C13" t="inlineStr">
        <is>
          <t>0317535419</t>
        </is>
      </c>
      <c r="D13" t="inlineStr">
        <is>
          <t>abhiramamandirisurabaya@gmail.com</t>
        </is>
      </c>
      <c r="E13" t="inlineStr">
        <is>
          <t>https://lpjk.pu.go.id/search-badan-usaha-detail/WFVhZ0xEOHBKYk1hcDVZZ2hxU2VHUT09</t>
        </is>
      </c>
      <c r="F13" t="n">
        <v>1</v>
      </c>
      <c r="G13" t="inlineStr">
        <is>
          <t>BG009</t>
        </is>
      </c>
      <c r="H13" t="inlineStr">
        <is>
          <t>27 April 2007</t>
        </is>
      </c>
      <c r="I13" s="2" t="n">
        <v>46317</v>
      </c>
      <c r="J13" t="inlineStr">
        <is>
          <t>Pencabutan</t>
        </is>
      </c>
      <c r="K13" t="n">
        <v>30</v>
      </c>
      <c r="L13" t="inlineStr">
        <is>
          <t>22 Oktober 2026</t>
        </is>
      </c>
      <c r="M13" t="inlineStr">
        <is>
          <t>Konstruksi Gedung Lainnya</t>
        </is>
      </c>
      <c r="N13" t="inlineStr">
        <is>
          <t>K</t>
        </is>
      </c>
      <c r="O13" t="inlineStr">
        <is>
          <t>20231003</t>
        </is>
      </c>
      <c r="P13" t="inlineStr">
        <is>
          <t>Jawa Timur</t>
        </is>
      </c>
      <c r="Q13" t="inlineStr"/>
    </row>
    <row r="14">
      <c r="A14" t="inlineStr">
        <is>
          <t>ABINDO RAYA DARMA PERKASA</t>
        </is>
      </c>
      <c r="B14" t="inlineStr">
        <is>
          <t>Kab. Tangerang</t>
        </is>
      </c>
      <c r="C14" t="inlineStr">
        <is>
          <t>02122018388</t>
        </is>
      </c>
      <c r="D14" t="inlineStr">
        <is>
          <t>ktono3503@gmail.com</t>
        </is>
      </c>
      <c r="E14" t="inlineStr">
        <is>
          <t>https://lpjk.pu.go.id/search-badan-usaha-detail/UW42UkE0bmdDTUJycSswL1JieEthUT09</t>
        </is>
      </c>
      <c r="F14" t="n">
        <v>3</v>
      </c>
      <c r="G14" t="inlineStr">
        <is>
          <t>BG006, BG009, BS001</t>
        </is>
      </c>
      <c r="H14" t="inlineStr">
        <is>
          <t>23 November 2016</t>
        </is>
      </c>
      <c r="I14" s="2" t="n">
        <v>46317</v>
      </c>
      <c r="J14" t="inlineStr">
        <is>
          <t>Disetujui</t>
        </is>
      </c>
      <c r="K14" t="n">
        <v>30</v>
      </c>
      <c r="L14" t="inlineStr">
        <is>
          <t>22 Oktober 2026</t>
        </is>
      </c>
      <c r="M14" t="inlineStr">
        <is>
          <t>Konstruksi Bangunan Sipil Jalan, Konstruksi Gedung Lainnya, Konstruksi Gedung Pendidikan</t>
        </is>
      </c>
      <c r="N14" t="inlineStr">
        <is>
          <t>K</t>
        </is>
      </c>
      <c r="O14" t="inlineStr">
        <is>
          <t>20231023</t>
        </is>
      </c>
      <c r="P14" t="inlineStr">
        <is>
          <t>Banten</t>
        </is>
      </c>
      <c r="Q14" t="inlineStr"/>
    </row>
    <row r="15">
      <c r="A15" t="inlineStr">
        <is>
          <t>ALFA RIZY</t>
        </is>
      </c>
      <c r="B15" t="inlineStr">
        <is>
          <t>Kota Ternate</t>
        </is>
      </c>
      <c r="C15" t="inlineStr">
        <is>
          <t>082124992359</t>
        </is>
      </c>
      <c r="D15" t="inlineStr">
        <is>
          <t>cv.alfarizy@gmail.com</t>
        </is>
      </c>
      <c r="E15" t="inlineStr">
        <is>
          <t>https://lpjk.pu.go.id/search-badan-usaha-detail/UUV3TW9jbU5UemFxTVBySFZJc2ZDUT09</t>
        </is>
      </c>
      <c r="F15" t="n">
        <v>1</v>
      </c>
      <c r="G15" t="inlineStr">
        <is>
          <t>BS001</t>
        </is>
      </c>
      <c r="H15" t="inlineStr">
        <is>
          <t>7 Mei 2021</t>
        </is>
      </c>
      <c r="I15" s="2" t="n">
        <v>46317</v>
      </c>
      <c r="J15" t="inlineStr">
        <is>
          <t>Disetujui</t>
        </is>
      </c>
      <c r="K15" t="n">
        <v>30</v>
      </c>
      <c r="L15" t="inlineStr">
        <is>
          <t>22 Oktober 2026</t>
        </is>
      </c>
      <c r="M15" t="inlineStr">
        <is>
          <t>Konstruksi Bangunan Sipil Jalan</t>
        </is>
      </c>
      <c r="N15" t="inlineStr">
        <is>
          <t>K</t>
        </is>
      </c>
      <c r="O15" t="inlineStr">
        <is>
          <t>20231020</t>
        </is>
      </c>
      <c r="P15" t="inlineStr">
        <is>
          <t>Maluku Utara</t>
        </is>
      </c>
      <c r="Q15" t="inlineStr"/>
    </row>
    <row r="16">
      <c r="A16" t="inlineStr">
        <is>
          <t>ANDHIKASURYA ERAMITRA</t>
        </is>
      </c>
      <c r="B16" t="inlineStr">
        <is>
          <t>Kab. Manokwari</t>
        </is>
      </c>
      <c r="C16" t="inlineStr">
        <is>
          <t>0951325904</t>
        </is>
      </c>
      <c r="D16" t="inlineStr">
        <is>
          <t>asem_sorong@yahoo.co.id</t>
        </is>
      </c>
      <c r="E16" t="inlineStr">
        <is>
          <t>https://lpjk.pu.go.id/search-badan-usaha-detail/MlFYSUcxM2x0OG1UOVB6WlRoaHRkZz09</t>
        </is>
      </c>
      <c r="F16" t="n">
        <v>1</v>
      </c>
      <c r="G16" t="inlineStr">
        <is>
          <t>BG006</t>
        </is>
      </c>
      <c r="H16" t="inlineStr">
        <is>
          <t>27 Oktober 1993</t>
        </is>
      </c>
      <c r="I16" s="2" t="n">
        <v>46317</v>
      </c>
      <c r="J16" t="inlineStr">
        <is>
          <t>Disetujui</t>
        </is>
      </c>
      <c r="K16" t="n">
        <v>30</v>
      </c>
      <c r="L16" t="inlineStr">
        <is>
          <t>22 Oktober 2026</t>
        </is>
      </c>
      <c r="M16" t="inlineStr">
        <is>
          <t>Konstruksi Gedung Pendidikan</t>
        </is>
      </c>
      <c r="N16" t="inlineStr">
        <is>
          <t>M</t>
        </is>
      </c>
      <c r="O16" t="inlineStr">
        <is>
          <t>20231017</t>
        </is>
      </c>
      <c r="P16" t="inlineStr">
        <is>
          <t>Papua Barat</t>
        </is>
      </c>
      <c r="Q16" t="inlineStr"/>
    </row>
    <row r="17">
      <c r="A17" t="inlineStr">
        <is>
          <t>ANUGERAH SEJAHTERA</t>
        </is>
      </c>
      <c r="B17" t="inlineStr">
        <is>
          <t>Kota Tanjung Pinang</t>
        </is>
      </c>
      <c r="C17" t="inlineStr">
        <is>
          <t>085264084498</t>
        </is>
      </c>
      <c r="D17" t="inlineStr">
        <is>
          <t>sejahteraanugerah@yahoo.com</t>
        </is>
      </c>
      <c r="E17" t="inlineStr">
        <is>
          <t>https://lpjk.pu.go.id/search-badan-usaha-detail/QWtMU1h0K3RxWkw1dk1YNzFEejJ2QT09</t>
        </is>
      </c>
      <c r="F17" t="n">
        <v>3</v>
      </c>
      <c r="G17" t="inlineStr">
        <is>
          <t>BG002, BG006, BG009</t>
        </is>
      </c>
      <c r="H17" t="inlineStr">
        <is>
          <t>19 Januari 2010</t>
        </is>
      </c>
      <c r="I17" s="2" t="n">
        <v>46317</v>
      </c>
      <c r="J17" t="inlineStr">
        <is>
          <t>Disetujui</t>
        </is>
      </c>
      <c r="K17" t="n">
        <v>30</v>
      </c>
      <c r="L17" t="inlineStr">
        <is>
          <t>22 Oktober 2026</t>
        </is>
      </c>
      <c r="M17" t="inlineStr">
        <is>
          <t>Konstruksi Gedung Lainnya, Konstruksi Gedung Pendidikan, Konstruksi Gedung Perkantoran</t>
        </is>
      </c>
      <c r="N17" t="inlineStr">
        <is>
          <t>K</t>
        </is>
      </c>
      <c r="O17" t="inlineStr">
        <is>
          <t>20231020</t>
        </is>
      </c>
      <c r="P17" t="inlineStr">
        <is>
          <t>Kepulauan Riau</t>
        </is>
      </c>
      <c r="Q17" t="inlineStr"/>
    </row>
    <row r="18">
      <c r="A18" t="inlineStr">
        <is>
          <t>ANUGRAH RANCANGTEKNIKA FOKUS</t>
        </is>
      </c>
      <c r="B18" t="inlineStr">
        <is>
          <t>Kab. Kotawaringin Timur</t>
        </is>
      </c>
      <c r="C18" t="inlineStr">
        <is>
          <t>085252867862</t>
        </is>
      </c>
      <c r="D18" t="inlineStr">
        <is>
          <t>cvanugrahrancangteknikafokus@gmail.com</t>
        </is>
      </c>
      <c r="E18" t="inlineStr">
        <is>
          <t>https://lpjk.pu.go.id/search-badan-usaha-detail/NnBlVUdoUExyWFRCZTcwSTN0R3V1Zz09</t>
        </is>
      </c>
      <c r="F18" t="n">
        <v>4</v>
      </c>
      <c r="G18" t="inlineStr">
        <is>
          <t>AR001, AR002</t>
        </is>
      </c>
      <c r="H18" t="inlineStr">
        <is>
          <t>13 Januari 2023</t>
        </is>
      </c>
      <c r="I18" s="2" t="n">
        <v>46317</v>
      </c>
      <c r="J18" t="inlineStr">
        <is>
          <t>Disetujui</t>
        </is>
      </c>
      <c r="K18" t="n">
        <v>30</v>
      </c>
      <c r="L18" t="inlineStr">
        <is>
          <t>22 Oktober 2026</t>
        </is>
      </c>
      <c r="M18" t="inlineStr">
        <is>
          <t>Jasa Arsitektural Bangunan Gedung Hunian dan Non Hunian, Jasa Arsitektural Lainnya</t>
        </is>
      </c>
      <c r="N18" t="inlineStr">
        <is>
          <t>K</t>
        </is>
      </c>
      <c r="O18" t="inlineStr">
        <is>
          <t>20231015, 20231017</t>
        </is>
      </c>
      <c r="P18" t="inlineStr">
        <is>
          <t>Kalimantan Tengah</t>
        </is>
      </c>
      <c r="Q18" t="inlineStr"/>
    </row>
    <row r="19">
      <c r="A19" t="inlineStr">
        <is>
          <t>ARCHINDO MULTI PRATAMA</t>
        </is>
      </c>
      <c r="B19" t="inlineStr">
        <is>
          <t>Kab. Aceh Utara</t>
        </is>
      </c>
      <c r="C19" t="inlineStr">
        <is>
          <t>08126909243</t>
        </is>
      </c>
      <c r="D19" t="inlineStr">
        <is>
          <t>archindomulti@gmail.com</t>
        </is>
      </c>
      <c r="E19" t="inlineStr">
        <is>
          <t>https://lpjk.pu.go.id/search-badan-usaha-detail/R0RrNTZaMEltNjY2eHlrbkRJeHk2Zz09</t>
        </is>
      </c>
      <c r="F19" t="n">
        <v>4</v>
      </c>
      <c r="G19" t="inlineStr">
        <is>
          <t>RK001, RK002, RK003, RK005</t>
        </is>
      </c>
      <c r="H19" t="inlineStr">
        <is>
          <t>21 Maret 2016</t>
        </is>
      </c>
      <c r="I19" s="2" t="n">
        <v>46317</v>
      </c>
      <c r="J19" t="inlineStr">
        <is>
          <t>Disetujui</t>
        </is>
      </c>
      <c r="K19" t="n">
        <v>30</v>
      </c>
      <c r="L19" t="inlineStr">
        <is>
          <t>22 Oktober 2026</t>
        </is>
      </c>
      <c r="M19" t="inlineStr">
        <is>
          <t>Jasa Rekayasa Konstruksi Bangunan Gedung Hunian dan Non Hunian, Jasa Rekayasa Lainnya, Jasa Rekayasa Pekerjaan Teknik Sipil Sumber Daya Air, Jasa Rekayasa Pekerjaan Teknik Sipil Transportasi</t>
        </is>
      </c>
      <c r="N19" t="inlineStr">
        <is>
          <t>K</t>
        </is>
      </c>
      <c r="O19" t="inlineStr">
        <is>
          <t>20231006</t>
        </is>
      </c>
      <c r="P19" t="inlineStr">
        <is>
          <t>Aceh</t>
        </is>
      </c>
      <c r="Q19" t="inlineStr"/>
    </row>
    <row r="20">
      <c r="A20" t="inlineStr">
        <is>
          <t>ARENSTRA</t>
        </is>
      </c>
      <c r="B20" t="inlineStr">
        <is>
          <t>Kota Bandung</t>
        </is>
      </c>
      <c r="C20" t="inlineStr">
        <is>
          <t>-</t>
        </is>
      </c>
      <c r="D20" t="inlineStr">
        <is>
          <t>cv.arenstra01@gmail.com</t>
        </is>
      </c>
      <c r="E20" t="inlineStr">
        <is>
          <t>https://lpjk.pu.go.id/search-badan-usaha-detail/RFpSUGNxbFBjZVAvclRaTU53ZU03QT09</t>
        </is>
      </c>
      <c r="F20" t="n">
        <v>3</v>
      </c>
      <c r="G20" t="inlineStr">
        <is>
          <t>RK001, RK002, RK003</t>
        </is>
      </c>
      <c r="H20" t="inlineStr">
        <is>
          <t>22 Januari 2021</t>
        </is>
      </c>
      <c r="I20" s="2" t="n">
        <v>46317</v>
      </c>
      <c r="J20" t="inlineStr">
        <is>
          <t>Disetujui</t>
        </is>
      </c>
      <c r="K20" t="n">
        <v>30</v>
      </c>
      <c r="L20" t="inlineStr">
        <is>
          <t>22 Oktober 2026</t>
        </is>
      </c>
      <c r="M20" t="inlineStr">
        <is>
          <t>Jasa Rekayasa Konstruksi Bangunan Gedung Hunian dan Non Hunian, Jasa Rekayasa Pekerjaan Teknik Sipil Sumber Daya Air, Jasa Rekayasa Pekerjaan Teknik Sipil Transportasi</t>
        </is>
      </c>
      <c r="N20" t="inlineStr">
        <is>
          <t>K</t>
        </is>
      </c>
      <c r="O20" t="inlineStr">
        <is>
          <t>20231012</t>
        </is>
      </c>
      <c r="P20" t="inlineStr">
        <is>
          <t>Jawa Barat</t>
        </is>
      </c>
      <c r="Q20" t="inlineStr"/>
    </row>
    <row r="21">
      <c r="A21" t="inlineStr">
        <is>
          <t>ARSYA PRANANDA GRUP</t>
        </is>
      </c>
      <c r="B21" t="inlineStr">
        <is>
          <t>Kab. Kayong Utara</t>
        </is>
      </c>
      <c r="C21" t="inlineStr">
        <is>
          <t>081348436633</t>
        </is>
      </c>
      <c r="D21" t="inlineStr">
        <is>
          <t>arsyaprananda2021@gmail.com</t>
        </is>
      </c>
      <c r="E21" t="inlineStr">
        <is>
          <t>https://lpjk.pu.go.id/search-badan-usaha-detail/TlF1cTJyc2h3OEdKNHRRdE1tVXBoQT09</t>
        </is>
      </c>
      <c r="F21" t="n">
        <v>2</v>
      </c>
      <c r="G21" t="inlineStr">
        <is>
          <t>BS001, BS004</t>
        </is>
      </c>
      <c r="H21" t="inlineStr">
        <is>
          <t>28 Januari 2021</t>
        </is>
      </c>
      <c r="I21" s="2" t="n">
        <v>46317</v>
      </c>
      <c r="J21" t="inlineStr">
        <is>
          <t>Disetujui</t>
        </is>
      </c>
      <c r="K21" t="n">
        <v>30</v>
      </c>
      <c r="L21" t="inlineStr">
        <is>
          <t>22 Oktober 2026</t>
        </is>
      </c>
      <c r="M21" t="inlineStr">
        <is>
          <t>Konstruksi Bangunan Sipil Jalan, Konstruksi Jaringan Irigasi dan Drainase</t>
        </is>
      </c>
      <c r="N21" t="inlineStr">
        <is>
          <t>K</t>
        </is>
      </c>
      <c r="O21" t="inlineStr">
        <is>
          <t>20231007</t>
        </is>
      </c>
      <c r="P21" t="inlineStr">
        <is>
          <t>Kalimantan Barat</t>
        </is>
      </c>
      <c r="Q21" t="inlineStr"/>
    </row>
    <row r="22">
      <c r="A22" t="inlineStr">
        <is>
          <t>ARTHA TAMBA RAYA</t>
        </is>
      </c>
      <c r="B22" t="inlineStr">
        <is>
          <t>Kota Palembang</t>
        </is>
      </c>
      <c r="C22" t="inlineStr">
        <is>
          <t>081223457935</t>
        </is>
      </c>
      <c r="D22" t="inlineStr">
        <is>
          <t>arthatambaraya.pt@gmail.com</t>
        </is>
      </c>
      <c r="E22" t="inlineStr">
        <is>
          <t>https://lpjk.pu.go.id/search-badan-usaha-detail/dFNtcXdtNUhsYlhLL3UrR0M2dlRVUT09</t>
        </is>
      </c>
      <c r="F22" t="n">
        <v>3</v>
      </c>
      <c r="G22" t="inlineStr">
        <is>
          <t>BG003, BS001, IN004</t>
        </is>
      </c>
      <c r="H22" t="inlineStr">
        <is>
          <t>8 Desember 2003</t>
        </is>
      </c>
      <c r="I22" s="2" t="n">
        <v>46317</v>
      </c>
      <c r="J22" t="inlineStr">
        <is>
          <t>Pembekuan</t>
        </is>
      </c>
      <c r="K22" t="n">
        <v>30</v>
      </c>
      <c r="L22" t="inlineStr">
        <is>
          <t>22 Oktober 2026</t>
        </is>
      </c>
      <c r="M22" t="inlineStr">
        <is>
          <t>Instalasi Minyak dan Gas, Konstruksi Bangunan Sipil Jalan, Konstruksi Gedung Industri</t>
        </is>
      </c>
      <c r="N22" t="inlineStr">
        <is>
          <t>M, Spesialis</t>
        </is>
      </c>
      <c r="O22" t="inlineStr">
        <is>
          <t>20231020, 20231024</t>
        </is>
      </c>
      <c r="P22" t="inlineStr">
        <is>
          <t>Sumatera Selatan</t>
        </is>
      </c>
      <c r="Q22" t="inlineStr"/>
    </row>
    <row r="23">
      <c r="A23" t="inlineStr">
        <is>
          <t>ASIA KONSTRUKSI</t>
        </is>
      </c>
      <c r="B23" t="inlineStr">
        <is>
          <t>Kota Pangkal Pinang</t>
        </is>
      </c>
      <c r="C23" t="inlineStr">
        <is>
          <t>0717431288</t>
        </is>
      </c>
      <c r="D23" t="inlineStr">
        <is>
          <t>asiakons@gmail.com</t>
        </is>
      </c>
      <c r="E23" t="inlineStr">
        <is>
          <t>https://lpjk.pu.go.id/search-badan-usaha-detail/UCttS2tWSFVlK2NXSlRNeERod0VIZz09</t>
        </is>
      </c>
      <c r="F23" t="n">
        <v>4</v>
      </c>
      <c r="G23" t="inlineStr">
        <is>
          <t>BG001, BG002, BG003, BG009</t>
        </is>
      </c>
      <c r="H23" t="inlineStr">
        <is>
          <t>25 Agustus 2006</t>
        </is>
      </c>
      <c r="I23" s="2" t="n">
        <v>46317</v>
      </c>
      <c r="J23" t="inlineStr">
        <is>
          <t>Disetujui</t>
        </is>
      </c>
      <c r="K23" t="n">
        <v>30</v>
      </c>
      <c r="L23" t="inlineStr">
        <is>
          <t>22 Oktober 2026</t>
        </is>
      </c>
      <c r="M23" t="inlineStr">
        <is>
          <t>Konstruksi Gedung Hunian, Konstruksi Gedung Industri, Konstruksi Gedung Lainnya, Konstruksi Gedung Perkantoran</t>
        </is>
      </c>
      <c r="N23" t="inlineStr">
        <is>
          <t>K</t>
        </is>
      </c>
      <c r="O23" t="inlineStr">
        <is>
          <t>20231018</t>
        </is>
      </c>
      <c r="P23" t="inlineStr">
        <is>
          <t>Kepulauan Bangka Belitung</t>
        </is>
      </c>
      <c r="Q23" t="inlineStr"/>
    </row>
    <row r="24">
      <c r="A24" t="inlineStr">
        <is>
          <t>ATHAR PRIMA MANDIRI</t>
        </is>
      </c>
      <c r="B24" t="inlineStr">
        <is>
          <t>Kota Jambi</t>
        </is>
      </c>
      <c r="C24" t="inlineStr">
        <is>
          <t>082176966909</t>
        </is>
      </c>
      <c r="D24" t="inlineStr">
        <is>
          <t>atharprimamandiricv@gmail.com</t>
        </is>
      </c>
      <c r="E24" t="inlineStr">
        <is>
          <t>https://lpjk.pu.go.id/search-badan-usaha-detail/WFlBdnIrQVlpUHFOTjhuQXJLZjQ2QT09</t>
        </is>
      </c>
      <c r="F24" t="n">
        <v>2</v>
      </c>
      <c r="G24" t="inlineStr">
        <is>
          <t>BG009, BS001</t>
        </is>
      </c>
      <c r="H24" t="inlineStr">
        <is>
          <t>22 November 2021</t>
        </is>
      </c>
      <c r="I24" s="2" t="n">
        <v>46317</v>
      </c>
      <c r="J24" t="inlineStr">
        <is>
          <t>Disetujui</t>
        </is>
      </c>
      <c r="K24" t="n">
        <v>30</v>
      </c>
      <c r="L24" t="inlineStr">
        <is>
          <t>22 Oktober 2026</t>
        </is>
      </c>
      <c r="M24" t="inlineStr">
        <is>
          <t>Konstruksi Bangunan Sipil Jalan, Konstruksi Gedung Lainnya</t>
        </is>
      </c>
      <c r="N24" t="inlineStr">
        <is>
          <t>K</t>
        </is>
      </c>
      <c r="O24" t="inlineStr">
        <is>
          <t>20231022</t>
        </is>
      </c>
      <c r="P24" t="inlineStr">
        <is>
          <t>Jambi</t>
        </is>
      </c>
      <c r="Q24" t="inlineStr"/>
    </row>
    <row r="25">
      <c r="A25" t="inlineStr">
        <is>
          <t>BANGUN BESAR BERSAMA</t>
        </is>
      </c>
      <c r="B25" t="inlineStr">
        <is>
          <t>Kota Surakarta</t>
        </is>
      </c>
      <c r="C25" t="inlineStr">
        <is>
          <t>08129980736</t>
        </is>
      </c>
      <c r="D25" t="inlineStr">
        <is>
          <t>bangunbesarb@gmail.com</t>
        </is>
      </c>
      <c r="E25" t="inlineStr">
        <is>
          <t>https://lpjk.pu.go.id/search-badan-usaha-detail/SWY5MVR2NndHeFpBYUgwdmRzRzZRUT09</t>
        </is>
      </c>
      <c r="F25" t="n">
        <v>1</v>
      </c>
      <c r="G25" t="inlineStr">
        <is>
          <t>BG006</t>
        </is>
      </c>
      <c r="H25" t="inlineStr">
        <is>
          <t>28 Agustus 2023</t>
        </is>
      </c>
      <c r="I25" s="2" t="n">
        <v>46317</v>
      </c>
      <c r="J25" t="inlineStr">
        <is>
          <t>Disetujui</t>
        </is>
      </c>
      <c r="K25" t="n">
        <v>30</v>
      </c>
      <c r="L25" t="inlineStr">
        <is>
          <t>22 Oktober 2026</t>
        </is>
      </c>
      <c r="M25" t="inlineStr">
        <is>
          <t>Konstruksi Gedung Pendidikan</t>
        </is>
      </c>
      <c r="N25" t="inlineStr">
        <is>
          <t>K</t>
        </is>
      </c>
      <c r="O25" t="inlineStr">
        <is>
          <t>20231010</t>
        </is>
      </c>
      <c r="P25" t="inlineStr">
        <is>
          <t>Jawa Tengah</t>
        </is>
      </c>
      <c r="Q25" t="inlineStr"/>
    </row>
    <row r="26">
      <c r="A26" t="inlineStr">
        <is>
          <t>BANGUN CIPTA REJEKI</t>
        </is>
      </c>
      <c r="B26" t="inlineStr">
        <is>
          <t>Kota Pangkal Pinang</t>
        </is>
      </c>
      <c r="C26" t="inlineStr">
        <is>
          <t>07174256222</t>
        </is>
      </c>
      <c r="D26" t="inlineStr">
        <is>
          <t>bangun_cipta_rejeki@ymail.com</t>
        </is>
      </c>
      <c r="E26" t="inlineStr">
        <is>
          <t>https://lpjk.pu.go.id/search-badan-usaha-detail/eHpVeTRFZ1hqaU9nNXRETXM3RXorUT09</t>
        </is>
      </c>
      <c r="F26" t="n">
        <v>2</v>
      </c>
      <c r="G26" t="inlineStr">
        <is>
          <t>BS004, BS010</t>
        </is>
      </c>
      <c r="H26" t="inlineStr">
        <is>
          <t>29 Agustus 1994</t>
        </is>
      </c>
      <c r="I26" s="2" t="n">
        <v>46317</v>
      </c>
      <c r="J26" t="inlineStr">
        <is>
          <t>Disetujui</t>
        </is>
      </c>
      <c r="K26" t="n">
        <v>30</v>
      </c>
      <c r="L26" t="inlineStr">
        <is>
          <t>22 Oktober 2026</t>
        </is>
      </c>
      <c r="M26" t="inlineStr">
        <is>
          <t>Konstruksi Bangunan Prasarana Sumber Daya Air, Konstruksi Jaringan Irigasi dan Drainase</t>
        </is>
      </c>
      <c r="N26" t="inlineStr">
        <is>
          <t>K</t>
        </is>
      </c>
      <c r="O26" t="inlineStr">
        <is>
          <t>20231023, 20231028</t>
        </is>
      </c>
      <c r="P26" t="inlineStr">
        <is>
          <t>Kepulauan Bangka Belitung</t>
        </is>
      </c>
      <c r="Q26" t="inlineStr"/>
    </row>
    <row r="27">
      <c r="A27" t="inlineStr">
        <is>
          <t>BANGUN JAYA</t>
        </is>
      </c>
      <c r="B27" t="inlineStr">
        <is>
          <t>Kab. Bantul</t>
        </is>
      </c>
      <c r="C27" t="inlineStr">
        <is>
          <t>08179407008</t>
        </is>
      </c>
      <c r="D27" t="inlineStr">
        <is>
          <t>bangunjaya.imogiri@gmail.com</t>
        </is>
      </c>
      <c r="E27" t="inlineStr">
        <is>
          <t>https://lpjk.pu.go.id/search-badan-usaha-detail/ZlQzT2RRdXcyMU1RbVoyOXJqM1d2dz09</t>
        </is>
      </c>
      <c r="F27" t="n">
        <v>3</v>
      </c>
      <c r="G27" t="inlineStr">
        <is>
          <t>BG004, BG005, BG006</t>
        </is>
      </c>
      <c r="H27" t="inlineStr">
        <is>
          <t>11 November 2003</t>
        </is>
      </c>
      <c r="I27" s="2" t="n">
        <v>46317</v>
      </c>
      <c r="J27" t="inlineStr">
        <is>
          <t>Disetujui</t>
        </is>
      </c>
      <c r="K27" t="n">
        <v>30</v>
      </c>
      <c r="L27" t="inlineStr">
        <is>
          <t>22 Oktober 2026</t>
        </is>
      </c>
      <c r="M27" t="inlineStr">
        <is>
          <t>Konstruksi Gedung Kesehatan, Konstruksi Gedung Pendidikan, Konstruksi Gedung Perbelanjaan</t>
        </is>
      </c>
      <c r="N27" t="inlineStr">
        <is>
          <t>K</t>
        </is>
      </c>
      <c r="O27" t="inlineStr">
        <is>
          <t>20231019</t>
        </is>
      </c>
      <c r="P27" t="inlineStr">
        <is>
          <t>DI Yogyakarta</t>
        </is>
      </c>
      <c r="Q27" t="inlineStr"/>
    </row>
    <row r="28">
      <c r="A28" t="inlineStr">
        <is>
          <t>BANTENG MITRA PERKASA</t>
        </is>
      </c>
      <c r="B28" t="inlineStr">
        <is>
          <t>Kab. Pringsewu</t>
        </is>
      </c>
      <c r="C28" t="inlineStr">
        <is>
          <t>0811795025</t>
        </is>
      </c>
      <c r="D28" t="inlineStr">
        <is>
          <t>ptbantengmitraperkasa@gmail.com</t>
        </is>
      </c>
      <c r="E28" t="inlineStr">
        <is>
          <t>https://lpjk.pu.go.id/search-badan-usaha-detail/T2xBeERWZGJVT0owcWpjN09RbXcwZz09</t>
        </is>
      </c>
      <c r="F28" t="n">
        <v>1</v>
      </c>
      <c r="G28" t="inlineStr">
        <is>
          <t>BG001</t>
        </is>
      </c>
      <c r="H28" t="inlineStr">
        <is>
          <t>31 Oktober 2022</t>
        </is>
      </c>
      <c r="I28" s="2" t="n">
        <v>46317</v>
      </c>
      <c r="J28" t="inlineStr">
        <is>
          <t>Pencabutan</t>
        </is>
      </c>
      <c r="K28" t="n">
        <v>30</v>
      </c>
      <c r="L28" t="inlineStr">
        <is>
          <t>22 Oktober 2026</t>
        </is>
      </c>
      <c r="M28" t="inlineStr">
        <is>
          <t>Konstruksi Gedung Hunian</t>
        </is>
      </c>
      <c r="N28" t="inlineStr">
        <is>
          <t>K</t>
        </is>
      </c>
      <c r="O28" t="inlineStr">
        <is>
          <t>20231018</t>
        </is>
      </c>
      <c r="P28" t="inlineStr">
        <is>
          <t>Lampung</t>
        </is>
      </c>
      <c r="Q28" t="inlineStr"/>
    </row>
    <row r="29">
      <c r="A29" t="inlineStr">
        <is>
          <t>BATHARA JAYA SARTIKA</t>
        </is>
      </c>
      <c r="B29" t="inlineStr">
        <is>
          <t>Kota Makassar</t>
        </is>
      </c>
      <c r="C29" t="inlineStr">
        <is>
          <t>081233123343</t>
        </is>
      </c>
      <c r="D29" t="inlineStr">
        <is>
          <t>batharajaya@gmail.com</t>
        </is>
      </c>
      <c r="E29" t="inlineStr">
        <is>
          <t>https://lpjk.pu.go.id/search-badan-usaha-detail/TUVEbXllQmJTVmh4RzErS3AwcmNadz09</t>
        </is>
      </c>
      <c r="F29" t="n">
        <v>1</v>
      </c>
      <c r="G29" t="inlineStr">
        <is>
          <t>BS004</t>
        </is>
      </c>
      <c r="H29" t="inlineStr">
        <is>
          <t>18 November 2014</t>
        </is>
      </c>
      <c r="I29" s="2" t="n">
        <v>46317</v>
      </c>
      <c r="J29" t="inlineStr">
        <is>
          <t>Pencabutan</t>
        </is>
      </c>
      <c r="K29" t="n">
        <v>30</v>
      </c>
      <c r="L29" t="inlineStr">
        <is>
          <t>22 Oktober 2026</t>
        </is>
      </c>
      <c r="M29" t="inlineStr">
        <is>
          <t>Konstruksi Jaringan Irigasi dan Drainase</t>
        </is>
      </c>
      <c r="N29" t="inlineStr">
        <is>
          <t>M</t>
        </is>
      </c>
      <c r="O29" t="inlineStr">
        <is>
          <t>20231021</t>
        </is>
      </c>
      <c r="P29" t="inlineStr">
        <is>
          <t>Sulawesi Selatan</t>
        </is>
      </c>
      <c r="Q29" t="inlineStr"/>
    </row>
    <row r="30">
      <c r="A30" t="inlineStr">
        <is>
          <t>BERKAT DARMAWAN</t>
        </is>
      </c>
      <c r="B30" t="inlineStr">
        <is>
          <t>Kota Pontianak</t>
        </is>
      </c>
      <c r="C30" t="inlineStr">
        <is>
          <t>081345727233</t>
        </is>
      </c>
      <c r="D30" t="inlineStr">
        <is>
          <t>darmawanberkat@gmail.com</t>
        </is>
      </c>
      <c r="E30" t="inlineStr">
        <is>
          <t>https://lpjk.pu.go.id/search-badan-usaha-detail/UnFjN0E3Z0pCcDM4ZDVSeGQ5ZzlNQT09</t>
        </is>
      </c>
      <c r="F30" t="n">
        <v>4</v>
      </c>
      <c r="G30" t="inlineStr">
        <is>
          <t>BS002, BS004</t>
        </is>
      </c>
      <c r="H30" t="inlineStr">
        <is>
          <t>1 Agustus 2008</t>
        </is>
      </c>
      <c r="I30" s="2" t="n">
        <v>46317</v>
      </c>
      <c r="J30" t="inlineStr">
        <is>
          <t>Disetujui</t>
        </is>
      </c>
      <c r="K30" t="n">
        <v>30</v>
      </c>
      <c r="L30" t="inlineStr">
        <is>
          <t>22 Oktober 2026</t>
        </is>
      </c>
      <c r="M30" t="inlineStr">
        <is>
          <t>Bangunan Sipil Jembatan, Jalan Layang, Fly Over, dan Underpass, Konstruksi Jaringan Irigasi dan Drainase</t>
        </is>
      </c>
      <c r="N30" t="inlineStr">
        <is>
          <t>K</t>
        </is>
      </c>
      <c r="O30" t="inlineStr">
        <is>
          <t>20231019</t>
        </is>
      </c>
      <c r="P30" t="inlineStr">
        <is>
          <t>Kalimantan Barat</t>
        </is>
      </c>
      <c r="Q30" t="inlineStr"/>
    </row>
    <row r="31">
      <c r="A31" t="inlineStr">
        <is>
          <t>BINTANG ADHI RAJASA</t>
        </is>
      </c>
      <c r="B31" t="inlineStr">
        <is>
          <t>Kota Pekanbaru</t>
        </is>
      </c>
      <c r="C31" t="inlineStr">
        <is>
          <t>081275698888</t>
        </is>
      </c>
      <c r="D31" t="inlineStr">
        <is>
          <t>bintangadhirajasa007@gmail.com</t>
        </is>
      </c>
      <c r="E31" t="inlineStr">
        <is>
          <t>https://lpjk.pu.go.id/search-badan-usaha-detail/MWNMakxicVV6Z2kxVnNsMjRILzVOZz09</t>
        </is>
      </c>
      <c r="F31" t="n">
        <v>4</v>
      </c>
      <c r="G31" t="inlineStr">
        <is>
          <t>BG003</t>
        </is>
      </c>
      <c r="H31" t="inlineStr">
        <is>
          <t>1 September 2020</t>
        </is>
      </c>
      <c r="I31" s="2" t="n">
        <v>46317</v>
      </c>
      <c r="J31" t="inlineStr">
        <is>
          <t>Pembekuan, Pencabutan</t>
        </is>
      </c>
      <c r="K31" t="n">
        <v>30</v>
      </c>
      <c r="L31" t="inlineStr">
        <is>
          <t>22 Oktober 2026</t>
        </is>
      </c>
      <c r="M31" t="inlineStr">
        <is>
          <t>Konstruksi Gedung Industri</t>
        </is>
      </c>
      <c r="N31" t="inlineStr">
        <is>
          <t>K, M</t>
        </is>
      </c>
      <c r="O31" t="inlineStr">
        <is>
          <t>20231018, 20231028</t>
        </is>
      </c>
      <c r="P31" t="inlineStr">
        <is>
          <t>Riau</t>
        </is>
      </c>
      <c r="Q31" t="inlineStr"/>
    </row>
    <row r="32">
      <c r="A32" t="inlineStr">
        <is>
          <t>BINTANG DAFFA FAUZAN</t>
        </is>
      </c>
      <c r="B32" t="inlineStr">
        <is>
          <t>Kab. Tangerang</t>
        </is>
      </c>
      <c r="C32" t="inlineStr">
        <is>
          <t>085772821311</t>
        </is>
      </c>
      <c r="D32" t="inlineStr">
        <is>
          <t>cv.bintangdaffafauzan@gmail.com</t>
        </is>
      </c>
      <c r="E32" t="inlineStr">
        <is>
          <t>https://lpjk.pu.go.id/search-badan-usaha-detail/NUNEQWR6TXJ0bW5OS3RBMDhyQW0vQT09</t>
        </is>
      </c>
      <c r="F32" t="n">
        <v>6</v>
      </c>
      <c r="G32" t="inlineStr">
        <is>
          <t>BG009, BS001, BS004</t>
        </is>
      </c>
      <c r="H32" t="inlineStr">
        <is>
          <t>5 Januari 2023</t>
        </is>
      </c>
      <c r="I32" s="2" t="n">
        <v>46317</v>
      </c>
      <c r="J32" t="inlineStr">
        <is>
          <t>Disetujui</t>
        </is>
      </c>
      <c r="K32" t="n">
        <v>30</v>
      </c>
      <c r="L32" t="inlineStr">
        <is>
          <t>22 Oktober 2026</t>
        </is>
      </c>
      <c r="M32" t="inlineStr">
        <is>
          <t>Konstruksi Bangunan Sipil Jalan, Konstruksi Gedung Lainnya, Konstruksi Jaringan Irigasi dan Drainase</t>
        </is>
      </c>
      <c r="N32" t="inlineStr">
        <is>
          <t>K</t>
        </is>
      </c>
      <c r="O32" t="inlineStr">
        <is>
          <t>20231020</t>
        </is>
      </c>
      <c r="P32" t="inlineStr">
        <is>
          <t>Banten</t>
        </is>
      </c>
      <c r="Q32" t="inlineStr"/>
    </row>
    <row r="33">
      <c r="A33" t="inlineStr">
        <is>
          <t>BUMI BUANA SEMESTA</t>
        </is>
      </c>
      <c r="B33" t="inlineStr">
        <is>
          <t>Kota Bandung</t>
        </is>
      </c>
      <c r="C33" t="inlineStr">
        <is>
          <t>081323131927</t>
        </is>
      </c>
      <c r="D33" t="inlineStr">
        <is>
          <t>buanabumisemesta@gmail.com</t>
        </is>
      </c>
      <c r="E33" t="inlineStr">
        <is>
          <t>https://lpjk.pu.go.id/search-badan-usaha-detail/T3dobHU4NnZLYjFjMUt2clNNVEhkZz09</t>
        </is>
      </c>
      <c r="F33" t="n">
        <v>3</v>
      </c>
      <c r="G33" t="inlineStr">
        <is>
          <t>RK001, RK002, RK003</t>
        </is>
      </c>
      <c r="H33" t="inlineStr">
        <is>
          <t>9 Juni 2023</t>
        </is>
      </c>
      <c r="I33" s="2" t="n">
        <v>46317</v>
      </c>
      <c r="J33" t="inlineStr">
        <is>
          <t>Disetujui</t>
        </is>
      </c>
      <c r="K33" t="n">
        <v>30</v>
      </c>
      <c r="L33" t="inlineStr">
        <is>
          <t>22 Oktober 2026</t>
        </is>
      </c>
      <c r="M33" t="inlineStr">
        <is>
          <t>Jasa Rekayasa Konstruksi Bangunan Gedung Hunian dan Non Hunian, Jasa Rekayasa Pekerjaan Teknik Sipil Sumber Daya Air, Jasa Rekayasa Pekerjaan Teknik Sipil Transportasi</t>
        </is>
      </c>
      <c r="N33" t="inlineStr">
        <is>
          <t>K</t>
        </is>
      </c>
      <c r="O33" t="inlineStr">
        <is>
          <t>20231009</t>
        </is>
      </c>
      <c r="P33" t="inlineStr">
        <is>
          <t>Jawa Barat</t>
        </is>
      </c>
      <c r="Q33" t="inlineStr"/>
    </row>
    <row r="34">
      <c r="A34" t="inlineStr">
        <is>
          <t>BUMI LASINRANG</t>
        </is>
      </c>
      <c r="B34" t="inlineStr">
        <is>
          <t>Kota Samarinda</t>
        </is>
      </c>
      <c r="C34" t="inlineStr">
        <is>
          <t>8115595699</t>
        </is>
      </c>
      <c r="D34" t="inlineStr">
        <is>
          <t>lasinrang_bl@yahoo.com</t>
        </is>
      </c>
      <c r="E34" t="inlineStr">
        <is>
          <t>https://lpjk.pu.go.id/search-badan-usaha-detail/Q0dNbjdmM1NJU1JrZEZldUFOQ01Gdz09</t>
        </is>
      </c>
      <c r="F34" t="n">
        <v>2</v>
      </c>
      <c r="G34" t="inlineStr">
        <is>
          <t>BS001, BS004</t>
        </is>
      </c>
      <c r="H34" t="inlineStr">
        <is>
          <t>18 Desember 2007</t>
        </is>
      </c>
      <c r="I34" s="2" t="n">
        <v>46317</v>
      </c>
      <c r="J34" t="inlineStr">
        <is>
          <t>Permohonan Perubahan Non Asesmen</t>
        </is>
      </c>
      <c r="K34" t="n">
        <v>30</v>
      </c>
      <c r="L34" t="inlineStr">
        <is>
          <t>22 Oktober 2026</t>
        </is>
      </c>
      <c r="M34" t="inlineStr">
        <is>
          <t>Konstruksi Bangunan Sipil Jalan, Konstruksi Jaringan Irigasi dan Drainase</t>
        </is>
      </c>
      <c r="N34" t="inlineStr">
        <is>
          <t>M</t>
        </is>
      </c>
      <c r="O34" t="inlineStr">
        <is>
          <t>20231020, 20231021</t>
        </is>
      </c>
      <c r="P34" t="inlineStr">
        <is>
          <t>Kalimantan Timur</t>
        </is>
      </c>
      <c r="Q34" t="inlineStr"/>
    </row>
    <row r="35">
      <c r="A35" t="inlineStr">
        <is>
          <t>BUMI RAYA</t>
        </is>
      </c>
      <c r="B35" t="inlineStr">
        <is>
          <t>Kota Medan</t>
        </is>
      </c>
      <c r="C35" t="inlineStr">
        <is>
          <t>081262271717</t>
        </is>
      </c>
      <c r="D35" t="inlineStr">
        <is>
          <t>bumi.raya770@gmail.com</t>
        </is>
      </c>
      <c r="E35" t="inlineStr">
        <is>
          <t>https://lpjk.pu.go.id/search-badan-usaha-detail/US95RGNIY2dXQ21JdVlqRndjNFptdz09</t>
        </is>
      </c>
      <c r="F35" t="n">
        <v>1</v>
      </c>
      <c r="G35" t="inlineStr">
        <is>
          <t>IN001</t>
        </is>
      </c>
      <c r="H35" t="inlineStr">
        <is>
          <t>11 Februari 1982</t>
        </is>
      </c>
      <c r="I35" s="2" t="n">
        <v>46317</v>
      </c>
      <c r="J35" t="inlineStr">
        <is>
          <t>Pembekuan</t>
        </is>
      </c>
      <c r="K35" t="n">
        <v>30</v>
      </c>
      <c r="L35" t="inlineStr">
        <is>
          <t>22 Oktober 2026</t>
        </is>
      </c>
      <c r="M35" t="inlineStr">
        <is>
          <t>Instalasi Mekanikal</t>
        </is>
      </c>
      <c r="N35" t="inlineStr">
        <is>
          <t>Spesialis</t>
        </is>
      </c>
      <c r="O35" t="inlineStr">
        <is>
          <t>20231019</t>
        </is>
      </c>
      <c r="P35" t="inlineStr">
        <is>
          <t>Sumatera Utara</t>
        </is>
      </c>
      <c r="Q35" t="inlineStr"/>
    </row>
    <row r="36">
      <c r="A36" t="inlineStr">
        <is>
          <t>CAHAYA MANDIRI</t>
        </is>
      </c>
      <c r="B36" t="inlineStr">
        <is>
          <t>Kota Pontianak</t>
        </is>
      </c>
      <c r="C36" t="inlineStr">
        <is>
          <t>-</t>
        </is>
      </c>
      <c r="D36" t="inlineStr">
        <is>
          <t>cahayamandiri.cv01@yahoo.com</t>
        </is>
      </c>
      <c r="E36" t="inlineStr">
        <is>
          <t>https://lpjk.pu.go.id/search-badan-usaha-detail/UXg5c2p4OUcrbnJqUWpGbEh6UkFTUT09</t>
        </is>
      </c>
      <c r="F36" t="n">
        <v>1</v>
      </c>
      <c r="G36" t="inlineStr">
        <is>
          <t>BG002</t>
        </is>
      </c>
      <c r="H36" t="inlineStr">
        <is>
          <t>1 Desember 2010</t>
        </is>
      </c>
      <c r="I36" s="2" t="n">
        <v>46317</v>
      </c>
      <c r="J36" t="inlineStr">
        <is>
          <t>Disetujui</t>
        </is>
      </c>
      <c r="K36" t="n">
        <v>30</v>
      </c>
      <c r="L36" t="inlineStr">
        <is>
          <t>22 Oktober 2026</t>
        </is>
      </c>
      <c r="M36" t="inlineStr">
        <is>
          <t>Konstruksi Gedung Perkantoran</t>
        </is>
      </c>
      <c r="N36" t="inlineStr">
        <is>
          <t>K</t>
        </is>
      </c>
      <c r="O36" t="inlineStr">
        <is>
          <t>20231019</t>
        </is>
      </c>
      <c r="P36" t="inlineStr">
        <is>
          <t>Kalimantan Barat</t>
        </is>
      </c>
      <c r="Q36" t="inlineStr"/>
    </row>
    <row r="37">
      <c r="A37" t="inlineStr">
        <is>
          <t>CIPTA BANAWA LESTARI</t>
        </is>
      </c>
      <c r="B37" t="inlineStr">
        <is>
          <t>Kab. Donggala</t>
        </is>
      </c>
      <c r="C37" t="inlineStr">
        <is>
          <t>082191901984</t>
        </is>
      </c>
      <c r="D37" t="inlineStr">
        <is>
          <t>cv.ciptabanawalestari@ymail.com</t>
        </is>
      </c>
      <c r="E37" t="inlineStr">
        <is>
          <t>https://lpjk.pu.go.id/search-badan-usaha-detail/S0NrQ1BtYTNqaVAxTXJ5ZTJvZHR5Zz09</t>
        </is>
      </c>
      <c r="F37" t="n">
        <v>2</v>
      </c>
      <c r="G37" t="inlineStr">
        <is>
          <t>BS010</t>
        </is>
      </c>
      <c r="H37" t="inlineStr">
        <is>
          <t>19 Juli 2007</t>
        </is>
      </c>
      <c r="I37" s="2" t="n">
        <v>46317</v>
      </c>
      <c r="J37" t="inlineStr">
        <is>
          <t>Pencabutan</t>
        </is>
      </c>
      <c r="K37" t="n">
        <v>30</v>
      </c>
      <c r="L37" t="inlineStr">
        <is>
          <t>22 Oktober 2026</t>
        </is>
      </c>
      <c r="M37" t="inlineStr">
        <is>
          <t>Konstruksi Bangunan Prasarana Sumber Daya Air</t>
        </is>
      </c>
      <c r="N37" t="inlineStr">
        <is>
          <t>K</t>
        </is>
      </c>
      <c r="O37" t="inlineStr">
        <is>
          <t>20230506</t>
        </is>
      </c>
      <c r="P37" t="inlineStr">
        <is>
          <t>Sulawesi Tengah</t>
        </is>
      </c>
      <c r="Q37" t="inlineStr"/>
    </row>
    <row r="38">
      <c r="A38" t="inlineStr">
        <is>
          <t>CV. ADIL</t>
        </is>
      </c>
      <c r="B38" t="inlineStr">
        <is>
          <t>Kab. Bandung Barat</t>
        </is>
      </c>
      <c r="C38" t="inlineStr">
        <is>
          <t>082126920720</t>
        </is>
      </c>
      <c r="D38" t="inlineStr">
        <is>
          <t>cv.adil.ha23@gmail.com</t>
        </is>
      </c>
      <c r="E38" t="inlineStr">
        <is>
          <t>https://lpjk.pu.go.id/search-badan-usaha-detail/NWhGRUZnTHVGV204SFpUT29aK1NrZz09</t>
        </is>
      </c>
      <c r="F38" t="n">
        <v>2</v>
      </c>
      <c r="G38" t="inlineStr">
        <is>
          <t>BG006</t>
        </is>
      </c>
      <c r="H38" t="inlineStr">
        <is>
          <t>19 September 2012</t>
        </is>
      </c>
      <c r="I38" s="2" t="n">
        <v>46317</v>
      </c>
      <c r="J38" t="inlineStr">
        <is>
          <t>Disetujui</t>
        </is>
      </c>
      <c r="K38" t="n">
        <v>30</v>
      </c>
      <c r="L38" t="inlineStr">
        <is>
          <t>22 Oktober 2026</t>
        </is>
      </c>
      <c r="M38" t="inlineStr">
        <is>
          <t>Konstruksi Gedung Pendidikan</t>
        </is>
      </c>
      <c r="N38" t="inlineStr">
        <is>
          <t>K</t>
        </is>
      </c>
      <c r="O38" t="inlineStr">
        <is>
          <t>20231023</t>
        </is>
      </c>
      <c r="P38" t="inlineStr">
        <is>
          <t>Jawa Barat</t>
        </is>
      </c>
      <c r="Q38" t="inlineStr"/>
    </row>
    <row r="39">
      <c r="A39" t="inlineStr">
        <is>
          <t>DAMAR KARYA ENGINEERING</t>
        </is>
      </c>
      <c r="B39" t="inlineStr">
        <is>
          <t>Kota Bukittinggi</t>
        </is>
      </c>
      <c r="C39" t="inlineStr">
        <is>
          <t>081363337112</t>
        </is>
      </c>
      <c r="D39" t="inlineStr">
        <is>
          <t>mril6030@gmail.com</t>
        </is>
      </c>
      <c r="E39" t="inlineStr">
        <is>
          <t>https://lpjk.pu.go.id/search-badan-usaha-detail/clRGNUUreEZ6SlNuOG81SUlob1pEUT09</t>
        </is>
      </c>
      <c r="F39" t="n">
        <v>4</v>
      </c>
      <c r="G39" t="inlineStr">
        <is>
          <t>RK002, RK003</t>
        </is>
      </c>
      <c r="H39" t="inlineStr">
        <is>
          <t>9 Januari 2012</t>
        </is>
      </c>
      <c r="I39" s="2" t="n">
        <v>46317</v>
      </c>
      <c r="J39" t="inlineStr">
        <is>
          <t>Disetujui</t>
        </is>
      </c>
      <c r="K39" t="n">
        <v>30</v>
      </c>
      <c r="L39" t="inlineStr">
        <is>
          <t>22 Oktober 2026</t>
        </is>
      </c>
      <c r="M39" t="inlineStr">
        <is>
          <t>Jasa Rekayasa Pekerjaan Teknik Sipil Sumber Daya Air, Jasa Rekayasa Pekerjaan Teknik Sipil Transportasi</t>
        </is>
      </c>
      <c r="N39" t="inlineStr">
        <is>
          <t>K</t>
        </is>
      </c>
      <c r="O39" t="inlineStr">
        <is>
          <t>20230919, 20230920</t>
        </is>
      </c>
      <c r="P39" t="inlineStr">
        <is>
          <t>Sumatera Barat</t>
        </is>
      </c>
      <c r="Q39" t="inlineStr"/>
    </row>
    <row r="40">
      <c r="A40" t="inlineStr">
        <is>
          <t>DAYA GUNA REZEKI</t>
        </is>
      </c>
      <c r="B40" t="inlineStr">
        <is>
          <t>Kota Medan</t>
        </is>
      </c>
      <c r="C40" t="inlineStr">
        <is>
          <t>082273556669</t>
        </is>
      </c>
      <c r="D40" t="inlineStr">
        <is>
          <t>ptdayagunarezeki@gmail.com</t>
        </is>
      </c>
      <c r="E40" t="inlineStr">
        <is>
          <t>https://lpjk.pu.go.id/search-badan-usaha-detail/eGJ2aERZWm45eVJEVE43bmd3ZGE4Zz09</t>
        </is>
      </c>
      <c r="F40" t="n">
        <v>1</v>
      </c>
      <c r="G40" t="inlineStr">
        <is>
          <t>IN008</t>
        </is>
      </c>
      <c r="H40" t="inlineStr">
        <is>
          <t>23 November 2021</t>
        </is>
      </c>
      <c r="I40" s="2" t="n">
        <v>46317</v>
      </c>
      <c r="J40" t="inlineStr">
        <is>
          <t>Pembekuan</t>
        </is>
      </c>
      <c r="K40" t="n">
        <v>30</v>
      </c>
      <c r="L40" t="inlineStr">
        <is>
          <t>22 Oktober 2026</t>
        </is>
      </c>
      <c r="M40" t="inlineStr">
        <is>
          <t>Instalasi Pendingin Dan Ventilasi Udara</t>
        </is>
      </c>
      <c r="N40" t="inlineStr">
        <is>
          <t>Spesialis</t>
        </is>
      </c>
      <c r="O40" t="inlineStr">
        <is>
          <t>20231006</t>
        </is>
      </c>
      <c r="P40" t="inlineStr">
        <is>
          <t>Sumatera Utara</t>
        </is>
      </c>
      <c r="Q40" t="inlineStr"/>
    </row>
    <row r="41">
      <c r="A41" t="inlineStr">
        <is>
          <t>DJABAR PUTRA</t>
        </is>
      </c>
      <c r="B41" t="inlineStr">
        <is>
          <t>Kota Bandung</t>
        </is>
      </c>
      <c r="C41" t="inlineStr">
        <is>
          <t>02220535382</t>
        </is>
      </c>
      <c r="D41" t="inlineStr">
        <is>
          <t>cv.putradjabar@gmail.com</t>
        </is>
      </c>
      <c r="E41" t="inlineStr">
        <is>
          <t>https://lpjk.pu.go.id/search-badan-usaha-detail/WnRXSURiU00zWUQrKzc1VExmVlg1dz09</t>
        </is>
      </c>
      <c r="F41" t="n">
        <v>6</v>
      </c>
      <c r="G41" t="inlineStr">
        <is>
          <t>BG005, BG006, BG009, BS001, BS004, BS010</t>
        </is>
      </c>
      <c r="H41" t="inlineStr">
        <is>
          <t>27 Juni 2019</t>
        </is>
      </c>
      <c r="I41" s="2" t="n">
        <v>46317</v>
      </c>
      <c r="J41" t="inlineStr">
        <is>
          <t>Pencabutan</t>
        </is>
      </c>
      <c r="K41" t="n">
        <v>30</v>
      </c>
      <c r="L41" t="inlineStr">
        <is>
          <t>22 Oktober 2026</t>
        </is>
      </c>
      <c r="M41" t="inlineStr">
        <is>
          <t>Konstruksi Bangunan Prasarana Sumber Daya Air, Konstruksi Bangunan Sipil Jalan, Konstruksi Gedung Kesehatan, Konstruksi Gedung Lainnya, Konstruksi Gedung Pendidikan, Konstruksi Jaringan Irigasi dan Drainase</t>
        </is>
      </c>
      <c r="N41" t="inlineStr">
        <is>
          <t>K</t>
        </is>
      </c>
      <c r="O41" t="inlineStr">
        <is>
          <t>20230926</t>
        </is>
      </c>
      <c r="P41" t="inlineStr">
        <is>
          <t>Jawa Barat</t>
        </is>
      </c>
      <c r="Q41" t="inlineStr"/>
    </row>
    <row r="42">
      <c r="A42" t="inlineStr">
        <is>
          <t>DUTA NANGGROE</t>
        </is>
      </c>
      <c r="B42" t="inlineStr">
        <is>
          <t>Kab. Aceh Besar</t>
        </is>
      </c>
      <c r="C42" t="inlineStr">
        <is>
          <t>082237834301</t>
        </is>
      </c>
      <c r="D42" t="inlineStr">
        <is>
          <t>dutananggroe2020@gmail.com</t>
        </is>
      </c>
      <c r="E42" t="inlineStr">
        <is>
          <t>https://lpjk.pu.go.id/search-badan-usaha-detail/SEJWeEpSZWNiRXlJYVZQODVsYzBvQT09</t>
        </is>
      </c>
      <c r="F42" t="n">
        <v>1</v>
      </c>
      <c r="G42" t="inlineStr">
        <is>
          <t>RK002</t>
        </is>
      </c>
      <c r="H42" t="inlineStr">
        <is>
          <t>17 Maret 2010</t>
        </is>
      </c>
      <c r="I42" s="2" t="n">
        <v>46317</v>
      </c>
      <c r="J42" t="inlineStr">
        <is>
          <t>Disetujui</t>
        </is>
      </c>
      <c r="K42" t="n">
        <v>30</v>
      </c>
      <c r="L42" t="inlineStr">
        <is>
          <t>22 Oktober 2026</t>
        </is>
      </c>
      <c r="M42" t="inlineStr">
        <is>
          <t>Jasa Rekayasa Pekerjaan Teknik Sipil Sumber Daya Air</t>
        </is>
      </c>
      <c r="N42" t="inlineStr">
        <is>
          <t>K</t>
        </is>
      </c>
      <c r="O42" t="inlineStr">
        <is>
          <t>20231008</t>
        </is>
      </c>
      <c r="P42" t="inlineStr">
        <is>
          <t>Aceh</t>
        </is>
      </c>
      <c r="Q42" t="inlineStr"/>
    </row>
    <row r="43">
      <c r="A43" t="inlineStr">
        <is>
          <t>ELFA SAFIRA</t>
        </is>
      </c>
      <c r="B43" t="inlineStr">
        <is>
          <t>Kota Medan</t>
        </is>
      </c>
      <c r="C43" t="inlineStr">
        <is>
          <t>082163215022</t>
        </is>
      </c>
      <c r="D43" t="inlineStr">
        <is>
          <t>elfa.safira88@gmail.com</t>
        </is>
      </c>
      <c r="E43" t="inlineStr">
        <is>
          <t>https://lpjk.pu.go.id/search-badan-usaha-detail/ckFFbWZzT2lqRk9WeE9rL0didnBFQT09</t>
        </is>
      </c>
      <c r="F43" t="n">
        <v>1</v>
      </c>
      <c r="G43" t="inlineStr">
        <is>
          <t>BS001</t>
        </is>
      </c>
      <c r="H43" t="inlineStr">
        <is>
          <t>14 Desember 1998</t>
        </is>
      </c>
      <c r="I43" s="2" t="n">
        <v>46317</v>
      </c>
      <c r="J43" t="inlineStr">
        <is>
          <t>Disetujui</t>
        </is>
      </c>
      <c r="K43" t="n">
        <v>30</v>
      </c>
      <c r="L43" t="inlineStr">
        <is>
          <t>22 Oktober 2026</t>
        </is>
      </c>
      <c r="M43" t="inlineStr">
        <is>
          <t>Konstruksi Bangunan Sipil Jalan</t>
        </is>
      </c>
      <c r="N43" t="inlineStr">
        <is>
          <t>K</t>
        </is>
      </c>
      <c r="O43" t="inlineStr">
        <is>
          <t>20231021</t>
        </is>
      </c>
      <c r="P43" t="inlineStr">
        <is>
          <t>Sumatera Utara</t>
        </is>
      </c>
      <c r="Q43" t="inlineStr"/>
    </row>
    <row r="44">
      <c r="A44" t="inlineStr">
        <is>
          <t>EMPAT SEKION GROUP</t>
        </is>
      </c>
      <c r="B44" t="inlineStr">
        <is>
          <t>Kota Langsa</t>
        </is>
      </c>
      <c r="C44" t="inlineStr">
        <is>
          <t>085260122690</t>
        </is>
      </c>
      <c r="D44" t="inlineStr">
        <is>
          <t>cv.empatsekiongroup@gmail.com</t>
        </is>
      </c>
      <c r="E44" t="inlineStr">
        <is>
          <t>https://lpjk.pu.go.id/search-badan-usaha-detail/T2tJR2VGc1JzTUFwZkFxbGFCSy9BZz09</t>
        </is>
      </c>
      <c r="F44" t="n">
        <v>5</v>
      </c>
      <c r="G44" t="inlineStr">
        <is>
          <t>BG002, BG005, BG006, BG009, BS001</t>
        </is>
      </c>
      <c r="H44" t="inlineStr">
        <is>
          <t>27 September 2023</t>
        </is>
      </c>
      <c r="I44" s="2" t="n">
        <v>46317</v>
      </c>
      <c r="J44" t="inlineStr">
        <is>
          <t>Disetujui</t>
        </is>
      </c>
      <c r="K44" t="n">
        <v>30</v>
      </c>
      <c r="L44" t="inlineStr">
        <is>
          <t>22 Oktober 2026</t>
        </is>
      </c>
      <c r="M44" t="inlineStr">
        <is>
          <t>Konstruksi Bangunan Sipil Jalan, Konstruksi Gedung Kesehatan, Konstruksi Gedung Lainnya, Konstruksi Gedung Pendidikan, Konstruksi Gedung Perkantoran</t>
        </is>
      </c>
      <c r="N44" t="inlineStr">
        <is>
          <t>K</t>
        </is>
      </c>
      <c r="O44" t="inlineStr">
        <is>
          <t>20231018</t>
        </is>
      </c>
      <c r="P44" t="inlineStr">
        <is>
          <t>Aceh</t>
        </is>
      </c>
      <c r="Q44" t="inlineStr"/>
    </row>
    <row r="45">
      <c r="A45" t="inlineStr">
        <is>
          <t>ETA NUSA SEJAHTERA</t>
        </is>
      </c>
      <c r="B45" t="inlineStr">
        <is>
          <t>Kab. Gowa</t>
        </is>
      </c>
      <c r="C45" t="inlineStr">
        <is>
          <t>085394797689</t>
        </is>
      </c>
      <c r="D45" t="inlineStr">
        <is>
          <t>eta.nusa.sejahtera@gmail.com</t>
        </is>
      </c>
      <c r="E45" t="inlineStr">
        <is>
          <t>https://lpjk.pu.go.id/search-badan-usaha-detail/VGJTMURWcnB0a0VnMEdtWmxGMFcrUT09</t>
        </is>
      </c>
      <c r="F45" t="n">
        <v>3</v>
      </c>
      <c r="G45" t="inlineStr">
        <is>
          <t>BG005, BG006, BG009</t>
        </is>
      </c>
      <c r="H45" t="inlineStr">
        <is>
          <t>22 Maret 2018</t>
        </is>
      </c>
      <c r="I45" s="2" t="n">
        <v>46317</v>
      </c>
      <c r="J45" t="inlineStr">
        <is>
          <t>Disetujui</t>
        </is>
      </c>
      <c r="K45" t="n">
        <v>30</v>
      </c>
      <c r="L45" t="inlineStr">
        <is>
          <t>22 Oktober 2026</t>
        </is>
      </c>
      <c r="M45" t="inlineStr">
        <is>
          <t>Konstruksi Gedung Kesehatan, Konstruksi Gedung Lainnya, Konstruksi Gedung Pendidikan</t>
        </is>
      </c>
      <c r="N45" t="inlineStr">
        <is>
          <t>K</t>
        </is>
      </c>
      <c r="O45" t="inlineStr">
        <is>
          <t>20231023</t>
        </is>
      </c>
      <c r="P45" t="inlineStr">
        <is>
          <t>Sulawesi Selatan</t>
        </is>
      </c>
      <c r="Q45" t="inlineStr"/>
    </row>
    <row r="46">
      <c r="A46" t="inlineStr">
        <is>
          <t>FAEYZA RIZKI ABBASY</t>
        </is>
      </c>
      <c r="B46" t="inlineStr">
        <is>
          <t>Kota Cilegon</t>
        </is>
      </c>
      <c r="C46" t="inlineStr">
        <is>
          <t>083192333904</t>
        </is>
      </c>
      <c r="D46" t="inlineStr">
        <is>
          <t>faeyzaabbasy2022@gmail.com</t>
        </is>
      </c>
      <c r="E46" t="inlineStr">
        <is>
          <t>https://lpjk.pu.go.id/search-badan-usaha-detail/ckhjdk5TMzk2MmZLb3hMWFdUaVNVdz09</t>
        </is>
      </c>
      <c r="F46" t="n">
        <v>1</v>
      </c>
      <c r="G46" t="inlineStr">
        <is>
          <t>BS001</t>
        </is>
      </c>
      <c r="H46" t="inlineStr">
        <is>
          <t>31 Mei 2022</t>
        </is>
      </c>
      <c r="I46" s="2" t="n">
        <v>46317</v>
      </c>
      <c r="J46" t="inlineStr">
        <is>
          <t>Pencabutan</t>
        </is>
      </c>
      <c r="K46" t="n">
        <v>30</v>
      </c>
      <c r="L46" t="inlineStr">
        <is>
          <t>22 Oktober 2026</t>
        </is>
      </c>
      <c r="M46" t="inlineStr">
        <is>
          <t>Konstruksi Bangunan Sipil Jalan</t>
        </is>
      </c>
      <c r="N46" t="inlineStr">
        <is>
          <t>K</t>
        </is>
      </c>
      <c r="O46" t="inlineStr">
        <is>
          <t>20230524</t>
        </is>
      </c>
      <c r="P46" t="inlineStr">
        <is>
          <t>Banten</t>
        </is>
      </c>
      <c r="Q46" t="inlineStr"/>
    </row>
    <row r="47">
      <c r="A47" t="inlineStr">
        <is>
          <t>GALANG JAYA ABADI</t>
        </is>
      </c>
      <c r="B47" t="inlineStr">
        <is>
          <t>Kota Mataram</t>
        </is>
      </c>
      <c r="C47" t="inlineStr">
        <is>
          <t>087864547689</t>
        </is>
      </c>
      <c r="D47" t="inlineStr">
        <is>
          <t>Suardanap42@gmail.com</t>
        </is>
      </c>
      <c r="E47" t="inlineStr">
        <is>
          <t>https://lpjk.pu.go.id/search-badan-usaha-detail/SDJ1SGRTUSsrYklqTkk5Mnc1Vk5oUT09</t>
        </is>
      </c>
      <c r="F47" t="n">
        <v>1</v>
      </c>
      <c r="G47" t="inlineStr">
        <is>
          <t>BG006</t>
        </is>
      </c>
      <c r="H47" t="inlineStr">
        <is>
          <t>12 Februari 2020</t>
        </is>
      </c>
      <c r="I47" s="2" t="n">
        <v>46317</v>
      </c>
      <c r="J47" t="inlineStr">
        <is>
          <t>Disetujui</t>
        </is>
      </c>
      <c r="K47" t="n">
        <v>30</v>
      </c>
      <c r="L47" t="inlineStr">
        <is>
          <t>22 Oktober 2026</t>
        </is>
      </c>
      <c r="M47" t="inlineStr">
        <is>
          <t>Konstruksi Gedung Pendidikan</t>
        </is>
      </c>
      <c r="N47" t="inlineStr">
        <is>
          <t>K</t>
        </is>
      </c>
      <c r="O47" t="inlineStr">
        <is>
          <t>20231013</t>
        </is>
      </c>
      <c r="P47" t="inlineStr">
        <is>
          <t>Nusa Tenggara Barat</t>
        </is>
      </c>
      <c r="Q47" t="inlineStr"/>
    </row>
    <row r="48">
      <c r="A48" t="inlineStr">
        <is>
          <t>GAMA REKAN AGUNG</t>
        </is>
      </c>
      <c r="B48" t="inlineStr">
        <is>
          <t>Kab. Banyumas</t>
        </is>
      </c>
      <c r="C48" t="inlineStr">
        <is>
          <t>085227639499</t>
        </is>
      </c>
      <c r="D48" t="inlineStr">
        <is>
          <t>gamarekan.agung@gmail.com</t>
        </is>
      </c>
      <c r="E48" t="inlineStr">
        <is>
          <t>https://lpjk.pu.go.id/search-badan-usaha-detail/b1FWRGNxZEFSbmJ5Q1A3Uit1Uks2UT09</t>
        </is>
      </c>
      <c r="F48" t="n">
        <v>3</v>
      </c>
      <c r="G48" t="inlineStr">
        <is>
          <t>BG006, BS001, BS004</t>
        </is>
      </c>
      <c r="H48" t="inlineStr">
        <is>
          <t>16 Januari 2008</t>
        </is>
      </c>
      <c r="I48" s="2" t="n">
        <v>46317</v>
      </c>
      <c r="J48" t="inlineStr">
        <is>
          <t>Disetujui</t>
        </is>
      </c>
      <c r="K48" t="n">
        <v>30</v>
      </c>
      <c r="L48" t="inlineStr">
        <is>
          <t>22 Oktober 2026</t>
        </is>
      </c>
      <c r="M48" t="inlineStr">
        <is>
          <t>Konstruksi Bangunan Sipil Jalan, Konstruksi Gedung Pendidikan, Konstruksi Jaringan Irigasi dan Drainase</t>
        </is>
      </c>
      <c r="N48" t="inlineStr">
        <is>
          <t>K</t>
        </is>
      </c>
      <c r="O48" t="inlineStr">
        <is>
          <t>20231018</t>
        </is>
      </c>
      <c r="P48" t="inlineStr">
        <is>
          <t>Jawa Tengah</t>
        </is>
      </c>
      <c r="Q48" t="inlineStr"/>
    </row>
    <row r="49">
      <c r="A49" t="inlineStr">
        <is>
          <t>GHAUTH KHAASHIF IZAAN</t>
        </is>
      </c>
      <c r="B49" t="inlineStr">
        <is>
          <t>Kab. Ciamis</t>
        </is>
      </c>
      <c r="C49" t="inlineStr">
        <is>
          <t>082217321999</t>
        </is>
      </c>
      <c r="D49" t="inlineStr">
        <is>
          <t>khaasifghauth@gmail.com</t>
        </is>
      </c>
      <c r="E49" t="inlineStr">
        <is>
          <t>https://lpjk.pu.go.id/search-badan-usaha-detail/d2NheHZsMnNKMmxNSm5iT2M1SVBRQT09</t>
        </is>
      </c>
      <c r="F49" t="n">
        <v>1</v>
      </c>
      <c r="G49" t="inlineStr">
        <is>
          <t>BS001</t>
        </is>
      </c>
      <c r="H49" t="inlineStr">
        <is>
          <t>12 Oktober 2023</t>
        </is>
      </c>
      <c r="I49" s="2" t="n">
        <v>46317</v>
      </c>
      <c r="J49" t="inlineStr">
        <is>
          <t>Disetujui</t>
        </is>
      </c>
      <c r="K49" t="n">
        <v>30</v>
      </c>
      <c r="L49" t="inlineStr">
        <is>
          <t>22 Oktober 2026</t>
        </is>
      </c>
      <c r="M49" t="inlineStr">
        <is>
          <t>Konstruksi Bangunan Sipil Jalan</t>
        </is>
      </c>
      <c r="N49" t="inlineStr">
        <is>
          <t>K</t>
        </is>
      </c>
      <c r="O49" t="inlineStr">
        <is>
          <t>20231018</t>
        </is>
      </c>
      <c r="P49" t="inlineStr">
        <is>
          <t>Jawa Barat</t>
        </is>
      </c>
      <c r="Q49" t="inlineStr"/>
    </row>
    <row r="50">
      <c r="A50" t="inlineStr">
        <is>
          <t>GIANT KARYA GROUP</t>
        </is>
      </c>
      <c r="B50" t="inlineStr">
        <is>
          <t>Kab. Wonosobo</t>
        </is>
      </c>
      <c r="C50" t="inlineStr">
        <is>
          <t>02863325154</t>
        </is>
      </c>
      <c r="D50" t="inlineStr">
        <is>
          <t>giant.karyagroup@gmail.com</t>
        </is>
      </c>
      <c r="E50" t="inlineStr">
        <is>
          <t>https://lpjk.pu.go.id/search-badan-usaha-detail/UWV1Z2RQWVJZL1RENWZ4TG55UFYwUT09</t>
        </is>
      </c>
      <c r="F50" t="n">
        <v>4</v>
      </c>
      <c r="G50" t="inlineStr">
        <is>
          <t>BG005, BG006, BG009, BS001</t>
        </is>
      </c>
      <c r="H50" t="inlineStr">
        <is>
          <t>11 Februari 2016</t>
        </is>
      </c>
      <c r="I50" s="2" t="n">
        <v>46317</v>
      </c>
      <c r="J50" t="inlineStr">
        <is>
          <t>Disetujui</t>
        </is>
      </c>
      <c r="K50" t="n">
        <v>30</v>
      </c>
      <c r="L50" t="inlineStr">
        <is>
          <t>22 Oktober 2026</t>
        </is>
      </c>
      <c r="M50" t="inlineStr">
        <is>
          <t>Konstruksi Bangunan Sipil Jalan, Konstruksi Gedung Kesehatan, Konstruksi Gedung Lainnya, Konstruksi Gedung Pendidikan</t>
        </is>
      </c>
      <c r="N50" t="inlineStr">
        <is>
          <t>K</t>
        </is>
      </c>
      <c r="O50" t="inlineStr">
        <is>
          <t>20231018</t>
        </is>
      </c>
      <c r="P50" t="inlineStr">
        <is>
          <t>Jawa Tengah</t>
        </is>
      </c>
      <c r="Q50" t="inlineStr"/>
    </row>
    <row r="51">
      <c r="A51" t="inlineStr">
        <is>
          <t>GIZA</t>
        </is>
      </c>
      <c r="B51" t="inlineStr">
        <is>
          <t>Kab. Bojonegoro</t>
        </is>
      </c>
      <c r="C51" t="inlineStr">
        <is>
          <t>08123440557</t>
        </is>
      </c>
      <c r="D51" t="inlineStr">
        <is>
          <t>cv_giza@yahoo.co.id</t>
        </is>
      </c>
      <c r="E51" t="inlineStr">
        <is>
          <t>https://lpjk.pu.go.id/search-badan-usaha-detail/RE1yQWdjY1A4d2J5dW54eVIwdDNqZz09</t>
        </is>
      </c>
      <c r="F51" t="n">
        <v>3</v>
      </c>
      <c r="G51" t="inlineStr">
        <is>
          <t>BG001, BG004, BG006</t>
        </is>
      </c>
      <c r="H51" t="inlineStr">
        <is>
          <t>16 November 2001</t>
        </is>
      </c>
      <c r="I51" s="2" t="n">
        <v>46317</v>
      </c>
      <c r="J51" t="inlineStr">
        <is>
          <t>Disetujui</t>
        </is>
      </c>
      <c r="K51" t="n">
        <v>30</v>
      </c>
      <c r="L51" t="inlineStr">
        <is>
          <t>22 Oktober 2026</t>
        </is>
      </c>
      <c r="M51" t="inlineStr">
        <is>
          <t>Konstruksi Gedung Hunian, Konstruksi Gedung Pendidikan, Konstruksi Gedung Perbelanjaan</t>
        </is>
      </c>
      <c r="N51" t="inlineStr">
        <is>
          <t>K</t>
        </is>
      </c>
      <c r="O51" t="inlineStr">
        <is>
          <t>20231018</t>
        </is>
      </c>
      <c r="P51" t="inlineStr">
        <is>
          <t>Jawa Timur</t>
        </is>
      </c>
      <c r="Q51" t="inlineStr"/>
    </row>
    <row r="52">
      <c r="A52" t="inlineStr">
        <is>
          <t>GRAND ABADI GEMILANG</t>
        </is>
      </c>
      <c r="B52" t="inlineStr">
        <is>
          <t>Kab. Maros</t>
        </is>
      </c>
      <c r="C52" t="inlineStr">
        <is>
          <t>081242800767</t>
        </is>
      </c>
      <c r="D52" t="inlineStr">
        <is>
          <t>cv.grandabadigemilang77@gmail.com</t>
        </is>
      </c>
      <c r="E52" t="inlineStr">
        <is>
          <t>https://lpjk.pu.go.id/search-badan-usaha-detail/d2NieGVLM1NUOWdLYzMva0lmWkJRZz09</t>
        </is>
      </c>
      <c r="F52" t="n">
        <v>1</v>
      </c>
      <c r="G52" t="inlineStr">
        <is>
          <t>BG008</t>
        </is>
      </c>
      <c r="H52" t="inlineStr">
        <is>
          <t>3 Februari 2023</t>
        </is>
      </c>
      <c r="I52" s="2" t="n">
        <v>46317</v>
      </c>
      <c r="J52" t="inlineStr">
        <is>
          <t>Disetujui</t>
        </is>
      </c>
      <c r="K52" t="n">
        <v>30</v>
      </c>
      <c r="L52" t="inlineStr">
        <is>
          <t>22 Oktober 2026</t>
        </is>
      </c>
      <c r="M52" t="inlineStr">
        <is>
          <t>Konstruksi Gedung Tempat Hiburan dan Olahraga</t>
        </is>
      </c>
      <c r="N52" t="inlineStr">
        <is>
          <t>K</t>
        </is>
      </c>
      <c r="O52" t="inlineStr">
        <is>
          <t>20231020</t>
        </is>
      </c>
      <c r="P52" t="inlineStr">
        <is>
          <t>Sulawesi Selatan</t>
        </is>
      </c>
      <c r="Q52" t="inlineStr"/>
    </row>
    <row r="53">
      <c r="A53" t="inlineStr">
        <is>
          <t>HIKMAH FAJAR</t>
        </is>
      </c>
      <c r="B53" t="inlineStr">
        <is>
          <t>Kota Balikpapan</t>
        </is>
      </c>
      <c r="C53" t="inlineStr">
        <is>
          <t>0542-8504390</t>
        </is>
      </c>
      <c r="D53" t="inlineStr">
        <is>
          <t>hikmahfajar140@gmail.com</t>
        </is>
      </c>
      <c r="E53" t="inlineStr">
        <is>
          <t>https://lpjk.pu.go.id/search-badan-usaha-detail/TXA2bGJQVXdJUjloaGdnRCtuY05jQT09</t>
        </is>
      </c>
      <c r="F53" t="n">
        <v>6</v>
      </c>
      <c r="G53" t="inlineStr">
        <is>
          <t>BG006, BS001, BS004</t>
        </is>
      </c>
      <c r="H53" t="inlineStr">
        <is>
          <t>7 Juni 2002</t>
        </is>
      </c>
      <c r="I53" s="2" t="n">
        <v>46317</v>
      </c>
      <c r="J53" t="inlineStr">
        <is>
          <t>Disetujui</t>
        </is>
      </c>
      <c r="K53" t="n">
        <v>30</v>
      </c>
      <c r="L53" t="inlineStr">
        <is>
          <t>22 Oktober 2026</t>
        </is>
      </c>
      <c r="M53" t="inlineStr">
        <is>
          <t>Konstruksi Bangunan Sipil Jalan, Konstruksi Gedung Pendidikan, Konstruksi Jaringan Irigasi dan Drainase</t>
        </is>
      </c>
      <c r="N53" t="inlineStr">
        <is>
          <t>K</t>
        </is>
      </c>
      <c r="O53" t="inlineStr">
        <is>
          <t>20231017</t>
        </is>
      </c>
      <c r="P53" t="inlineStr">
        <is>
          <t>Kalimantan Timur</t>
        </is>
      </c>
      <c r="Q53" t="inlineStr"/>
    </row>
    <row r="54">
      <c r="A54" t="inlineStr">
        <is>
          <t>HITAM PUTIH ARSITEKTUR</t>
        </is>
      </c>
      <c r="B54" t="inlineStr">
        <is>
          <t>Kab. Lebak</t>
        </is>
      </c>
      <c r="C54" t="inlineStr">
        <is>
          <t>081911109371</t>
        </is>
      </c>
      <c r="D54" t="inlineStr">
        <is>
          <t>putihhitamcv@gmail.com</t>
        </is>
      </c>
      <c r="E54" t="inlineStr">
        <is>
          <t>https://lpjk.pu.go.id/search-badan-usaha-detail/cEpHR09Pb0loZ3JYblhmUHpLVEpKdz09</t>
        </is>
      </c>
      <c r="F54" t="n">
        <v>2</v>
      </c>
      <c r="G54" t="inlineStr">
        <is>
          <t>RK001, RK003</t>
        </is>
      </c>
      <c r="H54" t="inlineStr">
        <is>
          <t>2 Januari 2023</t>
        </is>
      </c>
      <c r="I54" s="2" t="n">
        <v>46317</v>
      </c>
      <c r="J54" t="inlineStr">
        <is>
          <t>Disetujui</t>
        </is>
      </c>
      <c r="K54" t="n">
        <v>30</v>
      </c>
      <c r="L54" t="inlineStr">
        <is>
          <t>22 Oktober 2026</t>
        </is>
      </c>
      <c r="M54" t="inlineStr">
        <is>
          <t>Jasa Rekayasa Konstruksi Bangunan Gedung Hunian dan Non Hunian, Jasa Rekayasa Pekerjaan Teknik Sipil Transportasi</t>
        </is>
      </c>
      <c r="N54" t="inlineStr">
        <is>
          <t>K</t>
        </is>
      </c>
      <c r="O54" t="inlineStr">
        <is>
          <t>20230921</t>
        </is>
      </c>
      <c r="P54" t="inlineStr">
        <is>
          <t>Banten</t>
        </is>
      </c>
      <c r="Q54" t="inlineStr"/>
    </row>
    <row r="55">
      <c r="A55" t="inlineStr">
        <is>
          <t>INDI KARYA</t>
        </is>
      </c>
      <c r="B55" t="inlineStr">
        <is>
          <t>Kota Makassar</t>
        </is>
      </c>
      <c r="C55" t="inlineStr">
        <is>
          <t>08124345450</t>
        </is>
      </c>
      <c r="D55" t="inlineStr">
        <is>
          <t>cvindikarya@gmail.com</t>
        </is>
      </c>
      <c r="E55" t="inlineStr">
        <is>
          <t>https://lpjk.pu.go.id/search-badan-usaha-detail/UzNqempxWkRtTk1WMTR4Um1sdEQ0dz09</t>
        </is>
      </c>
      <c r="F55" t="n">
        <v>7</v>
      </c>
      <c r="G55" t="inlineStr">
        <is>
          <t>BG001, BG002, BG005, BG006, BG009, BS001, BS004</t>
        </is>
      </c>
      <c r="H55" t="inlineStr">
        <is>
          <t>10 April 2002</t>
        </is>
      </c>
      <c r="I55" s="2" t="n">
        <v>46317</v>
      </c>
      <c r="J55" t="inlineStr">
        <is>
          <t>Disetujui</t>
        </is>
      </c>
      <c r="K55" t="n">
        <v>30</v>
      </c>
      <c r="L55" t="inlineStr">
        <is>
          <t>22 Oktober 2026</t>
        </is>
      </c>
      <c r="M55" t="inlineStr">
        <is>
          <t>Konstruksi Bangunan Sipil Jalan, Konstruksi Gedung Hunian, Konstruksi Gedung Kesehatan, Konstruksi Gedung Lainnya, Konstruksi Gedung Pendidikan, Konstruksi Gedung Perkantoran, Konstruksi Jaringan Irigasi dan Drainase</t>
        </is>
      </c>
      <c r="N55" t="inlineStr">
        <is>
          <t>K</t>
        </is>
      </c>
      <c r="O55" t="inlineStr">
        <is>
          <t>20231017</t>
        </is>
      </c>
      <c r="P55" t="inlineStr">
        <is>
          <t>Sulawesi Selatan</t>
        </is>
      </c>
      <c r="Q55" t="inlineStr"/>
    </row>
    <row r="56">
      <c r="A56" t="inlineStr">
        <is>
          <t>JATI HELAU KONSULTAN</t>
        </is>
      </c>
      <c r="B56" t="inlineStr">
        <is>
          <t>Kota Bandar Lampung</t>
        </is>
      </c>
      <c r="C56" t="inlineStr">
        <is>
          <t>0721251259</t>
        </is>
      </c>
      <c r="D56" t="inlineStr">
        <is>
          <t>ahmadfahri.lampung@yahoo.com</t>
        </is>
      </c>
      <c r="E56" t="inlineStr">
        <is>
          <t>https://lpjk.pu.go.id/search-badan-usaha-detail/VWdCb1JrWFFIWElwclhjT1BPanJjdz09</t>
        </is>
      </c>
      <c r="F56" t="n">
        <v>1</v>
      </c>
      <c r="G56" t="inlineStr">
        <is>
          <t>RK002</t>
        </is>
      </c>
      <c r="H56" t="inlineStr">
        <is>
          <t>4 April 2023</t>
        </is>
      </c>
      <c r="I56" s="2" t="n">
        <v>46317</v>
      </c>
      <c r="J56" t="inlineStr">
        <is>
          <t>Disetujui</t>
        </is>
      </c>
      <c r="K56" t="n">
        <v>30</v>
      </c>
      <c r="L56" t="inlineStr">
        <is>
          <t>22 Oktober 2026</t>
        </is>
      </c>
      <c r="M56" t="inlineStr">
        <is>
          <t>Jasa Rekayasa Pekerjaan Teknik Sipil Sumber Daya Air</t>
        </is>
      </c>
      <c r="N56" t="inlineStr">
        <is>
          <t>K</t>
        </is>
      </c>
      <c r="O56" t="inlineStr">
        <is>
          <t>20231010</t>
        </is>
      </c>
      <c r="P56" t="inlineStr">
        <is>
          <t>Lampung</t>
        </is>
      </c>
      <c r="Q56" t="inlineStr"/>
    </row>
    <row r="57">
      <c r="A57" t="inlineStr">
        <is>
          <t>KALIOMBO JAYA</t>
        </is>
      </c>
      <c r="B57" t="inlineStr">
        <is>
          <t>Kab. Bojonegoro</t>
        </is>
      </c>
      <c r="C57" t="inlineStr">
        <is>
          <t>081232423939</t>
        </is>
      </c>
      <c r="D57" t="inlineStr">
        <is>
          <t>baharudinahyar.legalmp@gmail.com</t>
        </is>
      </c>
      <c r="E57" t="inlineStr">
        <is>
          <t>https://lpjk.pu.go.id/search-badan-usaha-detail/QVBIWXZVVGtjczhCVlFwWVdYNzh6Zz09</t>
        </is>
      </c>
      <c r="F57" t="n">
        <v>3</v>
      </c>
      <c r="G57" t="inlineStr">
        <is>
          <t>BS001, BS002, BS010</t>
        </is>
      </c>
      <c r="H57" t="inlineStr">
        <is>
          <t>5 September 2023</t>
        </is>
      </c>
      <c r="I57" s="2" t="n">
        <v>46317</v>
      </c>
      <c r="J57" t="inlineStr">
        <is>
          <t>Disetujui</t>
        </is>
      </c>
      <c r="K57" t="n">
        <v>30</v>
      </c>
      <c r="L57" t="inlineStr">
        <is>
          <t>22 Oktober 2026</t>
        </is>
      </c>
      <c r="M57" t="inlineStr">
        <is>
          <t>Bangunan Sipil Jembatan, Jalan Layang, Fly Over, dan Underpass, Konstruksi Bangunan Prasarana Sumber Daya Air, Konstruksi Bangunan Sipil Jalan</t>
        </is>
      </c>
      <c r="N57" t="inlineStr">
        <is>
          <t>K</t>
        </is>
      </c>
      <c r="O57" t="inlineStr">
        <is>
          <t>20231021</t>
        </is>
      </c>
      <c r="P57" t="inlineStr">
        <is>
          <t>Jawa Timur</t>
        </is>
      </c>
      <c r="Q57" t="inlineStr"/>
    </row>
    <row r="58">
      <c r="A58" t="inlineStr">
        <is>
          <t>KARYA AKTUAL</t>
        </is>
      </c>
      <c r="B58" t="inlineStr">
        <is>
          <t>Kota Padang</t>
        </is>
      </c>
      <c r="C58" t="inlineStr">
        <is>
          <t>0811161645</t>
        </is>
      </c>
      <c r="D58" t="inlineStr">
        <is>
          <t>ptkaryaaktual@gmail.com</t>
        </is>
      </c>
      <c r="E58" t="inlineStr">
        <is>
          <t>https://lpjk.pu.go.id/search-badan-usaha-detail/RVU3NlFUUWxyQ25PQTM4THlka2JJUT09</t>
        </is>
      </c>
      <c r="F58" t="n">
        <v>2</v>
      </c>
      <c r="G58" t="inlineStr">
        <is>
          <t>BS002, BS003</t>
        </is>
      </c>
      <c r="H58" t="inlineStr">
        <is>
          <t>14 Maret 2012</t>
        </is>
      </c>
      <c r="I58" s="2" t="n">
        <v>46317</v>
      </c>
      <c r="J58" t="inlineStr">
        <is>
          <t>Disetujui, Pembekuan</t>
        </is>
      </c>
      <c r="K58" t="n">
        <v>30</v>
      </c>
      <c r="L58" t="inlineStr">
        <is>
          <t>22 Oktober 2026</t>
        </is>
      </c>
      <c r="M58" t="inlineStr">
        <is>
          <t>Bangunan Sipil Jembatan, Jalan Layang, Fly Over, dan Underpass, Konstruksi Jalan Rel</t>
        </is>
      </c>
      <c r="N58" t="inlineStr">
        <is>
          <t>K, M</t>
        </is>
      </c>
      <c r="O58" t="inlineStr">
        <is>
          <t>20231020, 20231024</t>
        </is>
      </c>
      <c r="P58" t="inlineStr">
        <is>
          <t>Sumatera Barat</t>
        </is>
      </c>
      <c r="Q58" t="inlineStr"/>
    </row>
    <row r="59">
      <c r="A59" t="inlineStr">
        <is>
          <t>KARYA DESARI</t>
        </is>
      </c>
      <c r="B59" t="inlineStr">
        <is>
          <t>Kab. Balangan</t>
        </is>
      </c>
      <c r="C59" t="inlineStr">
        <is>
          <t>082365890253</t>
        </is>
      </c>
      <c r="D59" t="inlineStr">
        <is>
          <t>karyadesari@gmail.com</t>
        </is>
      </c>
      <c r="E59" t="inlineStr">
        <is>
          <t>https://lpjk.pu.go.id/search-badan-usaha-detail/Q0NNTGVyMXlFSlNYaGlrb0l0aXVqQT09</t>
        </is>
      </c>
      <c r="F59" t="n">
        <v>3</v>
      </c>
      <c r="G59" t="inlineStr">
        <is>
          <t>RK001, RK002, RK003</t>
        </is>
      </c>
      <c r="H59" t="inlineStr">
        <is>
          <t>14 Februari 2023</t>
        </is>
      </c>
      <c r="I59" s="2" t="n">
        <v>46317</v>
      </c>
      <c r="J59" t="inlineStr">
        <is>
          <t>Disetujui</t>
        </is>
      </c>
      <c r="K59" t="n">
        <v>30</v>
      </c>
      <c r="L59" t="inlineStr">
        <is>
          <t>22 Oktober 2026</t>
        </is>
      </c>
      <c r="M59" t="inlineStr">
        <is>
          <t>Jasa Rekayasa Konstruksi Bangunan Gedung Hunian dan Non Hunian, Jasa Rekayasa Pekerjaan Teknik Sipil Sumber Daya Air, Jasa Rekayasa Pekerjaan Teknik Sipil Transportasi</t>
        </is>
      </c>
      <c r="N59" t="inlineStr">
        <is>
          <t>K</t>
        </is>
      </c>
      <c r="O59" t="inlineStr">
        <is>
          <t>20231016</t>
        </is>
      </c>
      <c r="P59" t="inlineStr">
        <is>
          <t>Kalimantan Selatan</t>
        </is>
      </c>
      <c r="Q59" t="inlineStr"/>
    </row>
    <row r="60">
      <c r="A60" t="inlineStr">
        <is>
          <t>KARYA INDAH LESTARI</t>
        </is>
      </c>
      <c r="B60" t="inlineStr">
        <is>
          <t>Kab. Tanah Bumbu</t>
        </is>
      </c>
      <c r="C60" t="inlineStr">
        <is>
          <t>082155091044</t>
        </is>
      </c>
      <c r="D60" t="inlineStr">
        <is>
          <t>karyaindahlestari631@gmail.com</t>
        </is>
      </c>
      <c r="E60" t="inlineStr">
        <is>
          <t>https://lpjk.pu.go.id/search-badan-usaha-detail/Y2pWbExOVHBqcis4S1RsWWVHK04zQT09</t>
        </is>
      </c>
      <c r="F60" t="n">
        <v>1</v>
      </c>
      <c r="G60" t="inlineStr">
        <is>
          <t>BG009</t>
        </is>
      </c>
      <c r="H60" t="inlineStr">
        <is>
          <t>31 Mei 2013</t>
        </is>
      </c>
      <c r="I60" s="2" t="n">
        <v>46317</v>
      </c>
      <c r="J60" t="inlineStr">
        <is>
          <t>Disetujui</t>
        </is>
      </c>
      <c r="K60" t="n">
        <v>30</v>
      </c>
      <c r="L60" t="inlineStr">
        <is>
          <t>22 Oktober 2026</t>
        </is>
      </c>
      <c r="M60" t="inlineStr">
        <is>
          <t>Konstruksi Gedung Lainnya</t>
        </is>
      </c>
      <c r="N60" t="inlineStr">
        <is>
          <t>K</t>
        </is>
      </c>
      <c r="O60" t="inlineStr">
        <is>
          <t>20231019</t>
        </is>
      </c>
      <c r="P60" t="inlineStr">
        <is>
          <t>Kalimantan Selatan</t>
        </is>
      </c>
      <c r="Q60" t="inlineStr"/>
    </row>
    <row r="61">
      <c r="A61" t="inlineStr">
        <is>
          <t>KARYA UTAMA</t>
        </is>
      </c>
      <c r="B61" t="inlineStr">
        <is>
          <t>Kab. Bulungan</t>
        </is>
      </c>
      <c r="C61" t="inlineStr">
        <is>
          <t>08125408320</t>
        </is>
      </c>
      <c r="D61" t="inlineStr">
        <is>
          <t>KARYA8UTAMA@GMAIL.COM</t>
        </is>
      </c>
      <c r="E61" t="inlineStr">
        <is>
          <t>https://lpjk.pu.go.id/search-badan-usaha-detail/ZFgrYnIwUXpGS0RhU2RxcFc4QVRYdz09</t>
        </is>
      </c>
      <c r="F61" t="n">
        <v>1</v>
      </c>
      <c r="G61" t="inlineStr">
        <is>
          <t>BG009</t>
        </is>
      </c>
      <c r="H61" t="inlineStr">
        <is>
          <t>21 Desember 2002</t>
        </is>
      </c>
      <c r="I61" s="2" t="n">
        <v>46317</v>
      </c>
      <c r="J61" t="inlineStr">
        <is>
          <t>Disetujui</t>
        </is>
      </c>
      <c r="K61" t="n">
        <v>30</v>
      </c>
      <c r="L61" t="inlineStr">
        <is>
          <t>22 Oktober 2026</t>
        </is>
      </c>
      <c r="M61" t="inlineStr">
        <is>
          <t>Konstruksi Gedung Lainnya</t>
        </is>
      </c>
      <c r="N61" t="inlineStr">
        <is>
          <t>K</t>
        </is>
      </c>
      <c r="O61" t="inlineStr">
        <is>
          <t>20231023</t>
        </is>
      </c>
      <c r="P61" t="inlineStr">
        <is>
          <t>Kalimantan Utara</t>
        </is>
      </c>
      <c r="Q61" t="inlineStr"/>
    </row>
    <row r="62">
      <c r="A62" t="inlineStr">
        <is>
          <t>KARYA WIJAYA</t>
        </is>
      </c>
      <c r="B62" t="inlineStr">
        <is>
          <t>Kota Malang</t>
        </is>
      </c>
      <c r="C62" t="inlineStr">
        <is>
          <t>08123396344</t>
        </is>
      </c>
      <c r="D62" t="inlineStr">
        <is>
          <t>cvkaryawijaya11@gmail.com</t>
        </is>
      </c>
      <c r="E62" t="inlineStr">
        <is>
          <t>https://lpjk.pu.go.id/search-badan-usaha-detail/ejJGR3dZOW9wS2VwNG1IWFhPTFFlZz09</t>
        </is>
      </c>
      <c r="F62" t="n">
        <v>1</v>
      </c>
      <c r="G62" t="inlineStr">
        <is>
          <t>BS004</t>
        </is>
      </c>
      <c r="H62" t="inlineStr">
        <is>
          <t>28 Februari 1984</t>
        </is>
      </c>
      <c r="I62" s="2" t="n">
        <v>46317</v>
      </c>
      <c r="J62" t="inlineStr">
        <is>
          <t>Disetujui</t>
        </is>
      </c>
      <c r="K62" t="n">
        <v>30</v>
      </c>
      <c r="L62" t="inlineStr">
        <is>
          <t>22 Oktober 2026</t>
        </is>
      </c>
      <c r="M62" t="inlineStr">
        <is>
          <t>Konstruksi Jaringan Irigasi dan Drainase</t>
        </is>
      </c>
      <c r="N62" t="inlineStr">
        <is>
          <t>K</t>
        </is>
      </c>
      <c r="O62" t="inlineStr">
        <is>
          <t>20231017</t>
        </is>
      </c>
      <c r="P62" t="inlineStr">
        <is>
          <t>Jawa Timur</t>
        </is>
      </c>
      <c r="Q62" t="inlineStr"/>
    </row>
    <row r="63">
      <c r="A63" t="inlineStr">
        <is>
          <t>KARYATAMA MANDIRI</t>
        </is>
      </c>
      <c r="B63" t="inlineStr">
        <is>
          <t>Kab. Padang Pariaman</t>
        </is>
      </c>
      <c r="C63" t="inlineStr">
        <is>
          <t>081286568877</t>
        </is>
      </c>
      <c r="D63" t="inlineStr">
        <is>
          <t>kar.tamamandiri@gmail.com</t>
        </is>
      </c>
      <c r="E63" t="inlineStr">
        <is>
          <t>https://lpjk.pu.go.id/search-badan-usaha-detail/Z0ZXN01jNGlWTGozTVl1Z25mbGNkUT09</t>
        </is>
      </c>
      <c r="F63" t="n">
        <v>6</v>
      </c>
      <c r="G63" t="inlineStr">
        <is>
          <t>BG002, BG006, BG009</t>
        </is>
      </c>
      <c r="H63" t="inlineStr">
        <is>
          <t>6 Oktober 1994</t>
        </is>
      </c>
      <c r="I63" s="2" t="n">
        <v>46317</v>
      </c>
      <c r="J63" t="inlineStr">
        <is>
          <t>Disetujui</t>
        </is>
      </c>
      <c r="K63" t="n">
        <v>30</v>
      </c>
      <c r="L63" t="inlineStr">
        <is>
          <t>22 Oktober 2026</t>
        </is>
      </c>
      <c r="M63" t="inlineStr">
        <is>
          <t>Konstruksi Gedung Lainnya, Konstruksi Gedung Pendidikan, Konstruksi Gedung Perkantoran</t>
        </is>
      </c>
      <c r="N63" t="inlineStr">
        <is>
          <t>K</t>
        </is>
      </c>
      <c r="O63" t="inlineStr">
        <is>
          <t>20230918, 20231016</t>
        </is>
      </c>
      <c r="P63" t="inlineStr">
        <is>
          <t>Sumatera Barat</t>
        </is>
      </c>
      <c r="Q63" t="inlineStr"/>
    </row>
    <row r="64">
      <c r="A64" t="inlineStr">
        <is>
          <t>KEDUNG SUMBER JAYA</t>
        </is>
      </c>
      <c r="B64" t="inlineStr">
        <is>
          <t>Kab. Malang</t>
        </is>
      </c>
      <c r="C64" t="inlineStr">
        <is>
          <t>081252461533</t>
        </is>
      </c>
      <c r="D64" t="inlineStr">
        <is>
          <t>kedungsumberjaya@gmail.com</t>
        </is>
      </c>
      <c r="E64" t="inlineStr">
        <is>
          <t>https://lpjk.pu.go.id/search-badan-usaha-detail/ZW9zbGRFRnJiemg1aWNBRGFsQTFEdz09</t>
        </is>
      </c>
      <c r="F64" t="n">
        <v>2</v>
      </c>
      <c r="G64" t="inlineStr">
        <is>
          <t>BG004, BG009</t>
        </is>
      </c>
      <c r="H64" t="inlineStr">
        <is>
          <t>2 September 2021</t>
        </is>
      </c>
      <c r="I64" s="2" t="n">
        <v>46317</v>
      </c>
      <c r="J64" t="inlineStr">
        <is>
          <t>Pembekuan</t>
        </is>
      </c>
      <c r="K64" t="n">
        <v>30</v>
      </c>
      <c r="L64" t="inlineStr">
        <is>
          <t>22 Oktober 2026</t>
        </is>
      </c>
      <c r="M64" t="inlineStr">
        <is>
          <t>Konstruksi Gedung Lainnya, Konstruksi Gedung Perbelanjaan</t>
        </is>
      </c>
      <c r="N64" t="inlineStr">
        <is>
          <t>K</t>
        </is>
      </c>
      <c r="O64" t="inlineStr">
        <is>
          <t>20231019</t>
        </is>
      </c>
      <c r="P64" t="inlineStr">
        <is>
          <t>Jawa Timur</t>
        </is>
      </c>
      <c r="Q64" t="inlineStr"/>
    </row>
    <row r="65">
      <c r="A65" t="inlineStr">
        <is>
          <t>KEMBANG KANTIL</t>
        </is>
      </c>
      <c r="B65" t="inlineStr">
        <is>
          <t>Kab. Trenggalek</t>
        </is>
      </c>
      <c r="C65" t="inlineStr">
        <is>
          <t>082232757838</t>
        </is>
      </c>
      <c r="D65" t="inlineStr">
        <is>
          <t>cvkembangkantil3@gmail.com</t>
        </is>
      </c>
      <c r="E65" t="inlineStr">
        <is>
          <t>https://lpjk.pu.go.id/search-badan-usaha-detail/bFhYaVdiS3dUR05mdGo1emMyVzBJdz09</t>
        </is>
      </c>
      <c r="F65" t="n">
        <v>2</v>
      </c>
      <c r="G65" t="inlineStr">
        <is>
          <t>BG005, BG006</t>
        </is>
      </c>
      <c r="H65" t="inlineStr">
        <is>
          <t>10 Mei 2023</t>
        </is>
      </c>
      <c r="I65" s="2" t="n">
        <v>46317</v>
      </c>
      <c r="J65" t="inlineStr">
        <is>
          <t>Disetujui</t>
        </is>
      </c>
      <c r="K65" t="n">
        <v>30</v>
      </c>
      <c r="L65" t="inlineStr">
        <is>
          <t>22 Oktober 2026</t>
        </is>
      </c>
      <c r="M65" t="inlineStr">
        <is>
          <t>Konstruksi Gedung Kesehatan, Konstruksi Gedung Pendidikan</t>
        </is>
      </c>
      <c r="N65" t="inlineStr">
        <is>
          <t>K</t>
        </is>
      </c>
      <c r="O65" t="inlineStr">
        <is>
          <t>20231020</t>
        </is>
      </c>
      <c r="P65" t="inlineStr">
        <is>
          <t>Jawa Timur</t>
        </is>
      </c>
      <c r="Q65" t="inlineStr"/>
    </row>
    <row r="66">
      <c r="A66" t="inlineStr">
        <is>
          <t>KEMBAR JAYA ABADI</t>
        </is>
      </c>
      <c r="B66" t="inlineStr">
        <is>
          <t>Kota Samarinda</t>
        </is>
      </c>
      <c r="C66" t="inlineStr">
        <is>
          <t>0541271044</t>
        </is>
      </c>
      <c r="D66" t="inlineStr">
        <is>
          <t>kembarjaya_abadi@yahoo.co.id</t>
        </is>
      </c>
      <c r="E66" t="inlineStr">
        <is>
          <t>https://lpjk.pu.go.id/search-badan-usaha-detail/Y0kwSERkQTlhWkM1WHU5dGhCRi9vZz09</t>
        </is>
      </c>
      <c r="F66" t="n">
        <v>1</v>
      </c>
      <c r="G66" t="inlineStr">
        <is>
          <t>BG001</t>
        </is>
      </c>
      <c r="H66" t="inlineStr">
        <is>
          <t>28 November 2006</t>
        </is>
      </c>
      <c r="I66" s="2" t="n">
        <v>46317</v>
      </c>
      <c r="J66" t="inlineStr">
        <is>
          <t>Pencabutan</t>
        </is>
      </c>
      <c r="K66" t="n">
        <v>30</v>
      </c>
      <c r="L66" t="inlineStr">
        <is>
          <t>22 Oktober 2026</t>
        </is>
      </c>
      <c r="M66" t="inlineStr">
        <is>
          <t>Konstruksi Gedung Hunian</t>
        </is>
      </c>
      <c r="N66" t="inlineStr">
        <is>
          <t>M</t>
        </is>
      </c>
      <c r="O66" t="inlineStr">
        <is>
          <t>20231020</t>
        </is>
      </c>
      <c r="P66" t="inlineStr">
        <is>
          <t>Kalimantan Timur</t>
        </is>
      </c>
      <c r="Q66" t="inlineStr"/>
    </row>
    <row r="67">
      <c r="A67" t="inlineStr">
        <is>
          <t>KHALISA VAYA UTAMA</t>
        </is>
      </c>
      <c r="B67" t="inlineStr">
        <is>
          <t>Kota Banjarbaru</t>
        </is>
      </c>
      <c r="C67" t="inlineStr">
        <is>
          <t>085245240001</t>
        </is>
      </c>
      <c r="D67" t="inlineStr">
        <is>
          <t>khalisavayautama@gmail.com</t>
        </is>
      </c>
      <c r="E67" t="inlineStr">
        <is>
          <t>https://lpjk.pu.go.id/search-badan-usaha-detail/ekloZGxRM1BqeHYyOWNnODMvN2h3QT09</t>
        </is>
      </c>
      <c r="F67" t="n">
        <v>2</v>
      </c>
      <c r="G67" t="inlineStr">
        <is>
          <t>BG006, BG009</t>
        </is>
      </c>
      <c r="H67" t="inlineStr">
        <is>
          <t>23 Juli 2020</t>
        </is>
      </c>
      <c r="I67" s="2" t="n">
        <v>46317</v>
      </c>
      <c r="J67" t="inlineStr">
        <is>
          <t>Disetujui</t>
        </is>
      </c>
      <c r="K67" t="n">
        <v>30</v>
      </c>
      <c r="L67" t="inlineStr">
        <is>
          <t>22 Oktober 2026</t>
        </is>
      </c>
      <c r="M67" t="inlineStr">
        <is>
          <t>Konstruksi Gedung Lainnya, Konstruksi Gedung Pendidikan</t>
        </is>
      </c>
      <c r="N67" t="inlineStr">
        <is>
          <t>K</t>
        </is>
      </c>
      <c r="O67" t="inlineStr">
        <is>
          <t>20231020</t>
        </is>
      </c>
      <c r="P67" t="inlineStr">
        <is>
          <t>Kalimantan Selatan</t>
        </is>
      </c>
      <c r="Q67" t="inlineStr"/>
    </row>
    <row r="68">
      <c r="A68" t="inlineStr">
        <is>
          <t>KOKOH SEMESTA</t>
        </is>
      </c>
      <c r="B68" t="inlineStr">
        <is>
          <t>Kota Adm. Jakarta Utara</t>
        </is>
      </c>
      <c r="C68" t="inlineStr">
        <is>
          <t>0214401808</t>
        </is>
      </c>
      <c r="D68" t="inlineStr">
        <is>
          <t>indrawan_djaja@kokohsemesta.com</t>
        </is>
      </c>
      <c r="E68" t="inlineStr">
        <is>
          <t>https://lpjk.pu.go.id/search-badan-usaha-detail/VkNkd0d0bUN4UG5nNzFRRFlKRlZOdz09</t>
        </is>
      </c>
      <c r="F68" t="n">
        <v>1</v>
      </c>
      <c r="G68" t="inlineStr">
        <is>
          <t>IN004</t>
        </is>
      </c>
      <c r="H68" t="inlineStr">
        <is>
          <t>8 Oktober 1980</t>
        </is>
      </c>
      <c r="I68" s="2" t="n">
        <v>46317</v>
      </c>
      <c r="J68" t="inlineStr">
        <is>
          <t>Pembekuan</t>
        </is>
      </c>
      <c r="K68" t="n">
        <v>30</v>
      </c>
      <c r="L68" t="inlineStr">
        <is>
          <t>22 Oktober 2026</t>
        </is>
      </c>
      <c r="M68" t="inlineStr">
        <is>
          <t>Instalasi Minyak dan Gas</t>
        </is>
      </c>
      <c r="N68" t="inlineStr">
        <is>
          <t>Spesialis</t>
        </is>
      </c>
      <c r="O68" t="inlineStr">
        <is>
          <t>20231013</t>
        </is>
      </c>
      <c r="P68" t="inlineStr">
        <is>
          <t>DKI Jakarta</t>
        </is>
      </c>
      <c r="Q68" t="inlineStr"/>
    </row>
    <row r="69">
      <c r="A69" t="inlineStr">
        <is>
          <t>KONSTRUKSI INTI SEJAHTERA</t>
        </is>
      </c>
      <c r="B69" t="inlineStr">
        <is>
          <t>Kab. Deli Serdang</t>
        </is>
      </c>
      <c r="C69" t="inlineStr">
        <is>
          <t>06142564827</t>
        </is>
      </c>
      <c r="D69" t="inlineStr">
        <is>
          <t>pt.konstruksiintisjtra@yahoo.com</t>
        </is>
      </c>
      <c r="E69" t="inlineStr">
        <is>
          <t>https://lpjk.pu.go.id/search-badan-usaha-detail/aG0xblRuMCtkTmR6TnpkMTFIRFQ2Zz09</t>
        </is>
      </c>
      <c r="F69" t="n">
        <v>2</v>
      </c>
      <c r="G69" t="inlineStr">
        <is>
          <t>BG001, BG002</t>
        </is>
      </c>
      <c r="H69" t="inlineStr">
        <is>
          <t>22 Juni 2012</t>
        </is>
      </c>
      <c r="I69" s="2" t="n">
        <v>46317</v>
      </c>
      <c r="J69" t="inlineStr">
        <is>
          <t>Disetujui, Pembekuan</t>
        </is>
      </c>
      <c r="K69" t="n">
        <v>30</v>
      </c>
      <c r="L69" t="inlineStr">
        <is>
          <t>22 Oktober 2026</t>
        </is>
      </c>
      <c r="M69" t="inlineStr">
        <is>
          <t>Konstruksi Gedung Hunian, Konstruksi Gedung Perkantoran</t>
        </is>
      </c>
      <c r="N69" t="inlineStr">
        <is>
          <t>K, M</t>
        </is>
      </c>
      <c r="O69" t="inlineStr">
        <is>
          <t>20231023, 20231025</t>
        </is>
      </c>
      <c r="P69" t="inlineStr">
        <is>
          <t>Sumatera Utara</t>
        </is>
      </c>
      <c r="Q69" t="inlineStr"/>
    </row>
    <row r="70">
      <c r="A70" t="inlineStr">
        <is>
          <t>LANCAR TERUS</t>
        </is>
      </c>
      <c r="B70" t="inlineStr">
        <is>
          <t>Kab. Bojonegoro</t>
        </is>
      </c>
      <c r="C70" t="inlineStr">
        <is>
          <t>081236705370</t>
        </is>
      </c>
      <c r="D70" t="inlineStr">
        <is>
          <t>cvlancarterusnew@gmail.com</t>
        </is>
      </c>
      <c r="E70" t="inlineStr">
        <is>
          <t>https://lpjk.pu.go.id/search-badan-usaha-detail/QkZRakcrcGVCNk9Xdk9kZ2tCUUw5Zz09</t>
        </is>
      </c>
      <c r="F70" t="n">
        <v>1</v>
      </c>
      <c r="G70" t="inlineStr">
        <is>
          <t>BG006</t>
        </is>
      </c>
      <c r="H70" t="inlineStr">
        <is>
          <t>28 Mei 2020</t>
        </is>
      </c>
      <c r="I70" s="2" t="n">
        <v>46317</v>
      </c>
      <c r="J70" t="inlineStr">
        <is>
          <t>Pencabutan</t>
        </is>
      </c>
      <c r="K70" t="n">
        <v>30</v>
      </c>
      <c r="L70" t="inlineStr">
        <is>
          <t>22 Oktober 2026</t>
        </is>
      </c>
      <c r="M70" t="inlineStr">
        <is>
          <t>Konstruksi Gedung Pendidikan</t>
        </is>
      </c>
      <c r="N70" t="inlineStr">
        <is>
          <t>K</t>
        </is>
      </c>
      <c r="O70" t="inlineStr">
        <is>
          <t>20231021</t>
        </is>
      </c>
      <c r="P70" t="inlineStr">
        <is>
          <t>Jawa Timur</t>
        </is>
      </c>
      <c r="Q70" t="inlineStr"/>
    </row>
    <row r="71">
      <c r="A71" t="inlineStr">
        <is>
          <t>LESTARI</t>
        </is>
      </c>
      <c r="B71" t="inlineStr">
        <is>
          <t>Kab. Tapanuli Selatan</t>
        </is>
      </c>
      <c r="C71" t="inlineStr">
        <is>
          <t>081377377492</t>
        </is>
      </c>
      <c r="D71" t="inlineStr">
        <is>
          <t>cvlestari8@gmail.com</t>
        </is>
      </c>
      <c r="E71" t="inlineStr">
        <is>
          <t>https://lpjk.pu.go.id/search-badan-usaha-detail/ZytTY1Vwa1ZSeTRIblpqY2VidFFJQT09</t>
        </is>
      </c>
      <c r="F71" t="n">
        <v>2</v>
      </c>
      <c r="G71" t="inlineStr">
        <is>
          <t>BG002, BG005</t>
        </is>
      </c>
      <c r="H71" t="inlineStr">
        <is>
          <t>13 Desember 1994</t>
        </is>
      </c>
      <c r="I71" s="2" t="n">
        <v>46317</v>
      </c>
      <c r="J71" t="inlineStr">
        <is>
          <t>Disetujui</t>
        </is>
      </c>
      <c r="K71" t="n">
        <v>30</v>
      </c>
      <c r="L71" t="inlineStr">
        <is>
          <t>22 Oktober 2026</t>
        </is>
      </c>
      <c r="M71" t="inlineStr">
        <is>
          <t>Konstruksi Gedung Kesehatan, Konstruksi Gedung Perkantoran</t>
        </is>
      </c>
      <c r="N71" t="inlineStr">
        <is>
          <t>K</t>
        </is>
      </c>
      <c r="O71" t="inlineStr">
        <is>
          <t>20231022, 20231023</t>
        </is>
      </c>
      <c r="P71" t="inlineStr">
        <is>
          <t>Sumatera Utara</t>
        </is>
      </c>
      <c r="Q71" t="inlineStr"/>
    </row>
    <row r="72">
      <c r="A72" t="inlineStr">
        <is>
          <t>MADYAMA KARYA</t>
        </is>
      </c>
      <c r="B72" t="inlineStr">
        <is>
          <t>Kab. Lombok Barat</t>
        </is>
      </c>
      <c r="C72" t="inlineStr">
        <is>
          <t>081907293419</t>
        </is>
      </c>
      <c r="D72" t="inlineStr">
        <is>
          <t>madyama.karya@gmail.com</t>
        </is>
      </c>
      <c r="E72" t="inlineStr">
        <is>
          <t>https://lpjk.pu.go.id/search-badan-usaha-detail/V2hueU5QZmpUdDNneVRmWEtmdzVmQT09</t>
        </is>
      </c>
      <c r="F72" t="n">
        <v>1</v>
      </c>
      <c r="G72" t="inlineStr">
        <is>
          <t>BS001</t>
        </is>
      </c>
      <c r="H72" t="inlineStr">
        <is>
          <t>29 Juni 2019</t>
        </is>
      </c>
      <c r="I72" s="2" t="n">
        <v>46317</v>
      </c>
      <c r="J72" t="inlineStr">
        <is>
          <t>Disetujui</t>
        </is>
      </c>
      <c r="K72" t="n">
        <v>30</v>
      </c>
      <c r="L72" t="inlineStr">
        <is>
          <t>22 Oktober 2026</t>
        </is>
      </c>
      <c r="M72" t="inlineStr">
        <is>
          <t>Konstruksi Bangunan Sipil Jalan</t>
        </is>
      </c>
      <c r="N72" t="inlineStr">
        <is>
          <t>K</t>
        </is>
      </c>
      <c r="O72" t="inlineStr">
        <is>
          <t>20231017</t>
        </is>
      </c>
      <c r="P72" t="inlineStr">
        <is>
          <t>Nusa Tenggara Barat</t>
        </is>
      </c>
      <c r="Q72" t="inlineStr"/>
    </row>
    <row r="73">
      <c r="A73" t="inlineStr">
        <is>
          <t>MAHARANI GEMILANG</t>
        </is>
      </c>
      <c r="B73" t="inlineStr">
        <is>
          <t>Kab. Banyuwangi</t>
        </is>
      </c>
      <c r="C73" t="inlineStr">
        <is>
          <t>082231001113</t>
        </is>
      </c>
      <c r="D73" t="inlineStr">
        <is>
          <t>maharanibwi11@gmail.com</t>
        </is>
      </c>
      <c r="E73" t="inlineStr">
        <is>
          <t>https://lpjk.pu.go.id/search-badan-usaha-detail/eUdjNkE5WkFGb0EzZTJyVlQycFU4dz09</t>
        </is>
      </c>
      <c r="F73" t="n">
        <v>8</v>
      </c>
      <c r="G73" t="inlineStr">
        <is>
          <t>BG006, BG009</t>
        </is>
      </c>
      <c r="H73" t="inlineStr">
        <is>
          <t>15 September 2016</t>
        </is>
      </c>
      <c r="I73" s="2" t="n">
        <v>46317</v>
      </c>
      <c r="J73" t="inlineStr">
        <is>
          <t>Pencabutan</t>
        </is>
      </c>
      <c r="K73" t="n">
        <v>30</v>
      </c>
      <c r="L73" t="inlineStr">
        <is>
          <t>22 Oktober 2026</t>
        </is>
      </c>
      <c r="M73" t="inlineStr">
        <is>
          <t>Konstruksi Gedung Lainnya, Konstruksi Gedung Pendidikan</t>
        </is>
      </c>
      <c r="N73" t="inlineStr">
        <is>
          <t>K</t>
        </is>
      </c>
      <c r="O73" t="inlineStr">
        <is>
          <t>20231023</t>
        </is>
      </c>
      <c r="P73" t="inlineStr">
        <is>
          <t>Jawa Timur</t>
        </is>
      </c>
      <c r="Q73" t="inlineStr"/>
    </row>
    <row r="74">
      <c r="A74" t="inlineStr">
        <is>
          <t>MAJU JAYA</t>
        </is>
      </c>
      <c r="B74" t="inlineStr">
        <is>
          <t>Kota Medan</t>
        </is>
      </c>
      <c r="C74" t="inlineStr">
        <is>
          <t>081264787782</t>
        </is>
      </c>
      <c r="D74" t="inlineStr">
        <is>
          <t>cv.majujaya56@gmail.com</t>
        </is>
      </c>
      <c r="E74" t="inlineStr">
        <is>
          <t>https://lpjk.pu.go.id/search-badan-usaha-detail/bWJDdHpxbTZpa0p3bVJweWltbTNOQT09</t>
        </is>
      </c>
      <c r="F74" t="n">
        <v>4</v>
      </c>
      <c r="G74" t="inlineStr">
        <is>
          <t>BG003, BG009, BS001, BS006</t>
        </is>
      </c>
      <c r="H74" t="inlineStr">
        <is>
          <t>25 November 2009</t>
        </is>
      </c>
      <c r="I74" s="2" t="n">
        <v>46317</v>
      </c>
      <c r="J74" t="inlineStr">
        <is>
          <t>Disetujui</t>
        </is>
      </c>
      <c r="K74" t="n">
        <v>30</v>
      </c>
      <c r="L74" t="inlineStr">
        <is>
          <t>22 Oktober 2026</t>
        </is>
      </c>
      <c r="M74" t="inlineStr">
        <is>
          <t>Konstruksi Bangunan Sipil Jalan, Konstruksi Bangunan Sipil Prasarana dan Sarana Sistem Pengolahan Limbah Padat, Cair, dan Gas, Konstruksi Gedung Industri, Konstruksi Gedung Lainnya</t>
        </is>
      </c>
      <c r="N74" t="inlineStr">
        <is>
          <t>K</t>
        </is>
      </c>
      <c r="O74" t="inlineStr">
        <is>
          <t>20231018, 20231021, 20231024</t>
        </is>
      </c>
      <c r="P74" t="inlineStr">
        <is>
          <t>Sumatera Utara</t>
        </is>
      </c>
      <c r="Q74" t="inlineStr"/>
    </row>
    <row r="75">
      <c r="A75" t="inlineStr">
        <is>
          <t>MAJU JAYA BERSAMA</t>
        </is>
      </c>
      <c r="B75" t="inlineStr">
        <is>
          <t>Kab. Sidoarjo</t>
        </is>
      </c>
      <c r="C75" t="inlineStr">
        <is>
          <t>0877 5417 6280</t>
        </is>
      </c>
      <c r="D75" t="inlineStr">
        <is>
          <t>srie.wahyuni55@yahoo.com</t>
        </is>
      </c>
      <c r="E75" t="inlineStr">
        <is>
          <t>https://lpjk.pu.go.id/search-badan-usaha-detail/WjlKOHA3NWdkV0xydUJ5QW5DUUpvZz09</t>
        </is>
      </c>
      <c r="F75" t="n">
        <v>4</v>
      </c>
      <c r="G75" t="inlineStr">
        <is>
          <t>BG005, BG006, BG009, BS011</t>
        </is>
      </c>
      <c r="H75" t="inlineStr">
        <is>
          <t>6 Februari 2016</t>
        </is>
      </c>
      <c r="I75" s="2" t="n">
        <v>46317</v>
      </c>
      <c r="J75" t="inlineStr">
        <is>
          <t>Disetujui</t>
        </is>
      </c>
      <c r="K75" t="n">
        <v>30</v>
      </c>
      <c r="L75" t="inlineStr">
        <is>
          <t>22 Oktober 2026</t>
        </is>
      </c>
      <c r="M75" t="inlineStr">
        <is>
          <t>Konstruksi Bangunan Pelabuhan Bukan Perikanan, Konstruksi Gedung Kesehatan, Konstruksi Gedung Lainnya, Konstruksi Gedung Pendidikan</t>
        </is>
      </c>
      <c r="N75" t="inlineStr">
        <is>
          <t>K</t>
        </is>
      </c>
      <c r="O75" t="inlineStr">
        <is>
          <t>20231013</t>
        </is>
      </c>
      <c r="P75" t="inlineStr">
        <is>
          <t>Jawa Timur</t>
        </is>
      </c>
      <c r="Q75" t="inlineStr"/>
    </row>
    <row r="76">
      <c r="A76" t="inlineStr">
        <is>
          <t>MAWAR MAS</t>
        </is>
      </c>
      <c r="B76" t="inlineStr">
        <is>
          <t>Kota Palembang</t>
        </is>
      </c>
      <c r="C76" t="inlineStr">
        <is>
          <t>082382926316</t>
        </is>
      </c>
      <c r="D76" t="inlineStr">
        <is>
          <t>cvmawarmas@gmail.com</t>
        </is>
      </c>
      <c r="E76" t="inlineStr">
        <is>
          <t>https://lpjk.pu.go.id/search-badan-usaha-detail/RjY4aFhMSkVCVG1aREdLN1licFo5QT09</t>
        </is>
      </c>
      <c r="F76" t="n">
        <v>2</v>
      </c>
      <c r="G76" t="inlineStr">
        <is>
          <t>BG002, BG009</t>
        </is>
      </c>
      <c r="H76" t="inlineStr">
        <is>
          <t>5 Juni 2002</t>
        </is>
      </c>
      <c r="I76" s="2" t="n">
        <v>46317</v>
      </c>
      <c r="J76" t="inlineStr">
        <is>
          <t>Disetujui</t>
        </is>
      </c>
      <c r="K76" t="n">
        <v>30</v>
      </c>
      <c r="L76" t="inlineStr">
        <is>
          <t>22 Oktober 2026</t>
        </is>
      </c>
      <c r="M76" t="inlineStr">
        <is>
          <t>Konstruksi Gedung Lainnya, Konstruksi Gedung Perkantoran</t>
        </is>
      </c>
      <c r="N76" t="inlineStr">
        <is>
          <t>K</t>
        </is>
      </c>
      <c r="O76" t="inlineStr">
        <is>
          <t>20231022</t>
        </is>
      </c>
      <c r="P76" t="inlineStr">
        <is>
          <t>Sumatera Selatan</t>
        </is>
      </c>
      <c r="Q76" t="inlineStr"/>
    </row>
    <row r="77">
      <c r="A77" t="inlineStr">
        <is>
          <t>MEGATRON MULTI KARYA</t>
        </is>
      </c>
      <c r="B77" t="inlineStr">
        <is>
          <t>Kab. Melawi</t>
        </is>
      </c>
      <c r="C77" t="inlineStr">
        <is>
          <t>082158467717</t>
        </is>
      </c>
      <c r="D77" t="inlineStr">
        <is>
          <t>megatronmultikarya.cv@gmail.com</t>
        </is>
      </c>
      <c r="E77" t="inlineStr">
        <is>
          <t>https://lpjk.pu.go.id/search-badan-usaha-detail/amxMT1lhbFlySFZseHlhcVA4cDJHdz09</t>
        </is>
      </c>
      <c r="F77" t="n">
        <v>1</v>
      </c>
      <c r="G77" t="inlineStr">
        <is>
          <t>BS004</t>
        </is>
      </c>
      <c r="H77" t="inlineStr">
        <is>
          <t>1 April 2020</t>
        </is>
      </c>
      <c r="I77" s="2" t="n">
        <v>46317</v>
      </c>
      <c r="J77" t="inlineStr">
        <is>
          <t>Disetujui</t>
        </is>
      </c>
      <c r="K77" t="n">
        <v>30</v>
      </c>
      <c r="L77" t="inlineStr">
        <is>
          <t>22 Oktober 2026</t>
        </is>
      </c>
      <c r="M77" t="inlineStr">
        <is>
          <t>Konstruksi Jaringan Irigasi dan Drainase</t>
        </is>
      </c>
      <c r="N77" t="inlineStr">
        <is>
          <t>K</t>
        </is>
      </c>
      <c r="O77" t="inlineStr">
        <is>
          <t>20231023</t>
        </is>
      </c>
      <c r="P77" t="inlineStr">
        <is>
          <t>Kalimantan Barat</t>
        </is>
      </c>
      <c r="Q77" t="inlineStr"/>
    </row>
    <row r="78">
      <c r="A78" t="inlineStr">
        <is>
          <t>METRO DIGITAL CITY</t>
        </is>
      </c>
      <c r="B78" t="inlineStr">
        <is>
          <t>Kota Adm. Jakarta Pusat</t>
        </is>
      </c>
      <c r="C78" t="inlineStr">
        <is>
          <t>02157956866</t>
        </is>
      </c>
      <c r="D78" t="inlineStr">
        <is>
          <t>pt.metrodigitalcity@gmail.com</t>
        </is>
      </c>
      <c r="E78" t="inlineStr">
        <is>
          <t>https://lpjk.pu.go.id/search-badan-usaha-detail/bER5QmlySkJvOEN4U2NkTjloRWNSUT09</t>
        </is>
      </c>
      <c r="F78" t="n">
        <v>1</v>
      </c>
      <c r="G78" t="inlineStr">
        <is>
          <t>BS009</t>
        </is>
      </c>
      <c r="H78" t="inlineStr">
        <is>
          <t>28 Februari 2008</t>
        </is>
      </c>
      <c r="I78" s="2" t="n">
        <v>46317</v>
      </c>
      <c r="J78" t="inlineStr">
        <is>
          <t>Disetujui</t>
        </is>
      </c>
      <c r="K78" t="n">
        <v>30</v>
      </c>
      <c r="L78" t="inlineStr">
        <is>
          <t>22 Oktober 2026</t>
        </is>
      </c>
      <c r="M78" t="inlineStr">
        <is>
          <t>Konstruksi Sentral Telekomunikasi</t>
        </is>
      </c>
      <c r="N78" t="inlineStr">
        <is>
          <t>K</t>
        </is>
      </c>
      <c r="O78" t="inlineStr">
        <is>
          <t>20231011</t>
        </is>
      </c>
      <c r="P78" t="inlineStr">
        <is>
          <t>DKI Jakarta</t>
        </is>
      </c>
      <c r="Q78" t="inlineStr"/>
    </row>
    <row r="79">
      <c r="A79" t="inlineStr">
        <is>
          <t>MIFTAH MULTI DESIGN</t>
        </is>
      </c>
      <c r="B79" t="inlineStr">
        <is>
          <t>Kota Makassar</t>
        </is>
      </c>
      <c r="C79" t="inlineStr">
        <is>
          <t>085298886000</t>
        </is>
      </c>
      <c r="D79" t="inlineStr">
        <is>
          <t>miftahmultidesign@gmail.com</t>
        </is>
      </c>
      <c r="E79" t="inlineStr">
        <is>
          <t>https://lpjk.pu.go.id/search-badan-usaha-detail/M2wwWWYyaVdKQWtIOGNjTUM1QkMvQT09</t>
        </is>
      </c>
      <c r="F79" t="n">
        <v>1</v>
      </c>
      <c r="G79" t="inlineStr">
        <is>
          <t>AR002</t>
        </is>
      </c>
      <c r="H79" t="inlineStr">
        <is>
          <t>21 Maret 2014</t>
        </is>
      </c>
      <c r="I79" s="2" t="n">
        <v>46317</v>
      </c>
      <c r="J79" t="inlineStr">
        <is>
          <t>Disetujui</t>
        </is>
      </c>
      <c r="K79" t="n">
        <v>30</v>
      </c>
      <c r="L79" t="inlineStr">
        <is>
          <t>22 Oktober 2026</t>
        </is>
      </c>
      <c r="M79" t="inlineStr">
        <is>
          <t>Jasa Arsitektural Lainnya</t>
        </is>
      </c>
      <c r="N79" t="inlineStr">
        <is>
          <t>K</t>
        </is>
      </c>
      <c r="O79" t="inlineStr">
        <is>
          <t>20231016</t>
        </is>
      </c>
      <c r="P79" t="inlineStr">
        <is>
          <t>Sulawesi Selatan</t>
        </is>
      </c>
      <c r="Q79" t="inlineStr"/>
    </row>
    <row r="80">
      <c r="A80" t="inlineStr">
        <is>
          <t>MINARET KUSUMAWADI</t>
        </is>
      </c>
      <c r="B80" t="inlineStr">
        <is>
          <t>Kota Adm. Jakarta Selatan</t>
        </is>
      </c>
      <c r="C80" t="inlineStr">
        <is>
          <t>0217993201</t>
        </is>
      </c>
      <c r="D80" t="inlineStr">
        <is>
          <t>minaret_k@yahoo.co.id</t>
        </is>
      </c>
      <c r="E80" t="inlineStr">
        <is>
          <t>https://lpjk.pu.go.id/search-badan-usaha-detail/a2lHcm9MK0VhWUpJSmtNVEZ5bkFzQT09</t>
        </is>
      </c>
      <c r="F80" t="n">
        <v>4</v>
      </c>
      <c r="G80" t="inlineStr">
        <is>
          <t>RK002, RT001</t>
        </is>
      </c>
      <c r="H80" t="inlineStr">
        <is>
          <t>27 November 1990</t>
        </is>
      </c>
      <c r="I80" s="2" t="n">
        <v>46317</v>
      </c>
      <c r="J80" t="inlineStr">
        <is>
          <t>Disetujui, Pencabutan</t>
        </is>
      </c>
      <c r="K80" t="n">
        <v>30</v>
      </c>
      <c r="L80" t="inlineStr">
        <is>
          <t>22 Oktober 2026</t>
        </is>
      </c>
      <c r="M80" t="inlineStr">
        <is>
          <t>Jasa Pelayanan Studi Investasi Infrastruktur, Jasa Rekayasa Pekerjaan Teknik Sipil Sumber Daya Air</t>
        </is>
      </c>
      <c r="N80" t="inlineStr">
        <is>
          <t>K</t>
        </is>
      </c>
      <c r="O80" t="inlineStr">
        <is>
          <t>20231017</t>
        </is>
      </c>
      <c r="P80" t="inlineStr">
        <is>
          <t>DKI Jakarta</t>
        </is>
      </c>
      <c r="Q80" t="inlineStr"/>
    </row>
    <row r="81">
      <c r="A81" t="inlineStr">
        <is>
          <t>NIKINDO</t>
        </is>
      </c>
      <c r="B81" t="inlineStr">
        <is>
          <t>Kab. Cilacap</t>
        </is>
      </c>
      <c r="C81" t="inlineStr">
        <is>
          <t>081391206262</t>
        </is>
      </c>
      <c r="D81" t="inlineStr">
        <is>
          <t>nikindo_cv@yahoo.co.id</t>
        </is>
      </c>
      <c r="E81" t="inlineStr">
        <is>
          <t>https://lpjk.pu.go.id/search-badan-usaha-detail/WVB5RW5EY3gxSTY2ellneWdNWmhSdz09</t>
        </is>
      </c>
      <c r="F81" t="n">
        <v>3</v>
      </c>
      <c r="G81" t="inlineStr">
        <is>
          <t>BG005, BG006, BG009</t>
        </is>
      </c>
      <c r="H81" t="inlineStr">
        <is>
          <t>6 Juli 2000</t>
        </is>
      </c>
      <c r="I81" s="2" t="n">
        <v>46317</v>
      </c>
      <c r="J81" t="inlineStr">
        <is>
          <t>Disetujui</t>
        </is>
      </c>
      <c r="K81" t="n">
        <v>30</v>
      </c>
      <c r="L81" t="inlineStr">
        <is>
          <t>22 Oktober 2026</t>
        </is>
      </c>
      <c r="M81" t="inlineStr">
        <is>
          <t>Konstruksi Gedung Kesehatan, Konstruksi Gedung Lainnya, Konstruksi Gedung Pendidikan</t>
        </is>
      </c>
      <c r="N81" t="inlineStr">
        <is>
          <t>K</t>
        </is>
      </c>
      <c r="O81" t="inlineStr">
        <is>
          <t>20231019</t>
        </is>
      </c>
      <c r="P81" t="inlineStr">
        <is>
          <t>Jawa Tengah</t>
        </is>
      </c>
      <c r="Q81" t="inlineStr"/>
    </row>
    <row r="82">
      <c r="A82" t="inlineStr">
        <is>
          <t>PATRA ANUGRAH BAKTI</t>
        </is>
      </c>
      <c r="B82" t="inlineStr">
        <is>
          <t>Kota Samarinda</t>
        </is>
      </c>
      <c r="C82" t="inlineStr">
        <is>
          <t>08125406817</t>
        </is>
      </c>
      <c r="D82" t="inlineStr">
        <is>
          <t>patra.anugrahbakti@yahoo.com</t>
        </is>
      </c>
      <c r="E82" t="inlineStr">
        <is>
          <t>https://lpjk.pu.go.id/search-badan-usaha-detail/SkF1RjVmRGpxQkg3T1ExakI5K1hlZz09</t>
        </is>
      </c>
      <c r="F82" t="n">
        <v>2</v>
      </c>
      <c r="G82" t="inlineStr">
        <is>
          <t>BS001, BS002</t>
        </is>
      </c>
      <c r="H82" t="inlineStr">
        <is>
          <t>16 Desember 2010</t>
        </is>
      </c>
      <c r="I82" s="2" t="n">
        <v>46317</v>
      </c>
      <c r="J82" t="inlineStr">
        <is>
          <t>Disetujui</t>
        </is>
      </c>
      <c r="K82" t="n">
        <v>30</v>
      </c>
      <c r="L82" t="inlineStr">
        <is>
          <t>22 Oktober 2026</t>
        </is>
      </c>
      <c r="M82" t="inlineStr">
        <is>
          <t>Bangunan Sipil Jembatan, Jalan Layang, Fly Over, dan Underpass, Konstruksi Bangunan Sipil Jalan</t>
        </is>
      </c>
      <c r="N82" t="inlineStr">
        <is>
          <t>M</t>
        </is>
      </c>
      <c r="O82" t="inlineStr">
        <is>
          <t>20231020</t>
        </is>
      </c>
      <c r="P82" t="inlineStr">
        <is>
          <t>Kalimantan Timur</t>
        </is>
      </c>
      <c r="Q82" t="inlineStr"/>
    </row>
    <row r="83">
      <c r="A83" t="inlineStr">
        <is>
          <t>PERKASATAMA TEKNIK</t>
        </is>
      </c>
      <c r="B83" t="inlineStr">
        <is>
          <t>-</t>
        </is>
      </c>
      <c r="C83" t="inlineStr">
        <is>
          <t>081276666808</t>
        </is>
      </c>
      <c r="D83" t="inlineStr">
        <is>
          <t>perkasatama.ptt@gmail.com</t>
        </is>
      </c>
      <c r="E83" t="inlineStr">
        <is>
          <t>https://lpjk.pu.go.id/search-badan-usaha-detail/NDVzNktpMmYvVWJqMnhJbTVzb1VjUT09</t>
        </is>
      </c>
      <c r="F83" t="n">
        <v>1</v>
      </c>
      <c r="G83" t="inlineStr">
        <is>
          <t>BS001</t>
        </is>
      </c>
      <c r="H83" t="inlineStr">
        <is>
          <t>21 Mei 2001</t>
        </is>
      </c>
      <c r="I83" s="2" t="n">
        <v>46317</v>
      </c>
      <c r="J83" t="inlineStr">
        <is>
          <t>Pencabutan</t>
        </is>
      </c>
      <c r="K83" t="n">
        <v>30</v>
      </c>
      <c r="L83" t="inlineStr">
        <is>
          <t>22 Oktober 2026</t>
        </is>
      </c>
      <c r="M83" t="inlineStr">
        <is>
          <t>Konstruksi Bangunan Sipil Jalan</t>
        </is>
      </c>
      <c r="N83" t="inlineStr">
        <is>
          <t>K</t>
        </is>
      </c>
      <c r="O83" t="inlineStr">
        <is>
          <t>20231020</t>
        </is>
      </c>
      <c r="P83" t="inlineStr">
        <is>
          <t>Riau</t>
        </is>
      </c>
      <c r="Q83" t="inlineStr"/>
    </row>
    <row r="84">
      <c r="A84" t="inlineStr">
        <is>
          <t>PUTRA PERDANA UTAMA</t>
        </is>
      </c>
      <c r="B84" t="inlineStr">
        <is>
          <t>Kota Payakumbuh</t>
        </is>
      </c>
      <c r="C84" t="inlineStr">
        <is>
          <t>082392480474</t>
        </is>
      </c>
      <c r="D84" t="inlineStr">
        <is>
          <t>hendriheral998@gmail.com</t>
        </is>
      </c>
      <c r="E84" t="inlineStr">
        <is>
          <t>https://lpjk.pu.go.id/search-badan-usaha-detail/ZVVSbTF4OWlqUXkwQnZrNW9qTldZZz09</t>
        </is>
      </c>
      <c r="F84" t="n">
        <v>1</v>
      </c>
      <c r="G84" t="inlineStr">
        <is>
          <t>BS001</t>
        </is>
      </c>
      <c r="H84" t="inlineStr">
        <is>
          <t>7 Januari 2019</t>
        </is>
      </c>
      <c r="I84" s="2" t="n">
        <v>46317</v>
      </c>
      <c r="J84" t="inlineStr">
        <is>
          <t>Disetujui</t>
        </is>
      </c>
      <c r="K84" t="n">
        <v>30</v>
      </c>
      <c r="L84" t="inlineStr">
        <is>
          <t>22 Oktober 2026</t>
        </is>
      </c>
      <c r="M84" t="inlineStr">
        <is>
          <t>Konstruksi Bangunan Sipil Jalan</t>
        </is>
      </c>
      <c r="N84" t="inlineStr">
        <is>
          <t>K</t>
        </is>
      </c>
      <c r="O84" t="inlineStr">
        <is>
          <t>20230403</t>
        </is>
      </c>
      <c r="P84" t="inlineStr">
        <is>
          <t>Sumatera Barat</t>
        </is>
      </c>
      <c r="Q84" t="inlineStr"/>
    </row>
    <row r="85">
      <c r="A85" t="inlineStr">
        <is>
          <t>PUTRI BUNGSU FLAMBOYAN</t>
        </is>
      </c>
      <c r="B85" t="inlineStr">
        <is>
          <t>Kab. Purwakarta</t>
        </is>
      </c>
      <c r="C85" t="inlineStr">
        <is>
          <t>082219702808</t>
        </is>
      </c>
      <c r="D85" t="inlineStr">
        <is>
          <t>putribungsuflamboyan@gmail.com</t>
        </is>
      </c>
      <c r="E85" t="inlineStr">
        <is>
          <t>https://lpjk.pu.go.id/search-badan-usaha-detail/Qjd1eExac0JRSXRRc3h6T2JaUDRkUT09</t>
        </is>
      </c>
      <c r="F85" t="n">
        <v>1</v>
      </c>
      <c r="G85" t="inlineStr">
        <is>
          <t>BG005</t>
        </is>
      </c>
      <c r="H85" t="inlineStr">
        <is>
          <t>18 September 2019</t>
        </is>
      </c>
      <c r="I85" s="2" t="n">
        <v>46317</v>
      </c>
      <c r="J85" t="inlineStr">
        <is>
          <t>Disetujui</t>
        </is>
      </c>
      <c r="K85" t="n">
        <v>30</v>
      </c>
      <c r="L85" t="inlineStr">
        <is>
          <t>22 Oktober 2026</t>
        </is>
      </c>
      <c r="M85" t="inlineStr">
        <is>
          <t>Konstruksi Gedung Kesehatan</t>
        </is>
      </c>
      <c r="N85" t="inlineStr">
        <is>
          <t>K</t>
        </is>
      </c>
      <c r="O85" t="inlineStr">
        <is>
          <t>20231020</t>
        </is>
      </c>
      <c r="P85" t="inlineStr">
        <is>
          <t>Jawa Barat</t>
        </is>
      </c>
      <c r="Q85" t="inlineStr"/>
    </row>
    <row r="86">
      <c r="A86" t="inlineStr">
        <is>
          <t>RATU JAYA</t>
        </is>
      </c>
      <c r="B86" t="inlineStr">
        <is>
          <t>Kab. Purwakarta</t>
        </is>
      </c>
      <c r="C86" t="inlineStr">
        <is>
          <t>081909304465</t>
        </is>
      </c>
      <c r="D86" t="inlineStr">
        <is>
          <t>cv_ratujaya@yahoo.com</t>
        </is>
      </c>
      <c r="E86" t="inlineStr">
        <is>
          <t>https://lpjk.pu.go.id/search-badan-usaha-detail/bElVVkM2SlFjako4YUtyTUhuZmtqdz09</t>
        </is>
      </c>
      <c r="F86" t="n">
        <v>1</v>
      </c>
      <c r="G86" t="inlineStr">
        <is>
          <t>BS004</t>
        </is>
      </c>
      <c r="H86" t="inlineStr">
        <is>
          <t>7 Desember 2011</t>
        </is>
      </c>
      <c r="I86" s="2" t="n">
        <v>46317</v>
      </c>
      <c r="J86" t="inlineStr">
        <is>
          <t>Disetujui</t>
        </is>
      </c>
      <c r="K86" t="n">
        <v>30</v>
      </c>
      <c r="L86" t="inlineStr">
        <is>
          <t>22 Oktober 2026</t>
        </is>
      </c>
      <c r="M86" t="inlineStr">
        <is>
          <t>Konstruksi Jaringan Irigasi dan Drainase</t>
        </is>
      </c>
      <c r="N86" t="inlineStr">
        <is>
          <t>K</t>
        </is>
      </c>
      <c r="O86" t="inlineStr">
        <is>
          <t>20231004</t>
        </is>
      </c>
      <c r="P86" t="inlineStr">
        <is>
          <t>Jawa Barat</t>
        </is>
      </c>
      <c r="Q86" t="inlineStr"/>
    </row>
    <row r="87">
      <c r="A87" t="inlineStr">
        <is>
          <t>REKAYASA RUMAH INDONESIA</t>
        </is>
      </c>
      <c r="B87" t="inlineStr">
        <is>
          <t>Kota Bontang</t>
        </is>
      </c>
      <c r="C87" t="inlineStr">
        <is>
          <t>082352362022</t>
        </is>
      </c>
      <c r="D87" t="inlineStr">
        <is>
          <t>rri.karyamandiri@gmail.com</t>
        </is>
      </c>
      <c r="E87" t="inlineStr">
        <is>
          <t>https://lpjk.pu.go.id/search-badan-usaha-detail/TDFXajFJS3RNWlhBU1ZCSFdpVHNMUT09</t>
        </is>
      </c>
      <c r="F87" t="n">
        <v>6</v>
      </c>
      <c r="G87" t="inlineStr">
        <is>
          <t>RK001, RK002, RK003</t>
        </is>
      </c>
      <c r="H87" t="inlineStr">
        <is>
          <t>29 September 2023</t>
        </is>
      </c>
      <c r="I87" s="2" t="n">
        <v>46317</v>
      </c>
      <c r="J87" t="inlineStr">
        <is>
          <t>Disetujui</t>
        </is>
      </c>
      <c r="K87" t="n">
        <v>30</v>
      </c>
      <c r="L87" t="inlineStr">
        <is>
          <t>22 Oktober 2026</t>
        </is>
      </c>
      <c r="M87" t="inlineStr">
        <is>
          <t>Jasa Rekayasa Konstruksi Bangunan Gedung Hunian dan Non Hunian, Jasa Rekayasa Pekerjaan Teknik Sipil Sumber Daya Air, Jasa Rekayasa Pekerjaan Teknik Sipil Transportasi</t>
        </is>
      </c>
      <c r="N87" t="inlineStr">
        <is>
          <t>K</t>
        </is>
      </c>
      <c r="O87" t="inlineStr">
        <is>
          <t>20231013</t>
        </is>
      </c>
      <c r="P87" t="inlineStr">
        <is>
          <t>Kalimantan Timur</t>
        </is>
      </c>
      <c r="Q87" t="inlineStr"/>
    </row>
    <row r="88">
      <c r="A88" t="inlineStr">
        <is>
          <t>RIZKY IRTAZA ANGKOLA JAYA</t>
        </is>
      </c>
      <c r="B88" t="inlineStr">
        <is>
          <t>Kota Padang Sidempuan</t>
        </is>
      </c>
      <c r="C88" t="inlineStr">
        <is>
          <t>081261321488</t>
        </is>
      </c>
      <c r="D88" t="inlineStr">
        <is>
          <t>cvrizkyirtaza@gmail.com</t>
        </is>
      </c>
      <c r="E88" t="inlineStr">
        <is>
          <t>https://lpjk.pu.go.id/search-badan-usaha-detail/aXlselgvRmF6NmYwRitZeGZvdFlDUT09</t>
        </is>
      </c>
      <c r="F88" t="n">
        <v>5</v>
      </c>
      <c r="G88" t="inlineStr">
        <is>
          <t>BG005, BG006, BS001, BS002, BS004</t>
        </is>
      </c>
      <c r="H88" t="inlineStr">
        <is>
          <t>13 Oktober 2023</t>
        </is>
      </c>
      <c r="I88" s="2" t="n">
        <v>46317</v>
      </c>
      <c r="J88" t="inlineStr">
        <is>
          <t>Disetujui, Pencabutan</t>
        </is>
      </c>
      <c r="K88" t="n">
        <v>30</v>
      </c>
      <c r="L88" t="inlineStr">
        <is>
          <t>22 Oktober 2026</t>
        </is>
      </c>
      <c r="M88" t="inlineStr">
        <is>
          <t>Bangunan Sipil Jembatan, Jalan Layang, Fly Over, dan Underpass, Konstruksi Bangunan Sipil Jalan, Konstruksi Gedung Kesehatan, Konstruksi Gedung Pendidikan, Konstruksi Jaringan Irigasi dan Drainase</t>
        </is>
      </c>
      <c r="N88" t="inlineStr">
        <is>
          <t>K</t>
        </is>
      </c>
      <c r="O88" t="inlineStr">
        <is>
          <t>20231022, 20231023, 20231024</t>
        </is>
      </c>
      <c r="P88" t="inlineStr">
        <is>
          <t>Sumatera Utara</t>
        </is>
      </c>
      <c r="Q88" t="inlineStr"/>
    </row>
    <row r="89">
      <c r="A89" t="inlineStr">
        <is>
          <t>SAKA ENGINEERING</t>
        </is>
      </c>
      <c r="B89" t="inlineStr">
        <is>
          <t>Kab. Paser</t>
        </is>
      </c>
      <c r="C89" t="inlineStr">
        <is>
          <t>081351566504</t>
        </is>
      </c>
      <c r="D89" t="inlineStr">
        <is>
          <t>sakaengineering2019@gmail.com</t>
        </is>
      </c>
      <c r="E89" t="inlineStr">
        <is>
          <t>https://lpjk.pu.go.id/search-badan-usaha-detail/TkYwaVRUaGlUUGlDTjFtM0VndFhzdz09</t>
        </is>
      </c>
      <c r="F89" t="n">
        <v>3</v>
      </c>
      <c r="G89" t="inlineStr">
        <is>
          <t>RK001, RK002, RK003</t>
        </is>
      </c>
      <c r="H89" t="inlineStr">
        <is>
          <t>7 Januari 2019</t>
        </is>
      </c>
      <c r="I89" s="2" t="n">
        <v>46317</v>
      </c>
      <c r="J89" t="inlineStr">
        <is>
          <t>Disetujui</t>
        </is>
      </c>
      <c r="K89" t="n">
        <v>30</v>
      </c>
      <c r="L89" t="inlineStr">
        <is>
          <t>22 Oktober 2026</t>
        </is>
      </c>
      <c r="M89" t="inlineStr">
        <is>
          <t>Jasa Rekayasa Konstruksi Bangunan Gedung Hunian dan Non Hunian, Jasa Rekayasa Pekerjaan Teknik Sipil Sumber Daya Air, Jasa Rekayasa Pekerjaan Teknik Sipil Transportasi</t>
        </is>
      </c>
      <c r="N89" t="inlineStr">
        <is>
          <t>K</t>
        </is>
      </c>
      <c r="O89" t="inlineStr">
        <is>
          <t>20231015</t>
        </is>
      </c>
      <c r="P89" t="inlineStr">
        <is>
          <t>Kalimantan Timur</t>
        </is>
      </c>
      <c r="Q89" t="inlineStr"/>
    </row>
    <row r="90">
      <c r="A90" t="inlineStr">
        <is>
          <t>SAMAH SURYA GEMILANG</t>
        </is>
      </c>
      <c r="B90" t="inlineStr">
        <is>
          <t>Kota Jayapura</t>
        </is>
      </c>
      <c r="C90" t="inlineStr">
        <is>
          <t>-</t>
        </is>
      </c>
      <c r="D90" t="inlineStr">
        <is>
          <t>samahsuryagemilang@gmail.com</t>
        </is>
      </c>
      <c r="E90" t="inlineStr">
        <is>
          <t>https://lpjk.pu.go.id/search-badan-usaha-detail/a2NERGNtMWJVUS9VYWs4dWxBRnpDZz09</t>
        </is>
      </c>
      <c r="F90" t="n">
        <v>3</v>
      </c>
      <c r="G90" t="inlineStr">
        <is>
          <t>BS001, BS005, BS011</t>
        </is>
      </c>
      <c r="H90" t="inlineStr">
        <is>
          <t>21 September 2023</t>
        </is>
      </c>
      <c r="I90" s="2" t="n">
        <v>46317</v>
      </c>
      <c r="J90" t="inlineStr">
        <is>
          <t>Disetujui</t>
        </is>
      </c>
      <c r="K90" t="n">
        <v>30</v>
      </c>
      <c r="L90" t="inlineStr">
        <is>
          <t>22 Oktober 2026</t>
        </is>
      </c>
      <c r="M90" t="inlineStr">
        <is>
          <t>Konstruksi Bangunan Pelabuhan Bukan Perikanan, Konstruksi Bangunan Sipil Jalan, Konstruksi Bangunan Sipil Pengolahan Air Bersih</t>
        </is>
      </c>
      <c r="N90" t="inlineStr">
        <is>
          <t>K</t>
        </is>
      </c>
      <c r="O90" t="inlineStr">
        <is>
          <t>20231023</t>
        </is>
      </c>
      <c r="P90" t="inlineStr">
        <is>
          <t>Papua</t>
        </is>
      </c>
      <c r="Q90" t="inlineStr"/>
    </row>
    <row r="91">
      <c r="A91" t="inlineStr">
        <is>
          <t>SARANA KARYA MANUNGGAL</t>
        </is>
      </c>
      <c r="B91" t="inlineStr">
        <is>
          <t>Kab. Madiun</t>
        </is>
      </c>
      <c r="C91" t="inlineStr">
        <is>
          <t>081231337704</t>
        </is>
      </c>
      <c r="D91" t="inlineStr">
        <is>
          <t>saranakaryamanunggal_cv@yahoo.com</t>
        </is>
      </c>
      <c r="E91" t="inlineStr">
        <is>
          <t>https://lpjk.pu.go.id/search-badan-usaha-detail/aEJCYVE1blpkeVB5c2dmbHVwdGpTUT09</t>
        </is>
      </c>
      <c r="F91" t="n">
        <v>2</v>
      </c>
      <c r="G91" t="inlineStr">
        <is>
          <t>BS001, BS005</t>
        </is>
      </c>
      <c r="H91" t="inlineStr">
        <is>
          <t>6 Desember 2007</t>
        </is>
      </c>
      <c r="I91" s="2" t="n">
        <v>46317</v>
      </c>
      <c r="J91" t="inlineStr">
        <is>
          <t>Disetujui</t>
        </is>
      </c>
      <c r="K91" t="n">
        <v>30</v>
      </c>
      <c r="L91" t="inlineStr">
        <is>
          <t>22 Oktober 2026</t>
        </is>
      </c>
      <c r="M91" t="inlineStr">
        <is>
          <t>Konstruksi Bangunan Sipil Jalan, Konstruksi Bangunan Sipil Pengolahan Air Bersih</t>
        </is>
      </c>
      <c r="N91" t="inlineStr">
        <is>
          <t>K</t>
        </is>
      </c>
      <c r="O91" t="inlineStr">
        <is>
          <t>20230914</t>
        </is>
      </c>
      <c r="P91" t="inlineStr">
        <is>
          <t>Jawa Timur</t>
        </is>
      </c>
      <c r="Q91" t="inlineStr"/>
    </row>
    <row r="92">
      <c r="A92" t="inlineStr">
        <is>
          <t>SEJAHTERA JAYA ABADI</t>
        </is>
      </c>
      <c r="B92" t="inlineStr">
        <is>
          <t>Kota Palembang</t>
        </is>
      </c>
      <c r="C92" t="inlineStr">
        <is>
          <t>0711510760</t>
        </is>
      </c>
      <c r="D92" t="inlineStr">
        <is>
          <t>chandra.sejahtera07@gmail.com</t>
        </is>
      </c>
      <c r="E92" t="inlineStr">
        <is>
          <t>https://lpjk.pu.go.id/search-badan-usaha-detail/bEY2TjZLTzE2dFJGN0xFZThEaVlJdz09</t>
        </is>
      </c>
      <c r="F92" t="n">
        <v>2</v>
      </c>
      <c r="G92" t="inlineStr">
        <is>
          <t>IN004, PL003</t>
        </is>
      </c>
      <c r="H92" t="inlineStr">
        <is>
          <t>8 Maret 2004</t>
        </is>
      </c>
      <c r="I92" s="2" t="n">
        <v>46317</v>
      </c>
      <c r="J92" t="inlineStr">
        <is>
          <t>Disetujui</t>
        </is>
      </c>
      <c r="K92" t="n">
        <v>30</v>
      </c>
      <c r="L92" t="inlineStr">
        <is>
          <t>22 Oktober 2026</t>
        </is>
      </c>
      <c r="M92" t="inlineStr">
        <is>
          <t>Instalasi Minyak dan Gas, Penyiapan Lahan Konstruksi</t>
        </is>
      </c>
      <c r="N92" t="inlineStr">
        <is>
          <t>Spesialis</t>
        </is>
      </c>
      <c r="O92" t="inlineStr">
        <is>
          <t>20230828, 20230917</t>
        </is>
      </c>
      <c r="P92" t="inlineStr">
        <is>
          <t>Sumatera Selatan</t>
        </is>
      </c>
      <c r="Q92" t="inlineStr"/>
    </row>
    <row r="93">
      <c r="A93" t="inlineStr">
        <is>
          <t>SEMERU ARGAPURA</t>
        </is>
      </c>
      <c r="B93" t="inlineStr">
        <is>
          <t>Kab. Lahat</t>
        </is>
      </c>
      <c r="C93" t="inlineStr">
        <is>
          <t>082186006347</t>
        </is>
      </c>
      <c r="D93" t="inlineStr">
        <is>
          <t>semeruargapura@gmail.com</t>
        </is>
      </c>
      <c r="E93" t="inlineStr">
        <is>
          <t>https://lpjk.pu.go.id/search-badan-usaha-detail/alNRbDIrbmRNSGRCQm4xZzBnc0lpUT09</t>
        </is>
      </c>
      <c r="F93" t="n">
        <v>1</v>
      </c>
      <c r="G93" t="inlineStr">
        <is>
          <t>BG009</t>
        </is>
      </c>
      <c r="H93" t="inlineStr">
        <is>
          <t>18 Mei 2021</t>
        </is>
      </c>
      <c r="I93" s="2" t="n">
        <v>46317</v>
      </c>
      <c r="J93" t="inlineStr">
        <is>
          <t>Disetujui</t>
        </is>
      </c>
      <c r="K93" t="n">
        <v>30</v>
      </c>
      <c r="L93" t="inlineStr">
        <is>
          <t>22 Oktober 2026</t>
        </is>
      </c>
      <c r="M93" t="inlineStr">
        <is>
          <t>Konstruksi Gedung Lainnya</t>
        </is>
      </c>
      <c r="N93" t="inlineStr">
        <is>
          <t>K</t>
        </is>
      </c>
      <c r="O93" t="inlineStr">
        <is>
          <t>20231018</t>
        </is>
      </c>
      <c r="P93" t="inlineStr">
        <is>
          <t>Sumatera Selatan</t>
        </is>
      </c>
      <c r="Q93" t="inlineStr"/>
    </row>
    <row r="94">
      <c r="A94" t="inlineStr">
        <is>
          <t>SENDANGMULYO</t>
        </is>
      </c>
      <c r="B94" t="inlineStr">
        <is>
          <t>Kota Semarang</t>
        </is>
      </c>
      <c r="C94" t="inlineStr">
        <is>
          <t>082227132271</t>
        </is>
      </c>
      <c r="D94" t="inlineStr">
        <is>
          <t>cvsendangmulyo.smg@gmail.com</t>
        </is>
      </c>
      <c r="E94" t="inlineStr">
        <is>
          <t>https://lpjk.pu.go.id/search-badan-usaha-detail/NDhEbHd1T0pQbnppUER0TUJYTkg3UT09</t>
        </is>
      </c>
      <c r="F94" t="n">
        <v>3</v>
      </c>
      <c r="G94" t="inlineStr">
        <is>
          <t>BG002, BG006, BG009</t>
        </is>
      </c>
      <c r="H94" t="inlineStr">
        <is>
          <t>24 Juni 2020</t>
        </is>
      </c>
      <c r="I94" s="2" t="n">
        <v>46317</v>
      </c>
      <c r="J94" t="inlineStr">
        <is>
          <t>Disetujui</t>
        </is>
      </c>
      <c r="K94" t="n">
        <v>30</v>
      </c>
      <c r="L94" t="inlineStr">
        <is>
          <t>22 Oktober 2026</t>
        </is>
      </c>
      <c r="M94" t="inlineStr">
        <is>
          <t>Konstruksi Gedung Lainnya, Konstruksi Gedung Pendidikan, Konstruksi Gedung Perkantoran</t>
        </is>
      </c>
      <c r="N94" t="inlineStr">
        <is>
          <t>K</t>
        </is>
      </c>
      <c r="O94" t="inlineStr">
        <is>
          <t>20231021</t>
        </is>
      </c>
      <c r="P94" t="inlineStr">
        <is>
          <t>Jawa Tengah</t>
        </is>
      </c>
      <c r="Q94" t="inlineStr"/>
    </row>
    <row r="95">
      <c r="A95" t="inlineStr">
        <is>
          <t>SIGMA TUAH KAMPAR</t>
        </is>
      </c>
      <c r="B95" t="inlineStr">
        <is>
          <t>Kab. Kampar</t>
        </is>
      </c>
      <c r="C95" t="inlineStr">
        <is>
          <t>081260199262</t>
        </is>
      </c>
      <c r="D95" t="inlineStr">
        <is>
          <t>sigmatuahkampar@gmail.com</t>
        </is>
      </c>
      <c r="E95" t="inlineStr">
        <is>
          <t>https://lpjk.pu.go.id/search-badan-usaha-detail/YUQzWm9FQVUyeHQ5ZkFFOXNQQWMvQT09</t>
        </is>
      </c>
      <c r="F95" t="n">
        <v>4</v>
      </c>
      <c r="G95" t="inlineStr">
        <is>
          <t>BS001, BS002</t>
        </is>
      </c>
      <c r="H95" t="inlineStr">
        <is>
          <t>20 Januari 2005</t>
        </is>
      </c>
      <c r="I95" s="2" t="n">
        <v>46317</v>
      </c>
      <c r="J95" t="inlineStr">
        <is>
          <t>Disetujui</t>
        </is>
      </c>
      <c r="K95" t="n">
        <v>30</v>
      </c>
      <c r="L95" t="inlineStr">
        <is>
          <t>22 Oktober 2026</t>
        </is>
      </c>
      <c r="M95" t="inlineStr">
        <is>
          <t>Bangunan Sipil Jembatan, Jalan Layang, Fly Over, dan Underpass, Konstruksi Bangunan Sipil Jalan</t>
        </is>
      </c>
      <c r="N95" t="inlineStr">
        <is>
          <t>K</t>
        </is>
      </c>
      <c r="O95" t="inlineStr">
        <is>
          <t>20231011</t>
        </is>
      </c>
      <c r="P95" t="inlineStr">
        <is>
          <t>Riau</t>
        </is>
      </c>
      <c r="Q95" t="inlineStr"/>
    </row>
    <row r="96">
      <c r="A96" t="inlineStr">
        <is>
          <t>SINAR MULYA</t>
        </is>
      </c>
      <c r="B96" t="inlineStr">
        <is>
          <t>Kota Surabaya</t>
        </is>
      </c>
      <c r="C96" t="inlineStr">
        <is>
          <t>08123122781</t>
        </is>
      </c>
      <c r="D96" t="inlineStr">
        <is>
          <t>rustiyonost@yahoo.com</t>
        </is>
      </c>
      <c r="E96" t="inlineStr">
        <is>
          <t>https://lpjk.pu.go.id/search-badan-usaha-detail/TmtzYnJYQ241UHJMQ3MwREpnL1VtZz09</t>
        </is>
      </c>
      <c r="F96" t="n">
        <v>3</v>
      </c>
      <c r="G96" t="inlineStr">
        <is>
          <t>BG006, BG008, BG009</t>
        </is>
      </c>
      <c r="H96" t="inlineStr">
        <is>
          <t>7 Juli 1993</t>
        </is>
      </c>
      <c r="I96" s="2" t="n">
        <v>46317</v>
      </c>
      <c r="J96" t="inlineStr">
        <is>
          <t>Disetujui</t>
        </is>
      </c>
      <c r="K96" t="n">
        <v>30</v>
      </c>
      <c r="L96" t="inlineStr">
        <is>
          <t>22 Oktober 2026</t>
        </is>
      </c>
      <c r="M96" t="inlineStr">
        <is>
          <t>Konstruksi Gedung Lainnya, Konstruksi Gedung Pendidikan, Konstruksi Gedung Tempat Hiburan dan Olahraga</t>
        </is>
      </c>
      <c r="N96" t="inlineStr">
        <is>
          <t>K</t>
        </is>
      </c>
      <c r="O96" t="inlineStr">
        <is>
          <t>20231012, 20231013</t>
        </is>
      </c>
      <c r="P96" t="inlineStr">
        <is>
          <t>Jawa Timur</t>
        </is>
      </c>
      <c r="Q96" t="inlineStr"/>
    </row>
    <row r="97">
      <c r="A97" t="inlineStr">
        <is>
          <t>SINAR SALWA PERSADA</t>
        </is>
      </c>
      <c r="B97" t="inlineStr">
        <is>
          <t>Kota Bengkulu</t>
        </is>
      </c>
      <c r="C97" t="inlineStr">
        <is>
          <t>081368189253</t>
        </is>
      </c>
      <c r="D97" t="inlineStr">
        <is>
          <t>sinarsalwapersada@gmail.com</t>
        </is>
      </c>
      <c r="E97" t="inlineStr">
        <is>
          <t>https://lpjk.pu.go.id/search-badan-usaha-detail/Yiszclo1bmd0U2x2TEl6SlYrVVhPQT09</t>
        </is>
      </c>
      <c r="F97" t="n">
        <v>1</v>
      </c>
      <c r="G97" t="inlineStr">
        <is>
          <t>BS004</t>
        </is>
      </c>
      <c r="H97" t="inlineStr">
        <is>
          <t>20 September 2023</t>
        </is>
      </c>
      <c r="I97" s="2" t="n">
        <v>46317</v>
      </c>
      <c r="J97" t="inlineStr">
        <is>
          <t>Disetujui</t>
        </is>
      </c>
      <c r="K97" t="n">
        <v>30</v>
      </c>
      <c r="L97" t="inlineStr">
        <is>
          <t>22 Oktober 2026</t>
        </is>
      </c>
      <c r="M97" t="inlineStr">
        <is>
          <t>Konstruksi Jaringan Irigasi dan Drainase</t>
        </is>
      </c>
      <c r="N97" t="inlineStr">
        <is>
          <t>K</t>
        </is>
      </c>
      <c r="O97" t="inlineStr">
        <is>
          <t>20231020</t>
        </is>
      </c>
      <c r="P97" t="inlineStr">
        <is>
          <t>Bengkulu</t>
        </is>
      </c>
      <c r="Q97" t="inlineStr"/>
    </row>
    <row r="98">
      <c r="A98" t="inlineStr">
        <is>
          <t>SUCI KARYABADINUSA</t>
        </is>
      </c>
      <c r="B98" t="inlineStr">
        <is>
          <t>Kota Bandar Lampung</t>
        </is>
      </c>
      <c r="C98" t="inlineStr">
        <is>
          <t>0721-263786</t>
        </is>
      </c>
      <c r="D98" t="inlineStr">
        <is>
          <t>skaryabadinusa@gmail.com</t>
        </is>
      </c>
      <c r="E98" t="inlineStr">
        <is>
          <t>https://lpjk.pu.go.id/search-badan-usaha-detail/eHdvYktzdUtoc2NIdUpienc0YXAyQlVsaHl6ZUVyL0plQk4yODE4UWpGaz0</t>
        </is>
      </c>
      <c r="F98" t="n">
        <v>1</v>
      </c>
      <c r="G98" t="inlineStr">
        <is>
          <t>BS002</t>
        </is>
      </c>
      <c r="H98" t="inlineStr">
        <is>
          <t>27 Februari 2023</t>
        </is>
      </c>
      <c r="I98" s="2" t="n">
        <v>46317</v>
      </c>
      <c r="J98" t="inlineStr">
        <is>
          <t>Disetujui</t>
        </is>
      </c>
      <c r="K98" t="n">
        <v>30</v>
      </c>
      <c r="L98" t="inlineStr">
        <is>
          <t>22 Oktober 2026</t>
        </is>
      </c>
      <c r="M98" t="inlineStr">
        <is>
          <t>Bangunan Sipil Jembatan, Jalan Layang, Fly Over, dan Underpass</t>
        </is>
      </c>
      <c r="N98" t="inlineStr">
        <is>
          <t>M</t>
        </is>
      </c>
      <c r="O98" t="inlineStr">
        <is>
          <t>20231013</t>
        </is>
      </c>
      <c r="P98" t="inlineStr">
        <is>
          <t>Lampung</t>
        </is>
      </c>
      <c r="Q98" t="inlineStr"/>
    </row>
    <row r="99">
      <c r="A99" t="inlineStr">
        <is>
          <t>SUKSES SEKAWAN</t>
        </is>
      </c>
      <c r="B99" t="inlineStr">
        <is>
          <t>Kab. Tanjung Jabung Barat</t>
        </is>
      </c>
      <c r="C99" t="inlineStr">
        <is>
          <t>082373324747</t>
        </is>
      </c>
      <c r="D99" t="inlineStr">
        <is>
          <t>marhattj88@gmail.com</t>
        </is>
      </c>
      <c r="E99" t="inlineStr">
        <is>
          <t>https://lpjk.pu.go.id/search-badan-usaha-detail/c2F1ZTlYTldJcTNYbkduaHlDc0JQMlZzdDJPZ09PK0pJOEFZTkhwZk1YMD0</t>
        </is>
      </c>
      <c r="F99" t="n">
        <v>1</v>
      </c>
      <c r="G99" t="inlineStr">
        <is>
          <t>BS010</t>
        </is>
      </c>
      <c r="H99" t="inlineStr">
        <is>
          <t>20 Januari 2026</t>
        </is>
      </c>
      <c r="I99" s="2" t="n">
        <v>46317</v>
      </c>
      <c r="J99" t="inlineStr">
        <is>
          <t>Disetujui</t>
        </is>
      </c>
      <c r="K99" t="n">
        <v>30</v>
      </c>
      <c r="L99" t="inlineStr">
        <is>
          <t>22 Oktober 2026</t>
        </is>
      </c>
      <c r="M99" t="inlineStr">
        <is>
          <t>Konstruksi Bangunan Prasarana Sumber Daya Air</t>
        </is>
      </c>
      <c r="N99" t="inlineStr">
        <is>
          <t>K</t>
        </is>
      </c>
      <c r="O99" t="inlineStr">
        <is>
          <t>20231020</t>
        </is>
      </c>
      <c r="P99" t="inlineStr">
        <is>
          <t>Jambi</t>
        </is>
      </c>
      <c r="Q99" t="inlineStr"/>
    </row>
    <row r="100">
      <c r="A100" t="inlineStr">
        <is>
          <t>TIARA NUSA BORNEO</t>
        </is>
      </c>
      <c r="B100" t="inlineStr">
        <is>
          <t>Kab. Banjar</t>
        </is>
      </c>
      <c r="C100" t="inlineStr">
        <is>
          <t>081340702998</t>
        </is>
      </c>
      <c r="D100" t="inlineStr">
        <is>
          <t>cv.tiaranusaborneo2.10@gmail.com</t>
        </is>
      </c>
      <c r="E100" t="inlineStr">
        <is>
          <t>https://lpjk.pu.go.id/search-badan-usaha-detail/WG4rQ3Vpei8xLzJSWjlORDh1aEJSUT09</t>
        </is>
      </c>
      <c r="F100" t="n">
        <v>7</v>
      </c>
      <c r="G100" t="inlineStr">
        <is>
          <t>BG002, BG004, BG005, BG006, BG009, BS001, BS004</t>
        </is>
      </c>
      <c r="H100" t="inlineStr">
        <is>
          <t>25 Agustus 2001</t>
        </is>
      </c>
      <c r="I100" s="2" t="n">
        <v>46317</v>
      </c>
      <c r="J100" t="inlineStr">
        <is>
          <t>Pencabutan</t>
        </is>
      </c>
      <c r="K100" t="n">
        <v>30</v>
      </c>
      <c r="L100" t="inlineStr">
        <is>
          <t>22 Oktober 2026</t>
        </is>
      </c>
      <c r="M100" t="inlineStr">
        <is>
          <t>Konstruksi Bangunan Sipil Jalan, Konstruksi Gedung Kesehatan, Konstruksi Gedung Lainnya, Konstruksi Gedung Pendidikan, Konstruksi Gedung Perbelanjaan, Konstruksi Gedung Perkantoran, Konstruksi Jaringan Irigasi dan Drainase</t>
        </is>
      </c>
      <c r="N100" t="inlineStr">
        <is>
          <t>K</t>
        </is>
      </c>
      <c r="O100" t="inlineStr">
        <is>
          <t>20231015</t>
        </is>
      </c>
      <c r="P100" t="inlineStr">
        <is>
          <t>Kalimantan Selatan</t>
        </is>
      </c>
      <c r="Q100" t="inlineStr"/>
    </row>
    <row r="101">
      <c r="A101" t="inlineStr">
        <is>
          <t>TIGA ANUGERAH UTAMA</t>
        </is>
      </c>
      <c r="B101" t="inlineStr">
        <is>
          <t>Kab. Sidoarjo</t>
        </is>
      </c>
      <c r="C101" t="inlineStr">
        <is>
          <t>0318851766</t>
        </is>
      </c>
      <c r="D101" t="inlineStr">
        <is>
          <t>cvtau.konsult@gmail.com</t>
        </is>
      </c>
      <c r="E101" t="inlineStr">
        <is>
          <t>https://lpjk.pu.go.id/search-badan-usaha-detail/amVhQ3Z4Ym9Oc2JWMmhmVGJ4YlhXQT09</t>
        </is>
      </c>
      <c r="F101" t="n">
        <v>3</v>
      </c>
      <c r="G101" t="inlineStr">
        <is>
          <t>BG005, BS001, BS010</t>
        </is>
      </c>
      <c r="H101" t="inlineStr">
        <is>
          <t>2 Maret 2004</t>
        </is>
      </c>
      <c r="I101" s="2" t="n">
        <v>46317</v>
      </c>
      <c r="J101" t="inlineStr">
        <is>
          <t>Disetujui</t>
        </is>
      </c>
      <c r="K101" t="n">
        <v>30</v>
      </c>
      <c r="L101" t="inlineStr">
        <is>
          <t>22 Oktober 2026</t>
        </is>
      </c>
      <c r="M101" t="inlineStr">
        <is>
          <t>Konstruksi Bangunan Prasarana Sumber Daya Air, Konstruksi Bangunan Sipil Jalan, Konstruksi Gedung Kesehatan</t>
        </is>
      </c>
      <c r="N101" t="inlineStr">
        <is>
          <t>K</t>
        </is>
      </c>
      <c r="O101" t="inlineStr">
        <is>
          <t>20231019, 20231021</t>
        </is>
      </c>
      <c r="P101" t="inlineStr">
        <is>
          <t>Jawa Timur</t>
        </is>
      </c>
      <c r="Q101" t="inlineStr"/>
    </row>
    <row r="102">
      <c r="A102" t="inlineStr">
        <is>
          <t>TONY ENVI REKAYASA</t>
        </is>
      </c>
      <c r="B102" t="inlineStr">
        <is>
          <t>Kota Bandung</t>
        </is>
      </c>
      <c r="C102" t="inlineStr">
        <is>
          <t>082120216888</t>
        </is>
      </c>
      <c r="D102" t="inlineStr">
        <is>
          <t>tera.envi@gmail.com</t>
        </is>
      </c>
      <c r="E102" t="inlineStr">
        <is>
          <t>https://lpjk.pu.go.id/search-badan-usaha-detail/UWVlbHdBbmhnSmxnTFNRWi9hd0Q0Zz09</t>
        </is>
      </c>
      <c r="F102" t="n">
        <v>1</v>
      </c>
      <c r="G102" t="inlineStr">
        <is>
          <t>BS002</t>
        </is>
      </c>
      <c r="H102" t="inlineStr">
        <is>
          <t>27 Juli 2023</t>
        </is>
      </c>
      <c r="I102" s="2" t="n">
        <v>46317</v>
      </c>
      <c r="J102" t="inlineStr">
        <is>
          <t>Disetujui</t>
        </is>
      </c>
      <c r="K102" t="n">
        <v>30</v>
      </c>
      <c r="L102" t="inlineStr">
        <is>
          <t>22 Oktober 2026</t>
        </is>
      </c>
      <c r="M102" t="inlineStr">
        <is>
          <t>Bangunan Sipil Jembatan, Jalan Layang, Fly Over, dan Underpass</t>
        </is>
      </c>
      <c r="N102" t="inlineStr">
        <is>
          <t>K</t>
        </is>
      </c>
      <c r="O102" t="inlineStr">
        <is>
          <t>20231023</t>
        </is>
      </c>
      <c r="P102" t="inlineStr">
        <is>
          <t>Jawa Barat</t>
        </is>
      </c>
      <c r="Q102" t="inlineStr"/>
    </row>
    <row r="103">
      <c r="A103" t="inlineStr">
        <is>
          <t>TRIABADI TEKNIK</t>
        </is>
      </c>
      <c r="B103" t="inlineStr">
        <is>
          <t>Kab. Bantul</t>
        </is>
      </c>
      <c r="C103" t="inlineStr">
        <is>
          <t>087738046000</t>
        </is>
      </c>
      <c r="D103" t="inlineStr">
        <is>
          <t>triabaditeknik@gmail.com</t>
        </is>
      </c>
      <c r="E103" t="inlineStr">
        <is>
          <t>https://lpjk.pu.go.id/search-badan-usaha-detail/VkZxVWFwMHNVWlNqTGlKd2IvdXJ3QT09</t>
        </is>
      </c>
      <c r="F103" t="n">
        <v>4</v>
      </c>
      <c r="G103" t="inlineStr">
        <is>
          <t>BG002, BG003, BG004, BG005</t>
        </is>
      </c>
      <c r="H103" t="inlineStr">
        <is>
          <t>22 Juli 2020</t>
        </is>
      </c>
      <c r="I103" s="2" t="n">
        <v>46317</v>
      </c>
      <c r="J103" t="inlineStr">
        <is>
          <t>Disetujui</t>
        </is>
      </c>
      <c r="K103" t="n">
        <v>30</v>
      </c>
      <c r="L103" t="inlineStr">
        <is>
          <t>22 Oktober 2026</t>
        </is>
      </c>
      <c r="M103" t="inlineStr">
        <is>
          <t>Konstruksi Gedung Industri, Konstruksi Gedung Kesehatan, Konstruksi Gedung Perbelanjaan, Konstruksi Gedung Perkantoran</t>
        </is>
      </c>
      <c r="N103" t="inlineStr">
        <is>
          <t>K</t>
        </is>
      </c>
      <c r="O103" t="inlineStr">
        <is>
          <t>20231009</t>
        </is>
      </c>
      <c r="P103" t="inlineStr">
        <is>
          <t>DI Yogyakarta</t>
        </is>
      </c>
      <c r="Q103" t="inlineStr"/>
    </row>
    <row r="104">
      <c r="A104" t="inlineStr">
        <is>
          <t>TRIMACON ENGINEERING</t>
        </is>
      </c>
      <c r="B104" t="inlineStr">
        <is>
          <t>Kab. Cianjur</t>
        </is>
      </c>
      <c r="C104" t="inlineStr">
        <is>
          <t>02635082542</t>
        </is>
      </c>
      <c r="D104" t="inlineStr">
        <is>
          <t>trimacon_eng@yahoo.com</t>
        </is>
      </c>
      <c r="E104" t="inlineStr">
        <is>
          <t>https://lpjk.pu.go.id/search-badan-usaha-detail/Q1lNd2FNNUwyVVFKRDlDL0UzTmp6QT09</t>
        </is>
      </c>
      <c r="F104" t="n">
        <v>6</v>
      </c>
      <c r="G104" t="inlineStr">
        <is>
          <t>RK001, RK002, RK003</t>
        </is>
      </c>
      <c r="H104" t="inlineStr">
        <is>
          <t>19 Oktober 1999</t>
        </is>
      </c>
      <c r="I104" s="2" t="n">
        <v>46317</v>
      </c>
      <c r="J104" t="inlineStr">
        <is>
          <t>Disetujui</t>
        </is>
      </c>
      <c r="K104" t="n">
        <v>30</v>
      </c>
      <c r="L104" t="inlineStr">
        <is>
          <t>22 Oktober 2026</t>
        </is>
      </c>
      <c r="M104" t="inlineStr">
        <is>
          <t>Jasa Rekayasa Konstruksi Bangunan Gedung Hunian dan Non Hunian, Jasa Rekayasa Pekerjaan Teknik Sipil Sumber Daya Air, Jasa Rekayasa Pekerjaan Teknik Sipil Transportasi</t>
        </is>
      </c>
      <c r="N104" t="inlineStr">
        <is>
          <t>K</t>
        </is>
      </c>
      <c r="O104" t="inlineStr">
        <is>
          <t>20231014</t>
        </is>
      </c>
      <c r="P104" t="inlineStr">
        <is>
          <t>Jawa Barat</t>
        </is>
      </c>
      <c r="Q104" t="inlineStr"/>
    </row>
    <row r="105">
      <c r="A105" t="inlineStr">
        <is>
          <t>TRISAKA PUTRA</t>
        </is>
      </c>
      <c r="B105" t="inlineStr">
        <is>
          <t>Kab. Nganjuk</t>
        </is>
      </c>
      <c r="C105" t="inlineStr">
        <is>
          <t>082140790521</t>
        </is>
      </c>
      <c r="D105" t="inlineStr">
        <is>
          <t>trisakaputra03@gmail.com</t>
        </is>
      </c>
      <c r="E105" t="inlineStr">
        <is>
          <t>https://lpjk.pu.go.id/search-badan-usaha-detail/WDZYUUlKSjNURzBrMDJkMzVpLytGdz09</t>
        </is>
      </c>
      <c r="F105" t="n">
        <v>1</v>
      </c>
      <c r="G105" t="inlineStr">
        <is>
          <t>BS001</t>
        </is>
      </c>
      <c r="H105" t="inlineStr">
        <is>
          <t>2 Februari 2023</t>
        </is>
      </c>
      <c r="I105" s="2" t="n">
        <v>46317</v>
      </c>
      <c r="J105" t="inlineStr">
        <is>
          <t>Disetujui</t>
        </is>
      </c>
      <c r="K105" t="n">
        <v>30</v>
      </c>
      <c r="L105" t="inlineStr">
        <is>
          <t>22 Oktober 2026</t>
        </is>
      </c>
      <c r="M105" t="inlineStr">
        <is>
          <t>Konstruksi Bangunan Sipil Jalan</t>
        </is>
      </c>
      <c r="N105" t="inlineStr">
        <is>
          <t>K</t>
        </is>
      </c>
      <c r="O105" t="inlineStr">
        <is>
          <t>20231013</t>
        </is>
      </c>
      <c r="P105" t="inlineStr">
        <is>
          <t>Jawa Timur</t>
        </is>
      </c>
      <c r="Q105" t="inlineStr"/>
    </row>
    <row r="106">
      <c r="A106" t="inlineStr">
        <is>
          <t>ULI ARTA TUA</t>
        </is>
      </c>
      <c r="B106" t="inlineStr">
        <is>
          <t>Kota Pematangsiantar</t>
        </is>
      </c>
      <c r="C106" t="inlineStr">
        <is>
          <t>081397663551</t>
        </is>
      </c>
      <c r="D106" t="inlineStr">
        <is>
          <t>cv.uliartatua@gmail.com</t>
        </is>
      </c>
      <c r="E106" t="inlineStr">
        <is>
          <t>https://lpjk.pu.go.id/search-badan-usaha-detail/UU9BUm9FbFZ2VmluaW9xUVpqWWllQT09</t>
        </is>
      </c>
      <c r="F106" t="n">
        <v>1</v>
      </c>
      <c r="G106" t="inlineStr">
        <is>
          <t>BG006</t>
        </is>
      </c>
      <c r="H106" t="inlineStr">
        <is>
          <t>31 Januari 2017</t>
        </is>
      </c>
      <c r="I106" s="2" t="n">
        <v>46317</v>
      </c>
      <c r="J106" t="inlineStr">
        <is>
          <t>Disetujui</t>
        </is>
      </c>
      <c r="K106" t="n">
        <v>30</v>
      </c>
      <c r="L106" t="inlineStr">
        <is>
          <t>22 Oktober 2026</t>
        </is>
      </c>
      <c r="M106" t="inlineStr">
        <is>
          <t>Konstruksi Gedung Pendidikan</t>
        </is>
      </c>
      <c r="N106" t="inlineStr">
        <is>
          <t>K</t>
        </is>
      </c>
      <c r="O106" t="inlineStr">
        <is>
          <t>20231021</t>
        </is>
      </c>
      <c r="P106" t="inlineStr">
        <is>
          <t>Sumatera Utara</t>
        </is>
      </c>
      <c r="Q106" t="inlineStr"/>
    </row>
    <row r="107">
      <c r="A107" t="inlineStr">
        <is>
          <t>UTARI KREASINDO UTAMA</t>
        </is>
      </c>
      <c r="B107" t="inlineStr">
        <is>
          <t>Kab. Cianjur</t>
        </is>
      </c>
      <c r="C107" t="inlineStr">
        <is>
          <t>081912124333</t>
        </is>
      </c>
      <c r="D107" t="inlineStr">
        <is>
          <t>utarikreasindo12@gmail.com</t>
        </is>
      </c>
      <c r="E107" t="inlineStr">
        <is>
          <t>https://lpjk.pu.go.id/search-badan-usaha-detail/cHhGbFI2NSsvSWNTK0xKTFBVTXoyQT09</t>
        </is>
      </c>
      <c r="F107" t="n">
        <v>1</v>
      </c>
      <c r="G107" t="inlineStr">
        <is>
          <t>BS005</t>
        </is>
      </c>
      <c r="H107" t="inlineStr">
        <is>
          <t>1 Juli 2020</t>
        </is>
      </c>
      <c r="I107" s="2" t="n">
        <v>46317</v>
      </c>
      <c r="J107" t="inlineStr">
        <is>
          <t>Disetujui</t>
        </is>
      </c>
      <c r="K107" t="n">
        <v>30</v>
      </c>
      <c r="L107" t="inlineStr">
        <is>
          <t>22 Oktober 2026</t>
        </is>
      </c>
      <c r="M107" t="inlineStr">
        <is>
          <t>Konstruksi Bangunan Sipil Pengolahan Air Bersih</t>
        </is>
      </c>
      <c r="N107" t="inlineStr">
        <is>
          <t>K</t>
        </is>
      </c>
      <c r="O107" t="inlineStr">
        <is>
          <t>20231018</t>
        </is>
      </c>
      <c r="P107" t="inlineStr">
        <is>
          <t>Jawa Barat</t>
        </is>
      </c>
      <c r="Q107" t="inlineStr"/>
    </row>
    <row r="108">
      <c r="A108" t="inlineStr">
        <is>
          <t>WASKITA UTAMA</t>
        </is>
      </c>
      <c r="B108" t="inlineStr">
        <is>
          <t>Kota Samarinda</t>
        </is>
      </c>
      <c r="C108" t="inlineStr">
        <is>
          <t>081347280766</t>
        </is>
      </c>
      <c r="D108" t="inlineStr">
        <is>
          <t>waskitautm@gmail.com</t>
        </is>
      </c>
      <c r="E108" t="inlineStr">
        <is>
          <t>https://lpjk.pu.go.id/search-badan-usaha-detail/TDR6cFpPK0cvWmdKUC9oSVRocFFxQT09</t>
        </is>
      </c>
      <c r="F108" t="n">
        <v>2</v>
      </c>
      <c r="G108" t="inlineStr">
        <is>
          <t>RK001, RK002</t>
        </is>
      </c>
      <c r="H108" t="inlineStr">
        <is>
          <t>21 April 2008</t>
        </is>
      </c>
      <c r="I108" s="2" t="n">
        <v>46317</v>
      </c>
      <c r="J108" t="inlineStr">
        <is>
          <t>Disetujui</t>
        </is>
      </c>
      <c r="K108" t="n">
        <v>30</v>
      </c>
      <c r="L108" t="inlineStr">
        <is>
          <t>22 Oktober 2026</t>
        </is>
      </c>
      <c r="M108" t="inlineStr">
        <is>
          <t>Jasa Rekayasa Konstruksi Bangunan Gedung Hunian dan Non Hunian, Jasa Rekayasa Pekerjaan Teknik Sipil Sumber Daya Air</t>
        </is>
      </c>
      <c r="N108" t="inlineStr">
        <is>
          <t>K, M</t>
        </is>
      </c>
      <c r="O108" t="inlineStr">
        <is>
          <t>20231018</t>
        </is>
      </c>
      <c r="P108" t="inlineStr">
        <is>
          <t>Kalimantan Timur</t>
        </is>
      </c>
      <c r="Q108" t="inlineStr"/>
    </row>
    <row r="109">
      <c r="A109" t="inlineStr">
        <is>
          <t>WIRATAMA KONSULINDO</t>
        </is>
      </c>
      <c r="B109" t="inlineStr">
        <is>
          <t>Kota Jayapura</t>
        </is>
      </c>
      <c r="C109" t="inlineStr">
        <is>
          <t>082198100771</t>
        </is>
      </c>
      <c r="D109" t="inlineStr">
        <is>
          <t>wiratama_konsulindo@yahoo.com</t>
        </is>
      </c>
      <c r="E109" t="inlineStr">
        <is>
          <t>https://lpjk.pu.go.id/search-badan-usaha-detail/OUVxaVk5MnQ1MGR2NW5FdThoK05hQT09</t>
        </is>
      </c>
      <c r="F109" t="n">
        <v>2</v>
      </c>
      <c r="G109" t="inlineStr">
        <is>
          <t>RK003</t>
        </is>
      </c>
      <c r="H109" t="inlineStr">
        <is>
          <t>24 Februari 2003</t>
        </is>
      </c>
      <c r="I109" s="2" t="n">
        <v>46317</v>
      </c>
      <c r="J109" t="inlineStr">
        <is>
          <t>Disetujui</t>
        </is>
      </c>
      <c r="K109" t="n">
        <v>30</v>
      </c>
      <c r="L109" t="inlineStr">
        <is>
          <t>22 Oktober 2026</t>
        </is>
      </c>
      <c r="M109" t="inlineStr">
        <is>
          <t>Jasa Rekayasa Pekerjaan Teknik Sipil Transportasi</t>
        </is>
      </c>
      <c r="N109" t="inlineStr">
        <is>
          <t>M</t>
        </is>
      </c>
      <c r="O109" t="inlineStr">
        <is>
          <t>20231019</t>
        </is>
      </c>
      <c r="P109" t="inlineStr">
        <is>
          <t>Papua</t>
        </is>
      </c>
      <c r="Q109" t="inlineStr"/>
    </row>
    <row r="110">
      <c r="A110" t="inlineStr">
        <is>
          <t>YUDISIA GROUP</t>
        </is>
      </c>
      <c r="B110" t="inlineStr">
        <is>
          <t>Kab. Aceh Besar</t>
        </is>
      </c>
      <c r="C110" t="inlineStr">
        <is>
          <t>081361696969</t>
        </is>
      </c>
      <c r="D110" t="inlineStr">
        <is>
          <t>yudisiagroup@gmail.com</t>
        </is>
      </c>
      <c r="E110" t="inlineStr">
        <is>
          <t>https://lpjk.pu.go.id/search-badan-usaha-detail/czhyUHNJc0g2aVMvWmtmNlhKcDFydz09</t>
        </is>
      </c>
      <c r="F110" t="n">
        <v>1</v>
      </c>
      <c r="G110" t="inlineStr">
        <is>
          <t>BG009</t>
        </is>
      </c>
      <c r="H110" t="inlineStr">
        <is>
          <t>12 Mei 2022</t>
        </is>
      </c>
      <c r="I110" s="2" t="n">
        <v>46317</v>
      </c>
      <c r="J110" t="inlineStr">
        <is>
          <t>Disetujui</t>
        </is>
      </c>
      <c r="K110" t="n">
        <v>30</v>
      </c>
      <c r="L110" t="inlineStr">
        <is>
          <t>22 Oktober 2026</t>
        </is>
      </c>
      <c r="M110" t="inlineStr">
        <is>
          <t>Konstruksi Gedung Lainnya</t>
        </is>
      </c>
      <c r="N110" t="inlineStr">
        <is>
          <t>K</t>
        </is>
      </c>
      <c r="O110" t="inlineStr">
        <is>
          <t>20231020</t>
        </is>
      </c>
      <c r="P110" t="inlineStr">
        <is>
          <t>Aceh</t>
        </is>
      </c>
      <c r="Q1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2026-09-21T22:48:53Z</dcterms:created>
  <dcterms:modified xsi:type="dcterms:W3CDTF">2026-09-21T22:48:53Z</dcterms:modified>
</cp:coreProperties>
</file>