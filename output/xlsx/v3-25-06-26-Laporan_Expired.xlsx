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cols>
    <col width="27" customWidth="1" min="1" max="1"/>
    <col width="27" customWidth="1" min="2" max="2"/>
    <col width="14" customWidth="1" min="3" max="3"/>
    <col width="35" customWidth="1" min="4" max="4"/>
    <col width="50" customWidth="1" min="5" max="5"/>
    <col width="18" customWidth="1" min="6" max="6"/>
    <col width="49" customWidth="1" min="7" max="7"/>
    <col width="20" customWidth="1" min="8" max="8"/>
    <col width="28" customWidth="1" min="9" max="9"/>
    <col width="12" customWidth="1" min="10" max="10"/>
    <col width="11" customWidth="1" min="11" max="11"/>
    <col width="19" customWidth="1" min="12" max="12"/>
    <col width="50" customWidth="1" min="13" max="13"/>
    <col width="13" customWidth="1" min="14" max="14"/>
    <col width="20" customWidth="1" min="15" max="15"/>
    <col width="19"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ASKARA INOTEK INDONESIA</t>
        </is>
      </c>
      <c r="B2" t="inlineStr">
        <is>
          <t>Kota Bekasi</t>
        </is>
      </c>
      <c r="C2" t="inlineStr">
        <is>
          <t>087887788737</t>
        </is>
      </c>
      <c r="D2" t="inlineStr">
        <is>
          <t>legal@askara-int.com</t>
        </is>
      </c>
      <c r="E2" t="inlineStr">
        <is>
          <t>https://lpjk.pu.go.id/search-badan-usaha-detail/RnJLZjhVMkpVMTN1Z0QrY2Y1cUxUQT09</t>
        </is>
      </c>
      <c r="F2" t="n">
        <v>4</v>
      </c>
      <c r="G2" t="inlineStr">
        <is>
          <t>BG002, BG003</t>
        </is>
      </c>
      <c r="H2" t="inlineStr">
        <is>
          <t>22 Maret 2013</t>
        </is>
      </c>
      <c r="I2" s="2" t="n">
        <v>46288</v>
      </c>
      <c r="J2" t="inlineStr">
        <is>
          <t>Disetujui</t>
        </is>
      </c>
      <c r="K2" t="n">
        <v>90</v>
      </c>
      <c r="L2" t="inlineStr">
        <is>
          <t>23 September 2026</t>
        </is>
      </c>
      <c r="M2" t="inlineStr">
        <is>
          <t>Konstruksi Gedung Industri, Konstruksi Gedung Perkantoran</t>
        </is>
      </c>
      <c r="N2" t="inlineStr">
        <is>
          <t>K</t>
        </is>
      </c>
      <c r="O2" t="inlineStr">
        <is>
          <t>20230822</t>
        </is>
      </c>
      <c r="P2" t="inlineStr">
        <is>
          <t>Jawa Barat</t>
        </is>
      </c>
      <c r="Q2" s="3">
        <f>HYPERLINK("https://wa.me/6287887788737?text=Selamat siang Bapak/Ibu pimpinan ASKARA INOTEK INDONESIA,%0A%0ASemoga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BINTANG PRATAMA AYU</t>
        </is>
      </c>
      <c r="B3" t="inlineStr">
        <is>
          <t>Kab. Bogor</t>
        </is>
      </c>
      <c r="C3" t="inlineStr">
        <is>
          <t>088213710246</t>
        </is>
      </c>
      <c r="D3" t="inlineStr">
        <is>
          <t>bintangpratamaayu28@gmail.com</t>
        </is>
      </c>
      <c r="E3" t="inlineStr">
        <is>
          <t>https://lpjk.pu.go.id/search-badan-usaha-detail/M2FHUE5JOTZ1ZGEwTDZ3SC9Yd1JYUT09</t>
        </is>
      </c>
      <c r="F3" t="n">
        <v>14</v>
      </c>
      <c r="G3" t="inlineStr">
        <is>
          <t>BG002, BG005, BG006, BG008, BG009, BS001, BS004</t>
        </is>
      </c>
      <c r="H3" t="inlineStr">
        <is>
          <t>7 Juni 2023</t>
        </is>
      </c>
      <c r="I3" s="2" t="n">
        <v>46288</v>
      </c>
      <c r="J3" t="inlineStr">
        <is>
          <t>Disetujui</t>
        </is>
      </c>
      <c r="K3" t="n">
        <v>90</v>
      </c>
      <c r="L3" t="inlineStr">
        <is>
          <t>23 September 2026</t>
        </is>
      </c>
      <c r="M3" t="inlineStr">
        <is>
          <t>Konstruksi Bangunan Sipil Jalan, Konstruksi Gedung Kesehatan, Konstruksi Gedung Lainnya, Konstruksi Gedung Pendidikan, Konstruksi Gedung Perkantoran, Konstruksi Gedung Tempat Hiburan dan Olahraga, Konstruksi Jaringan Irigasi dan Drainase</t>
        </is>
      </c>
      <c r="N3" t="inlineStr">
        <is>
          <t>K</t>
        </is>
      </c>
      <c r="O3" t="inlineStr">
        <is>
          <t>20230920</t>
        </is>
      </c>
      <c r="P3" t="inlineStr">
        <is>
          <t>Jawa Barat</t>
        </is>
      </c>
      <c r="Q3" s="3">
        <f>HYPERLINK("https://wa.me/6288213710246?text=Selamat siang Bapak/Ibu pimpinan BINTANG PRATAMA AYU,%0A%0ASemoga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GUNTUR MANDIRI PRATAMA</t>
        </is>
      </c>
      <c r="B4" t="inlineStr">
        <is>
          <t>Kota Bekasi</t>
        </is>
      </c>
      <c r="C4" t="inlineStr">
        <is>
          <t>02188895601</t>
        </is>
      </c>
      <c r="D4" t="inlineStr">
        <is>
          <t>gunturmandiripratama.pt@gmail.com</t>
        </is>
      </c>
      <c r="E4" t="inlineStr">
        <is>
          <t>https://lpjk.pu.go.id/search-badan-usaha-detail/TllaVTRVK1pNQ1RVb0xydHBINHVKQT09</t>
        </is>
      </c>
      <c r="F4" t="n">
        <v>2</v>
      </c>
      <c r="G4" t="inlineStr">
        <is>
          <t>BG003, BG009</t>
        </is>
      </c>
      <c r="H4" t="inlineStr">
        <is>
          <t>22 April 2019</t>
        </is>
      </c>
      <c r="I4" s="2" t="n">
        <v>46288</v>
      </c>
      <c r="J4" t="inlineStr">
        <is>
          <t>Disetujui</t>
        </is>
      </c>
      <c r="K4" t="n">
        <v>90</v>
      </c>
      <c r="L4" t="inlineStr">
        <is>
          <t>23 September 2026</t>
        </is>
      </c>
      <c r="M4" t="inlineStr">
        <is>
          <t>Konstruksi Gedung Industri, Konstruksi Gedung Lainnya</t>
        </is>
      </c>
      <c r="N4" t="inlineStr">
        <is>
          <t>K</t>
        </is>
      </c>
      <c r="O4" t="inlineStr">
        <is>
          <t>20230920</t>
        </is>
      </c>
      <c r="P4" t="inlineStr">
        <is>
          <t>Jawa Barat</t>
        </is>
      </c>
      <c r="Q4" t="inlineStr"/>
    </row>
    <row r="5">
      <c r="A5" t="inlineStr">
        <is>
          <t>JETE BERKAH SEGARA</t>
        </is>
      </c>
      <c r="B5" t="inlineStr">
        <is>
          <t>Kota Depok</t>
        </is>
      </c>
      <c r="C5" t="inlineStr">
        <is>
          <t>08174999477</t>
        </is>
      </c>
      <c r="D5" t="inlineStr">
        <is>
          <t>jeteberkahsegara@gmail.com</t>
        </is>
      </c>
      <c r="E5" t="inlineStr">
        <is>
          <t>https://lpjk.pu.go.id/search-badan-usaha-detail/c1M4K3MrMXdnKzErak1Ua0dheU5SUT09</t>
        </is>
      </c>
      <c r="F5" t="n">
        <v>1</v>
      </c>
      <c r="G5" t="inlineStr">
        <is>
          <t>BG009</t>
        </is>
      </c>
      <c r="H5" t="inlineStr">
        <is>
          <t>27 Juni 2022</t>
        </is>
      </c>
      <c r="I5" s="2" t="n">
        <v>46288</v>
      </c>
      <c r="J5" t="inlineStr">
        <is>
          <t>Disetujui</t>
        </is>
      </c>
      <c r="K5" t="n">
        <v>90</v>
      </c>
      <c r="L5" t="inlineStr">
        <is>
          <t>23 September 2026</t>
        </is>
      </c>
      <c r="M5" t="inlineStr">
        <is>
          <t>Konstruksi Gedung Lainnya</t>
        </is>
      </c>
      <c r="N5" t="inlineStr">
        <is>
          <t>K</t>
        </is>
      </c>
      <c r="O5" t="inlineStr">
        <is>
          <t>20230920</t>
        </is>
      </c>
      <c r="P5" t="inlineStr">
        <is>
          <t>Jawa Barat</t>
        </is>
      </c>
      <c r="Q5" s="3">
        <f>HYPERLINK("https://wa.me/628174999477?text=Selamat siang Bapak/Ibu pimpinan JETE BERKAH SEGARA,%0A%0ASemoga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ALCOSEJAHTERA ABADI</t>
        </is>
      </c>
      <c r="B6" t="inlineStr">
        <is>
          <t>Kota Pekanbaru</t>
        </is>
      </c>
      <c r="C6" t="inlineStr">
        <is>
          <t>085376996699</t>
        </is>
      </c>
      <c r="D6" t="inlineStr">
        <is>
          <t>alco.pku@gmail.com</t>
        </is>
      </c>
      <c r="E6" t="inlineStr">
        <is>
          <t>https://lpjk.pu.go.id/search-badan-usaha-detail/VkIzWTB5TlluQ2g3UjRnaVZTZ0pFZz09</t>
        </is>
      </c>
      <c r="F6" t="n">
        <v>4</v>
      </c>
      <c r="G6" t="inlineStr">
        <is>
          <t>BS002</t>
        </is>
      </c>
      <c r="H6" t="inlineStr">
        <is>
          <t>22 Desember 1993</t>
        </is>
      </c>
      <c r="I6" s="2" t="n">
        <v>46288</v>
      </c>
      <c r="J6" t="inlineStr">
        <is>
          <t>Disetujui</t>
        </is>
      </c>
      <c r="K6" t="n">
        <v>90</v>
      </c>
      <c r="L6" t="inlineStr">
        <is>
          <t>23 September 2026</t>
        </is>
      </c>
      <c r="M6" t="inlineStr">
        <is>
          <t>Bangunan Sipil Jembatan, Jalan Layang, Fly Over, dan Underpass</t>
        </is>
      </c>
      <c r="N6" t="inlineStr">
        <is>
          <t>M</t>
        </is>
      </c>
      <c r="O6" t="inlineStr">
        <is>
          <t>20230918</t>
        </is>
      </c>
      <c r="P6" t="inlineStr">
        <is>
          <t>Riau</t>
        </is>
      </c>
      <c r="Q6" t="inlineStr"/>
    </row>
    <row r="7">
      <c r="A7" t="inlineStr">
        <is>
          <t>ANGGA ANGGI</t>
        </is>
      </c>
      <c r="B7" t="inlineStr">
        <is>
          <t>Kota Singkawang</t>
        </is>
      </c>
      <c r="C7" t="inlineStr">
        <is>
          <t>082111141511</t>
        </is>
      </c>
      <c r="D7" t="inlineStr">
        <is>
          <t>cvangganggiskw@gmail.com</t>
        </is>
      </c>
      <c r="E7" t="inlineStr">
        <is>
          <t>https://lpjk.pu.go.id/search-badan-usaha-detail/U1RTWlVyZk5tQlBrTVpGN3IzLzJQdz09</t>
        </is>
      </c>
      <c r="F7" t="n">
        <v>1</v>
      </c>
      <c r="G7" t="inlineStr">
        <is>
          <t>BS001</t>
        </is>
      </c>
      <c r="H7" t="inlineStr">
        <is>
          <t>7 Juli 2023</t>
        </is>
      </c>
      <c r="I7" s="2" t="n">
        <v>46288</v>
      </c>
      <c r="J7" t="inlineStr">
        <is>
          <t>Disetujui</t>
        </is>
      </c>
      <c r="K7" t="n">
        <v>90</v>
      </c>
      <c r="L7" t="inlineStr">
        <is>
          <t>23 September 2026</t>
        </is>
      </c>
      <c r="M7" t="inlineStr">
        <is>
          <t>Konstruksi Bangunan Sipil Jalan</t>
        </is>
      </c>
      <c r="N7" t="inlineStr">
        <is>
          <t>K</t>
        </is>
      </c>
      <c r="O7" t="inlineStr">
        <is>
          <t>20230922</t>
        </is>
      </c>
      <c r="P7" t="inlineStr">
        <is>
          <t>Kalimantan Barat</t>
        </is>
      </c>
      <c r="Q7" t="inlineStr"/>
    </row>
    <row r="8">
      <c r="A8" t="inlineStr">
        <is>
          <t>BANGUN JAYA UTAMA</t>
        </is>
      </c>
      <c r="B8" t="inlineStr">
        <is>
          <t>Kab. Cianjur</t>
        </is>
      </c>
      <c r="C8" t="inlineStr">
        <is>
          <t>087860144594</t>
        </is>
      </c>
      <c r="D8" t="inlineStr">
        <is>
          <t>bangunjayautama.cjr@gmail.com</t>
        </is>
      </c>
      <c r="E8" t="inlineStr">
        <is>
          <t>https://lpjk.pu.go.id/search-badan-usaha-detail/UDBRalhqbFBtNjA0aUMvL2ZBaDdEQT09</t>
        </is>
      </c>
      <c r="F8" t="n">
        <v>2</v>
      </c>
      <c r="G8" t="inlineStr">
        <is>
          <t>BG006, BS001</t>
        </is>
      </c>
      <c r="H8" t="inlineStr">
        <is>
          <t>12 Januari 2017</t>
        </is>
      </c>
      <c r="I8" s="2" t="n">
        <v>46288</v>
      </c>
      <c r="J8" t="inlineStr">
        <is>
          <t>Disetujui</t>
        </is>
      </c>
      <c r="K8" t="n">
        <v>90</v>
      </c>
      <c r="L8" t="inlineStr">
        <is>
          <t>23 September 2026</t>
        </is>
      </c>
      <c r="M8" t="inlineStr">
        <is>
          <t>Konstruksi Bangunan Sipil Jalan, Konstruksi Gedung Pendidikan</t>
        </is>
      </c>
      <c r="N8" t="inlineStr">
        <is>
          <t>K</t>
        </is>
      </c>
      <c r="O8" t="inlineStr">
        <is>
          <t>20230920</t>
        </is>
      </c>
      <c r="P8" t="inlineStr">
        <is>
          <t>Jawa Barat</t>
        </is>
      </c>
      <c r="Q8" t="inlineStr"/>
    </row>
    <row r="9">
      <c r="A9" t="inlineStr">
        <is>
          <t>BARAYA SUKSES MAKMUR</t>
        </is>
      </c>
      <c r="B9" t="inlineStr">
        <is>
          <t>Kota Adm. Jakarta Selatan</t>
        </is>
      </c>
      <c r="C9" t="inlineStr">
        <is>
          <t>0217271260</t>
        </is>
      </c>
      <c r="D9" t="inlineStr">
        <is>
          <t>info@baraya.co.id</t>
        </is>
      </c>
      <c r="E9" t="inlineStr">
        <is>
          <t>https://lpjk.pu.go.id/search-badan-usaha-detail/dGp5TmNoL2grNG9LVUNtUjN5bkptZz09</t>
        </is>
      </c>
      <c r="F9" t="n">
        <v>4</v>
      </c>
      <c r="G9" t="inlineStr">
        <is>
          <t>PB003</t>
        </is>
      </c>
      <c r="H9" t="inlineStr">
        <is>
          <t>30 November 2007</t>
        </is>
      </c>
      <c r="I9" s="2" t="n">
        <v>46288</v>
      </c>
      <c r="J9" t="inlineStr">
        <is>
          <t>Disetujui</t>
        </is>
      </c>
      <c r="K9" t="n">
        <v>90</v>
      </c>
      <c r="L9" t="inlineStr">
        <is>
          <t>23 September 2026</t>
        </is>
      </c>
      <c r="M9" t="inlineStr">
        <is>
          <t>Pengerjaan Lantai, Dinding, Peralatan Saniter dan Plafon</t>
        </is>
      </c>
      <c r="N9" t="inlineStr">
        <is>
          <t>Spesialis</t>
        </is>
      </c>
      <c r="O9" t="inlineStr">
        <is>
          <t>20230922</t>
        </is>
      </c>
      <c r="P9" t="inlineStr">
        <is>
          <t>DKI Jakarta</t>
        </is>
      </c>
      <c r="Q9" t="inlineStr"/>
    </row>
    <row r="10">
      <c r="A10" t="inlineStr">
        <is>
          <t>BERJAYA GROUP</t>
        </is>
      </c>
      <c r="B10" t="inlineStr">
        <is>
          <t>Kota Medan</t>
        </is>
      </c>
      <c r="C10" t="inlineStr">
        <is>
          <t>0618217474</t>
        </is>
      </c>
      <c r="D10" t="inlineStr">
        <is>
          <t>ptberjayagroup@yahoo.com</t>
        </is>
      </c>
      <c r="E10" t="inlineStr">
        <is>
          <t>https://lpjk.pu.go.id/search-badan-usaha-detail/Zkdtb0tYTnpPTEJjdEp0WUdmVkY0Zz09</t>
        </is>
      </c>
      <c r="F10" t="n">
        <v>3</v>
      </c>
      <c r="G10" t="inlineStr">
        <is>
          <t>BG001, BG002, BG003</t>
        </is>
      </c>
      <c r="H10" t="inlineStr">
        <is>
          <t>5 Februari 2008</t>
        </is>
      </c>
      <c r="I10" s="2" t="n">
        <v>46288</v>
      </c>
      <c r="J10" t="inlineStr">
        <is>
          <t>Disetujui</t>
        </is>
      </c>
      <c r="K10" t="n">
        <v>90</v>
      </c>
      <c r="L10" t="inlineStr">
        <is>
          <t>23 September 2026</t>
        </is>
      </c>
      <c r="M10" t="inlineStr">
        <is>
          <t>Konstruksi Gedung Hunian, Konstruksi Gedung Industri, Konstruksi Gedung Perkantoran</t>
        </is>
      </c>
      <c r="N10" t="inlineStr">
        <is>
          <t>M</t>
        </is>
      </c>
      <c r="O10" t="inlineStr">
        <is>
          <t>20230921</t>
        </is>
      </c>
      <c r="P10" t="inlineStr">
        <is>
          <t>Sumatera Utara</t>
        </is>
      </c>
      <c r="Q10" t="inlineStr"/>
    </row>
    <row r="11">
      <c r="A11" t="inlineStr">
        <is>
          <t>BUMI MUDA SEDIA</t>
        </is>
      </c>
      <c r="B11" t="inlineStr">
        <is>
          <t>Kab. Muaro Jambi</t>
        </is>
      </c>
      <c r="C11" t="inlineStr">
        <is>
          <t>082281317915</t>
        </is>
      </c>
      <c r="D11" t="inlineStr">
        <is>
          <t>bms.cv2023@gmail.com</t>
        </is>
      </c>
      <c r="E11" t="inlineStr">
        <is>
          <t>https://lpjk.pu.go.id/search-badan-usaha-detail/YnJLUXR0WHZjUXBHc0xjaGpONE9XZz09</t>
        </is>
      </c>
      <c r="F11" t="n">
        <v>4</v>
      </c>
      <c r="G11" t="inlineStr">
        <is>
          <t>BG002, BG008, BS004, BS005</t>
        </is>
      </c>
      <c r="H11" t="inlineStr">
        <is>
          <t>24 Juli 2023</t>
        </is>
      </c>
      <c r="I11" s="2" t="n">
        <v>46288</v>
      </c>
      <c r="J11" t="inlineStr">
        <is>
          <t>Disetujui</t>
        </is>
      </c>
      <c r="K11" t="n">
        <v>90</v>
      </c>
      <c r="L11" t="inlineStr">
        <is>
          <t>23 September 2026</t>
        </is>
      </c>
      <c r="M11" t="inlineStr">
        <is>
          <t>Konstruksi Bangunan Sipil Pengolahan Air Bersih, Konstruksi Gedung Perkantoran, Konstruksi Gedung Tempat Hiburan dan Olahraga, Konstruksi Jaringan Irigasi dan Drainase</t>
        </is>
      </c>
      <c r="N11" t="inlineStr">
        <is>
          <t>K</t>
        </is>
      </c>
      <c r="O11" t="inlineStr">
        <is>
          <t>20230916, 20230921</t>
        </is>
      </c>
      <c r="P11" t="inlineStr">
        <is>
          <t>Jambi</t>
        </is>
      </c>
      <c r="Q11" t="inlineStr"/>
    </row>
    <row r="12">
      <c r="A12" t="inlineStr">
        <is>
          <t>CIPTA NAYRA</t>
        </is>
      </c>
      <c r="B12" t="inlineStr">
        <is>
          <t>Kota Serang</t>
        </is>
      </c>
      <c r="C12" t="inlineStr">
        <is>
          <t>087709980368</t>
        </is>
      </c>
      <c r="D12" t="inlineStr">
        <is>
          <t>ciptanayra.adm@gmail.com</t>
        </is>
      </c>
      <c r="E12" t="inlineStr">
        <is>
          <t>https://lpjk.pu.go.id/search-badan-usaha-detail/dVdOWENlMHI0T1ZQeTNXaW5NdXJPZz09</t>
        </is>
      </c>
      <c r="F12" t="n">
        <v>10</v>
      </c>
      <c r="G12" t="inlineStr">
        <is>
          <t>BG001, BG005, BG006, BS001, BS004</t>
        </is>
      </c>
      <c r="H12" t="inlineStr">
        <is>
          <t>3 Agustus 2023</t>
        </is>
      </c>
      <c r="I12" s="2" t="n">
        <v>46288</v>
      </c>
      <c r="J12" t="inlineStr">
        <is>
          <t>Disetujui</t>
        </is>
      </c>
      <c r="K12" t="n">
        <v>90</v>
      </c>
      <c r="L12" t="inlineStr">
        <is>
          <t>23 September 2026</t>
        </is>
      </c>
      <c r="M12" t="inlineStr">
        <is>
          <t>Konstruksi Bangunan Sipil Jalan, Konstruksi Gedung Hunian, Konstruksi Gedung Kesehatan, Konstruksi Gedung Pendidikan, Konstruksi Jaringan Irigasi dan Drainase</t>
        </is>
      </c>
      <c r="N12" t="inlineStr">
        <is>
          <t>K</t>
        </is>
      </c>
      <c r="O12" t="inlineStr">
        <is>
          <t>20230901, 20230920</t>
        </is>
      </c>
      <c r="P12" t="inlineStr">
        <is>
          <t>Banten</t>
        </is>
      </c>
      <c r="Q12" t="inlineStr"/>
    </row>
    <row r="13">
      <c r="A13" t="inlineStr">
        <is>
          <t>FAJARRAYA USAHANUSA</t>
        </is>
      </c>
      <c r="B13" t="inlineStr">
        <is>
          <t>Kab. Toli Toli</t>
        </is>
      </c>
      <c r="C13" t="inlineStr">
        <is>
          <t>085396061490</t>
        </is>
      </c>
      <c r="D13" t="inlineStr">
        <is>
          <t>fajar_usahanusa@yahoo.co.id</t>
        </is>
      </c>
      <c r="E13" t="inlineStr">
        <is>
          <t>https://lpjk.pu.go.id/search-badan-usaha-detail/N1B2dEtJK1l4TzgwcDFxYTM2amhEQT09</t>
        </is>
      </c>
      <c r="F13" t="n">
        <v>1</v>
      </c>
      <c r="G13" t="inlineStr">
        <is>
          <t>BS001</t>
        </is>
      </c>
      <c r="H13" t="inlineStr">
        <is>
          <t>10 Oktober 1992</t>
        </is>
      </c>
      <c r="I13" s="2" t="n">
        <v>46288</v>
      </c>
      <c r="J13" t="inlineStr">
        <is>
          <t>Pencabutan</t>
        </is>
      </c>
      <c r="K13" t="n">
        <v>90</v>
      </c>
      <c r="L13" t="inlineStr">
        <is>
          <t>23 September 2026</t>
        </is>
      </c>
      <c r="M13" t="inlineStr">
        <is>
          <t>Konstruksi Bangunan Sipil Jalan</t>
        </is>
      </c>
      <c r="N13" t="inlineStr">
        <is>
          <t>M</t>
        </is>
      </c>
      <c r="O13" t="inlineStr">
        <is>
          <t>20230919</t>
        </is>
      </c>
      <c r="P13" t="inlineStr">
        <is>
          <t>Sulawesi Tengah</t>
        </is>
      </c>
      <c r="Q13" t="inlineStr"/>
    </row>
    <row r="14">
      <c r="A14" t="inlineStr">
        <is>
          <t>GALANG UTAMA</t>
        </is>
      </c>
      <c r="B14" t="inlineStr">
        <is>
          <t>Kota Banda Aceh</t>
        </is>
      </c>
      <c r="C14" t="inlineStr">
        <is>
          <t>-</t>
        </is>
      </c>
      <c r="D14" t="inlineStr">
        <is>
          <t>galang_utama@yahoo.co.id</t>
        </is>
      </c>
      <c r="E14" t="inlineStr">
        <is>
          <t>https://lpjk.pu.go.id/search-badan-usaha-detail/T3hyb0JRVS9lRVo4eUhUcUs5YXhEZz09</t>
        </is>
      </c>
      <c r="F14" t="n">
        <v>1</v>
      </c>
      <c r="G14" t="inlineStr">
        <is>
          <t>BG006</t>
        </is>
      </c>
      <c r="H14" t="inlineStr">
        <is>
          <t>14 Februari 2014</t>
        </is>
      </c>
      <c r="I14" s="2" t="n">
        <v>46288</v>
      </c>
      <c r="J14" t="inlineStr">
        <is>
          <t>Disetujui</t>
        </is>
      </c>
      <c r="K14" t="n">
        <v>90</v>
      </c>
      <c r="L14" t="inlineStr">
        <is>
          <t>23 September 2026</t>
        </is>
      </c>
      <c r="M14" t="inlineStr">
        <is>
          <t>Konstruksi Gedung Pendidikan</t>
        </is>
      </c>
      <c r="N14" t="inlineStr">
        <is>
          <t>K</t>
        </is>
      </c>
      <c r="O14" t="inlineStr">
        <is>
          <t>20230922</t>
        </is>
      </c>
      <c r="P14" t="inlineStr">
        <is>
          <t>Aceh</t>
        </is>
      </c>
      <c r="Q14" t="inlineStr"/>
    </row>
    <row r="15">
      <c r="A15" t="inlineStr">
        <is>
          <t>GARUDA MANDI</t>
        </is>
      </c>
      <c r="B15" t="inlineStr">
        <is>
          <t>Kab. Seruyan</t>
        </is>
      </c>
      <c r="C15" t="inlineStr">
        <is>
          <t>082154879046</t>
        </is>
      </c>
      <c r="D15" t="inlineStr">
        <is>
          <t>lkkiswanto@gmail.com</t>
        </is>
      </c>
      <c r="E15" t="inlineStr">
        <is>
          <t>https://lpjk.pu.go.id/search-badan-usaha-detail/SzhjOTlmdWlxbHZsSzJqWGRmcXdaUT09</t>
        </is>
      </c>
      <c r="F15" t="n">
        <v>2</v>
      </c>
      <c r="G15" t="inlineStr">
        <is>
          <t>BG001, BG009</t>
        </is>
      </c>
      <c r="H15" t="inlineStr">
        <is>
          <t>18 Januari 2021</t>
        </is>
      </c>
      <c r="I15" s="2" t="n">
        <v>46288</v>
      </c>
      <c r="J15" t="inlineStr">
        <is>
          <t>Disetujui</t>
        </is>
      </c>
      <c r="K15" t="n">
        <v>90</v>
      </c>
      <c r="L15" t="inlineStr">
        <is>
          <t>23 September 2026</t>
        </is>
      </c>
      <c r="M15" t="inlineStr">
        <is>
          <t>Konstruksi Gedung Hunian, Konstruksi Gedung Lainnya</t>
        </is>
      </c>
      <c r="N15" t="inlineStr">
        <is>
          <t>K</t>
        </is>
      </c>
      <c r="O15" t="inlineStr">
        <is>
          <t>20230920</t>
        </is>
      </c>
      <c r="P15" t="inlineStr">
        <is>
          <t>Kalimantan Tengah</t>
        </is>
      </c>
      <c r="Q15" t="inlineStr"/>
    </row>
    <row r="16">
      <c r="A16" t="inlineStr">
        <is>
          <t>HANAN MITRA ABBASY</t>
        </is>
      </c>
      <c r="B16" t="inlineStr">
        <is>
          <t>Kota Tangerang</t>
        </is>
      </c>
      <c r="C16" t="inlineStr">
        <is>
          <t>02155662860</t>
        </is>
      </c>
      <c r="D16" t="inlineStr">
        <is>
          <t>mitrahanan@gmail.com</t>
        </is>
      </c>
      <c r="E16" t="inlineStr">
        <is>
          <t>https://lpjk.pu.go.id/search-badan-usaha-detail/TnRTbkt5RmVSeC94ZkhETG9NWkxxUT09</t>
        </is>
      </c>
      <c r="F16" t="n">
        <v>1</v>
      </c>
      <c r="G16" t="inlineStr">
        <is>
          <t>BG005</t>
        </is>
      </c>
      <c r="H16" t="inlineStr">
        <is>
          <t>17 Juli 2019</t>
        </is>
      </c>
      <c r="I16" s="2" t="n">
        <v>46288</v>
      </c>
      <c r="J16" t="inlineStr">
        <is>
          <t>Disetujui</t>
        </is>
      </c>
      <c r="K16" t="n">
        <v>90</v>
      </c>
      <c r="L16" t="inlineStr">
        <is>
          <t>23 September 2026</t>
        </is>
      </c>
      <c r="M16" t="inlineStr">
        <is>
          <t>Konstruksi Gedung Kesehatan</t>
        </is>
      </c>
      <c r="N16" t="inlineStr">
        <is>
          <t>K</t>
        </is>
      </c>
      <c r="O16" t="inlineStr">
        <is>
          <t>20230921</t>
        </is>
      </c>
      <c r="P16" t="inlineStr">
        <is>
          <t>Banten</t>
        </is>
      </c>
      <c r="Q16" t="inlineStr"/>
    </row>
    <row r="17">
      <c r="A17" t="inlineStr">
        <is>
          <t>HANINDO BAKTI SEJAHTERA</t>
        </is>
      </c>
      <c r="B17" t="inlineStr">
        <is>
          <t>Kota Cilegon</t>
        </is>
      </c>
      <c r="C17" t="inlineStr">
        <is>
          <t>081319967235</t>
        </is>
      </c>
      <c r="D17" t="inlineStr">
        <is>
          <t>hanindobakti@gmail.com</t>
        </is>
      </c>
      <c r="E17" t="inlineStr">
        <is>
          <t>https://lpjk.pu.go.id/search-badan-usaha-detail/ZkJvZmtERzB3UzhwN2EvWWgzZ1ZXdz09</t>
        </is>
      </c>
      <c r="F17" t="n">
        <v>3</v>
      </c>
      <c r="G17" t="inlineStr">
        <is>
          <t>BG003, BG005, BG009</t>
        </is>
      </c>
      <c r="H17" t="inlineStr">
        <is>
          <t>14 Juni 2023</t>
        </is>
      </c>
      <c r="I17" s="2" t="n">
        <v>46288</v>
      </c>
      <c r="J17" t="inlineStr">
        <is>
          <t>Disetujui</t>
        </is>
      </c>
      <c r="K17" t="n">
        <v>90</v>
      </c>
      <c r="L17" t="inlineStr">
        <is>
          <t>23 September 2026</t>
        </is>
      </c>
      <c r="M17" t="inlineStr">
        <is>
          <t>Konstruksi Gedung Industri, Konstruksi Gedung Kesehatan, Konstruksi Gedung Lainnya</t>
        </is>
      </c>
      <c r="N17" t="inlineStr">
        <is>
          <t>K</t>
        </is>
      </c>
      <c r="O17" t="inlineStr">
        <is>
          <t>20230921</t>
        </is>
      </c>
      <c r="P17" t="inlineStr">
        <is>
          <t>Banten</t>
        </is>
      </c>
      <c r="Q17" t="inlineStr"/>
    </row>
    <row r="18">
      <c r="A18" t="inlineStr">
        <is>
          <t>HARUM</t>
        </is>
      </c>
      <c r="B18" t="inlineStr">
        <is>
          <t>Kab. Indramayu</t>
        </is>
      </c>
      <c r="C18" t="inlineStr">
        <is>
          <t>08156401062</t>
        </is>
      </c>
      <c r="D18" t="inlineStr">
        <is>
          <t>cholidasadi@yahoo.com</t>
        </is>
      </c>
      <c r="E18" t="inlineStr">
        <is>
          <t>https://lpjk.pu.go.id/search-badan-usaha-detail/SFcwMHBPZG1nb2lXV3hPOUZVNzNSZz09</t>
        </is>
      </c>
      <c r="F18" t="n">
        <v>2</v>
      </c>
      <c r="G18" t="inlineStr">
        <is>
          <t>BG002, BG006</t>
        </is>
      </c>
      <c r="H18" t="inlineStr">
        <is>
          <t>9 Agustus 1986</t>
        </is>
      </c>
      <c r="I18" s="2" t="n">
        <v>46288</v>
      </c>
      <c r="J18" t="inlineStr">
        <is>
          <t>Disetujui</t>
        </is>
      </c>
      <c r="K18" t="n">
        <v>90</v>
      </c>
      <c r="L18" t="inlineStr">
        <is>
          <t>23 September 2026</t>
        </is>
      </c>
      <c r="M18" t="inlineStr">
        <is>
          <t>Konstruksi Gedung Pendidikan, Konstruksi Gedung Perkantoran</t>
        </is>
      </c>
      <c r="N18" t="inlineStr">
        <is>
          <t>K</t>
        </is>
      </c>
      <c r="O18" t="inlineStr">
        <is>
          <t>20230918</t>
        </is>
      </c>
      <c r="P18" t="inlineStr">
        <is>
          <t>Jawa Barat</t>
        </is>
      </c>
      <c r="Q18" t="inlineStr"/>
    </row>
    <row r="19">
      <c r="A19" t="inlineStr">
        <is>
          <t>MEGAMITRA KARYA INDAH</t>
        </is>
      </c>
      <c r="B19" t="inlineStr">
        <is>
          <t>Kota Makassar</t>
        </is>
      </c>
      <c r="C19" t="inlineStr">
        <is>
          <t>0811411999</t>
        </is>
      </c>
      <c r="D19" t="inlineStr">
        <is>
          <t>pt.mki.gej@gmail.com</t>
        </is>
      </c>
      <c r="E19" t="inlineStr">
        <is>
          <t>https://lpjk.pu.go.id/search-badan-usaha-detail/Smo3SHFJOEY0a3dITUo1eDFmd0FPdz09</t>
        </is>
      </c>
      <c r="F19" t="n">
        <v>2</v>
      </c>
      <c r="G19" t="inlineStr">
        <is>
          <t>BG001, BG004</t>
        </is>
      </c>
      <c r="H19" t="inlineStr">
        <is>
          <t>15 Juli 1996</t>
        </is>
      </c>
      <c r="I19" s="2" t="n">
        <v>46288</v>
      </c>
      <c r="J19" t="inlineStr">
        <is>
          <t>Disetujui</t>
        </is>
      </c>
      <c r="K19" t="n">
        <v>90</v>
      </c>
      <c r="L19" t="inlineStr">
        <is>
          <t>23 September 2026</t>
        </is>
      </c>
      <c r="M19" t="inlineStr">
        <is>
          <t>Konstruksi Gedung Hunian, Konstruksi Gedung Perbelanjaan</t>
        </is>
      </c>
      <c r="N19" t="inlineStr">
        <is>
          <t>K</t>
        </is>
      </c>
      <c r="O19" t="inlineStr">
        <is>
          <t>20230828, 20230920</t>
        </is>
      </c>
      <c r="P19" t="inlineStr">
        <is>
          <t>Sulawesi Selatan</t>
        </is>
      </c>
      <c r="Q19" t="inlineStr"/>
    </row>
    <row r="20">
      <c r="A20" t="inlineStr">
        <is>
          <t>MOZA DARMABAKTI</t>
        </is>
      </c>
      <c r="B20" t="inlineStr">
        <is>
          <t>Kota Samarinda</t>
        </is>
      </c>
      <c r="C20" t="inlineStr">
        <is>
          <t>085349394212</t>
        </is>
      </c>
      <c r="D20" t="inlineStr">
        <is>
          <t>mozadrmbhakti@gmail.com</t>
        </is>
      </c>
      <c r="E20" t="inlineStr">
        <is>
          <t>https://lpjk.pu.go.id/search-badan-usaha-detail/ZnRqb3o1RHZ2aFg0SHg0amJ4Mko1QT09</t>
        </is>
      </c>
      <c r="F20" t="n">
        <v>2</v>
      </c>
      <c r="G20" t="inlineStr">
        <is>
          <t>BG002, BG009</t>
        </is>
      </c>
      <c r="H20" t="inlineStr">
        <is>
          <t>21 Agustus 2023</t>
        </is>
      </c>
      <c r="I20" s="2" t="n">
        <v>46288</v>
      </c>
      <c r="J20" t="inlineStr">
        <is>
          <t>Disetujui</t>
        </is>
      </c>
      <c r="K20" t="n">
        <v>90</v>
      </c>
      <c r="L20" t="inlineStr">
        <is>
          <t>23 September 2026</t>
        </is>
      </c>
      <c r="M20" t="inlineStr">
        <is>
          <t>Konstruksi Gedung Lainnya, Konstruksi Gedung Perkantoran</t>
        </is>
      </c>
      <c r="N20" t="inlineStr">
        <is>
          <t>K</t>
        </is>
      </c>
      <c r="O20" t="inlineStr">
        <is>
          <t>20230921</t>
        </is>
      </c>
      <c r="P20" t="inlineStr">
        <is>
          <t>Kalimantan Timur</t>
        </is>
      </c>
      <c r="Q20" t="inlineStr"/>
    </row>
    <row r="21">
      <c r="A21" t="inlineStr">
        <is>
          <t>NAF PUTRA UTAMA</t>
        </is>
      </c>
      <c r="B21" t="inlineStr">
        <is>
          <t>Kab. Nganjuk</t>
        </is>
      </c>
      <c r="C21" t="inlineStr">
        <is>
          <t>081268080429</t>
        </is>
      </c>
      <c r="D21" t="inlineStr">
        <is>
          <t>putrautamacvnaf@gmail.com</t>
        </is>
      </c>
      <c r="E21" t="inlineStr">
        <is>
          <t>https://lpjk.pu.go.id/search-badan-usaha-detail/QWtIUFBGbHcvYWY1YUhCZzcwVnZxUT09</t>
        </is>
      </c>
      <c r="F21" t="n">
        <v>1</v>
      </c>
      <c r="G21" t="inlineStr">
        <is>
          <t>BG009</t>
        </is>
      </c>
      <c r="H21" t="inlineStr">
        <is>
          <t>20 Desember 2019</t>
        </is>
      </c>
      <c r="I21" s="2" t="n">
        <v>46288</v>
      </c>
      <c r="J21" t="inlineStr">
        <is>
          <t>Disetujui</t>
        </is>
      </c>
      <c r="K21" t="n">
        <v>90</v>
      </c>
      <c r="L21" t="inlineStr">
        <is>
          <t>23 September 2026</t>
        </is>
      </c>
      <c r="M21" t="inlineStr">
        <is>
          <t>Konstruksi Gedung Lainnya</t>
        </is>
      </c>
      <c r="N21" t="inlineStr">
        <is>
          <t>K</t>
        </is>
      </c>
      <c r="O21" t="inlineStr">
        <is>
          <t>20230921</t>
        </is>
      </c>
      <c r="P21" t="inlineStr">
        <is>
          <t>Jawa Timur</t>
        </is>
      </c>
      <c r="Q21" t="inlineStr"/>
    </row>
    <row r="22">
      <c r="A22" t="inlineStr">
        <is>
          <t>NAGA BORNEO PERKASA</t>
        </is>
      </c>
      <c r="B22" t="inlineStr">
        <is>
          <t>Kab. Pulang Pisau</t>
        </is>
      </c>
      <c r="C22" t="inlineStr">
        <is>
          <t>082350070088</t>
        </is>
      </c>
      <c r="D22" t="inlineStr">
        <is>
          <t>cvnagaborneoperkasa@gmail.com</t>
        </is>
      </c>
      <c r="E22" t="inlineStr">
        <is>
          <t>https://lpjk.pu.go.id/search-badan-usaha-detail/YkJ1eW5TTGIvWDNjVVlRSzB1d3pzUT09</t>
        </is>
      </c>
      <c r="F22" t="n">
        <v>6</v>
      </c>
      <c r="G22" t="inlineStr">
        <is>
          <t>BG002, BG005, BG006, BG009, BS001, BS004</t>
        </is>
      </c>
      <c r="H22" t="inlineStr">
        <is>
          <t>6 September 2023</t>
        </is>
      </c>
      <c r="I22" s="2" t="n">
        <v>46288</v>
      </c>
      <c r="J22" t="inlineStr">
        <is>
          <t>Disetujui</t>
        </is>
      </c>
      <c r="K22" t="n">
        <v>90</v>
      </c>
      <c r="L22" t="inlineStr">
        <is>
          <t>23 September 2026</t>
        </is>
      </c>
      <c r="M22" t="inlineStr">
        <is>
          <t>Konstruksi Bangunan Sipil Jalan, Konstruksi Gedung Kesehatan, Konstruksi Gedung Lainnya, Konstruksi Gedung Pendidikan, Konstruksi Gedung Perkantoran, Konstruksi Jaringan Irigasi dan Drainase</t>
        </is>
      </c>
      <c r="N22" t="inlineStr">
        <is>
          <t>K</t>
        </is>
      </c>
      <c r="O22" t="inlineStr">
        <is>
          <t>20230922</t>
        </is>
      </c>
      <c r="P22" t="inlineStr">
        <is>
          <t>Kalimantan Tengah</t>
        </is>
      </c>
      <c r="Q22" t="inlineStr"/>
    </row>
    <row r="23">
      <c r="A23" t="inlineStr">
        <is>
          <t>PT. SIPHONIC FLOW MANDIRI</t>
        </is>
      </c>
      <c r="B23" t="inlineStr">
        <is>
          <t>Kota Adm. Jakarta Selatan</t>
        </is>
      </c>
      <c r="C23" t="inlineStr">
        <is>
          <t>0217223404</t>
        </is>
      </c>
      <c r="D23" t="inlineStr">
        <is>
          <t>hrd@siphonicflowmandiri.com</t>
        </is>
      </c>
      <c r="E23" t="inlineStr">
        <is>
          <t>https://lpjk.pu.go.id/search-badan-usaha-detail/ZS9xdDd1K0tIaHF5dUZMQi84Q0d6dz09</t>
        </is>
      </c>
      <c r="F23" t="n">
        <v>1</v>
      </c>
      <c r="G23" t="inlineStr">
        <is>
          <t>IN007</t>
        </is>
      </c>
      <c r="H23" t="inlineStr">
        <is>
          <t>21 Juli 2011</t>
        </is>
      </c>
      <c r="I23" s="2" t="n">
        <v>46288</v>
      </c>
      <c r="J23" t="inlineStr">
        <is>
          <t>Disetujui</t>
        </is>
      </c>
      <c r="K23" t="n">
        <v>90</v>
      </c>
      <c r="L23" t="inlineStr">
        <is>
          <t>23 September 2026</t>
        </is>
      </c>
      <c r="M23" t="inlineStr">
        <is>
          <t>Instalasi Saluran Air (Plambing)</t>
        </is>
      </c>
      <c r="N23" t="inlineStr">
        <is>
          <t>Spesialis</t>
        </is>
      </c>
      <c r="O23" t="inlineStr">
        <is>
          <t>20220825</t>
        </is>
      </c>
      <c r="P23" t="inlineStr">
        <is>
          <t>DKI Jakarta</t>
        </is>
      </c>
      <c r="Q23" t="inlineStr"/>
    </row>
    <row r="24">
      <c r="A24" t="inlineStr">
        <is>
          <t>SINAR JAYA AGUNG PERKASA</t>
        </is>
      </c>
      <c r="B24" t="inlineStr">
        <is>
          <t>Kota Adm. Jakarta Barat</t>
        </is>
      </c>
      <c r="C24" t="inlineStr">
        <is>
          <t>0215602246</t>
        </is>
      </c>
      <c r="D24" t="inlineStr">
        <is>
          <t>tjahjadi@sumbersolusindo.co.id</t>
        </is>
      </c>
      <c r="E24" t="inlineStr">
        <is>
          <t>https://lpjk.pu.go.id/search-badan-usaha-detail/NmpZcWFuZWRPSWo0N3hhMktqMnRJUT09</t>
        </is>
      </c>
      <c r="F24" t="n">
        <v>1</v>
      </c>
      <c r="G24" t="inlineStr">
        <is>
          <t>BS009</t>
        </is>
      </c>
      <c r="H24" t="inlineStr">
        <is>
          <t>15 Agustus 2011</t>
        </is>
      </c>
      <c r="I24" s="2" t="n">
        <v>46288</v>
      </c>
      <c r="J24" t="inlineStr">
        <is>
          <t>Disetujui</t>
        </is>
      </c>
      <c r="K24" t="n">
        <v>90</v>
      </c>
      <c r="L24" t="inlineStr">
        <is>
          <t>23 September 2026</t>
        </is>
      </c>
      <c r="M24" t="inlineStr">
        <is>
          <t>Konstruksi Sentral Telekomunikasi</t>
        </is>
      </c>
      <c r="N24" t="inlineStr">
        <is>
          <t>K</t>
        </is>
      </c>
      <c r="O24" t="inlineStr">
        <is>
          <t>20230922</t>
        </is>
      </c>
      <c r="P24" t="inlineStr">
        <is>
          <t>DKI Jakarta</t>
        </is>
      </c>
      <c r="Q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6"/>
  <sheetViews>
    <sheetView workbookViewId="0">
      <selection activeCell="A1" sqref="A1"/>
    </sheetView>
  </sheetViews>
  <sheetFormatPr baseColWidth="8" defaultRowHeight="15"/>
  <cols>
    <col width="32" customWidth="1" min="1" max="1"/>
    <col width="27" customWidth="1" min="2" max="2"/>
    <col width="16" customWidth="1" min="3" max="3"/>
    <col width="39"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ABDI PRATAMA</t>
        </is>
      </c>
      <c r="B2" t="inlineStr">
        <is>
          <t>Kota Adm. Jakarta Timur</t>
        </is>
      </c>
      <c r="C2" t="inlineStr">
        <is>
          <t>02184311087</t>
        </is>
      </c>
      <c r="D2" t="inlineStr">
        <is>
          <t>abdiprtm750@gmail.com</t>
        </is>
      </c>
      <c r="E2" t="inlineStr">
        <is>
          <t>https://lpjk.pu.go.id/search-badan-usaha-detail/UVdMZE95WmRSWkxaNi85NWd1ajN0Zz09</t>
        </is>
      </c>
      <c r="F2" t="n">
        <v>1</v>
      </c>
      <c r="G2" t="inlineStr">
        <is>
          <t>BG009</t>
        </is>
      </c>
      <c r="H2" t="inlineStr">
        <is>
          <t>10 Februari 2006</t>
        </is>
      </c>
      <c r="I2" s="2" t="n">
        <v>46258</v>
      </c>
      <c r="J2" t="inlineStr">
        <is>
          <t>Disetujui</t>
        </is>
      </c>
      <c r="K2" t="n">
        <v>60</v>
      </c>
      <c r="L2" t="inlineStr">
        <is>
          <t>24 Agustus 2026</t>
        </is>
      </c>
      <c r="M2" t="inlineStr">
        <is>
          <t>Konstruksi Gedung Lainnya</t>
        </is>
      </c>
      <c r="N2" t="inlineStr">
        <is>
          <t>K</t>
        </is>
      </c>
      <c r="O2" t="inlineStr">
        <is>
          <t>20230811</t>
        </is>
      </c>
      <c r="P2" t="inlineStr">
        <is>
          <t>DKI Jakarta</t>
        </is>
      </c>
      <c r="Q2" t="inlineStr"/>
    </row>
    <row r="3">
      <c r="A3" t="inlineStr">
        <is>
          <t>ABE TEKNIK INDONESIA</t>
        </is>
      </c>
      <c r="B3" t="inlineStr">
        <is>
          <t>Kab. Bekasi</t>
        </is>
      </c>
      <c r="C3" t="inlineStr">
        <is>
          <t>081388277111</t>
        </is>
      </c>
      <c r="D3" t="inlineStr">
        <is>
          <t>abeteknikindonesia@gmail.com</t>
        </is>
      </c>
      <c r="E3" t="inlineStr">
        <is>
          <t>https://lpjk.pu.go.id/search-badan-usaha-detail/WjM3SFQrWG91U2diNUlkeS9kY21jUT09</t>
        </is>
      </c>
      <c r="F3" t="n">
        <v>1</v>
      </c>
      <c r="G3" t="inlineStr">
        <is>
          <t>BS009</t>
        </is>
      </c>
      <c r="H3" t="inlineStr">
        <is>
          <t>28 Desember 2009</t>
        </is>
      </c>
      <c r="I3" s="2" t="n">
        <v>46258</v>
      </c>
      <c r="J3" t="inlineStr">
        <is>
          <t>Disetujui</t>
        </is>
      </c>
      <c r="K3" t="n">
        <v>60</v>
      </c>
      <c r="L3" t="inlineStr">
        <is>
          <t>24 Agustus 2026</t>
        </is>
      </c>
      <c r="M3" t="inlineStr">
        <is>
          <t>Konstruksi Sentral Telekomunikasi</t>
        </is>
      </c>
      <c r="N3" t="inlineStr">
        <is>
          <t>K</t>
        </is>
      </c>
      <c r="O3" t="inlineStr">
        <is>
          <t>20230821</t>
        </is>
      </c>
      <c r="P3" t="inlineStr">
        <is>
          <t>Jawa Barat</t>
        </is>
      </c>
      <c r="Q3" s="3">
        <f>HYPERLINK("https://wa.me/6281388277111?text=*[PENGINGAT MASA BERLAKU SBU ABE TEKNIK INDONESIA]*%0A%0AYth. Pimpinan ABE TEKNIK INDONESIA,%0AMohon izin menginformasikan status SBU Anda di sistem LPJK:%0A%0A📄 SBU: BS009%0A📅 Expired: 24 Agustus 2026 (60 Hari Lagi)%0A%0AKami tim PT. ESDEA Assistance Management siap men-support proses perpanjangan segera agar administrasi proyek tidak terhambat%0A%0AApakah boleh saya bantu siapkan estimasi biaya dan waktu pengerjaannya?.", "Hubungi")</f>
        <v/>
      </c>
    </row>
    <row r="4">
      <c r="A4" t="inlineStr">
        <is>
          <t>BAYU SARI</t>
        </is>
      </c>
      <c r="B4" t="inlineStr">
        <is>
          <t>Kab. Bogor</t>
        </is>
      </c>
      <c r="C4" t="inlineStr">
        <is>
          <t>081804904054</t>
        </is>
      </c>
      <c r="D4" t="inlineStr">
        <is>
          <t>octopulse12@gmail.com</t>
        </is>
      </c>
      <c r="E4" t="inlineStr">
        <is>
          <t>https://lpjk.pu.go.id/search-badan-usaha-detail/bEF0dElMNmZTT2orb0FvOGVtV2RIQT09</t>
        </is>
      </c>
      <c r="F4" t="n">
        <v>1</v>
      </c>
      <c r="G4" t="inlineStr">
        <is>
          <t>BG006</t>
        </is>
      </c>
      <c r="H4" t="inlineStr">
        <is>
          <t>17 November 1979</t>
        </is>
      </c>
      <c r="I4" s="2" t="n">
        <v>46258</v>
      </c>
      <c r="J4" t="inlineStr">
        <is>
          <t>Disetujui</t>
        </is>
      </c>
      <c r="K4" t="n">
        <v>60</v>
      </c>
      <c r="L4" t="inlineStr">
        <is>
          <t>24 Agustus 2026</t>
        </is>
      </c>
      <c r="M4" t="inlineStr">
        <is>
          <t>Konstruksi Gedung Pendidikan</t>
        </is>
      </c>
      <c r="N4" t="inlineStr">
        <is>
          <t>K</t>
        </is>
      </c>
      <c r="O4" t="inlineStr">
        <is>
          <t>20230808</t>
        </is>
      </c>
      <c r="P4" t="inlineStr">
        <is>
          <t>Jawa Barat</t>
        </is>
      </c>
      <c r="Q4" s="3">
        <f>HYPERLINK("https://wa.me/6281804904054?text=*[PENGINGAT MASA BERLAKU SBU BAYU SARI]*%0A%0AYth. Pimpinan BAYU SARI,%0AMohon izin menginformasikan status SBU Anda di sistem LPJK:%0A%0A📄 SBU: BG006%0A📅 Expired: 24 Agustus 2026 (60 Hari Lagi)%0A%0AKami tim PT. ESDEA Assistance Management siap men-support proses perpanjangan segera agar administrasi proyek tidak terhambat%0A%0AApakah boleh saya bantu siapkan estimasi biaya dan waktu pengerjaannya?.", "Hubungi")</f>
        <v/>
      </c>
    </row>
    <row r="5">
      <c r="A5" t="inlineStr">
        <is>
          <t>ELANG CIPTA PERSADA</t>
        </is>
      </c>
      <c r="B5" t="inlineStr">
        <is>
          <t>Kab. Bogor</t>
        </is>
      </c>
      <c r="C5" t="inlineStr">
        <is>
          <t>081213970989</t>
        </is>
      </c>
      <c r="D5" t="inlineStr">
        <is>
          <t>pt.elangciptapersada22@gmail.com</t>
        </is>
      </c>
      <c r="E5" t="inlineStr">
        <is>
          <t>https://lpjk.pu.go.id/search-badan-usaha-detail/OUVHayszdWZKVEdKc3o0V0kxUXZjdz09</t>
        </is>
      </c>
      <c r="F5" t="n">
        <v>6</v>
      </c>
      <c r="G5" t="inlineStr">
        <is>
          <t>BG006, BG009, BS001</t>
        </is>
      </c>
      <c r="H5" t="inlineStr">
        <is>
          <t>2 Agustus 2022</t>
        </is>
      </c>
      <c r="I5" s="2" t="n">
        <v>46258</v>
      </c>
      <c r="J5" t="inlineStr">
        <is>
          <t>Disetujui</t>
        </is>
      </c>
      <c r="K5" t="n">
        <v>60</v>
      </c>
      <c r="L5" t="inlineStr">
        <is>
          <t>24 Agustus 2026</t>
        </is>
      </c>
      <c r="M5" t="inlineStr">
        <is>
          <t>Konstruksi Bangunan Sipil Jalan, Konstruksi Gedung Lainnya, Konstruksi Gedung Pendidikan</t>
        </is>
      </c>
      <c r="N5" t="inlineStr">
        <is>
          <t>K</t>
        </is>
      </c>
      <c r="O5" t="inlineStr">
        <is>
          <t>20230824</t>
        </is>
      </c>
      <c r="P5" t="inlineStr">
        <is>
          <t>Jawa Barat</t>
        </is>
      </c>
      <c r="Q5" s="3">
        <f>HYPERLINK("https://wa.me/6281213970989?text=*[PENGINGAT MASA BERLAKU SBU ELANG CIPTA PERSADA]*%0A%0AYth. Pimpinan ELANG CIPTA PERSADA,%0AMohon izin menginformasikan status SBU Anda di sistem LPJK:%0A%0A📄 SBU: BG006, BG009, BS001%0A📅 Expired: 24 Agustus 2026 (60 Hari Lagi)%0A%0AKami tim PT. ESDEA Assistance Management siap men-support proses perpanjangan segera agar administrasi proyek tidak terhambat%0A%0AApakah boleh saya bantu siapkan estimasi biaya dan waktu pengerjaannya?.", "Hubungi")</f>
        <v/>
      </c>
    </row>
    <row r="6">
      <c r="A6" t="inlineStr">
        <is>
          <t>KABEMURA TEKINDO PERKASA</t>
        </is>
      </c>
      <c r="B6" t="inlineStr">
        <is>
          <t>Kota Depok</t>
        </is>
      </c>
      <c r="C6" t="inlineStr">
        <is>
          <t>02177841265</t>
        </is>
      </c>
      <c r="D6" t="inlineStr">
        <is>
          <t>kabemura.tekindoperkasa@gmail.com</t>
        </is>
      </c>
      <c r="E6" t="inlineStr">
        <is>
          <t>https://lpjk.pu.go.id/search-badan-usaha-detail/SlU0K09mZlVVc1NoSE9OM29jRnkwdz09</t>
        </is>
      </c>
      <c r="F6" t="n">
        <v>1</v>
      </c>
      <c r="G6" t="inlineStr">
        <is>
          <t>BG003</t>
        </is>
      </c>
      <c r="H6" t="inlineStr">
        <is>
          <t>1 November 2021</t>
        </is>
      </c>
      <c r="I6" s="2" t="n">
        <v>46258</v>
      </c>
      <c r="J6" t="inlineStr">
        <is>
          <t>Disetujui</t>
        </is>
      </c>
      <c r="K6" t="n">
        <v>60</v>
      </c>
      <c r="L6" t="inlineStr">
        <is>
          <t>24 Agustus 2026</t>
        </is>
      </c>
      <c r="M6" t="inlineStr">
        <is>
          <t>Konstruksi Gedung Industri</t>
        </is>
      </c>
      <c r="N6" t="inlineStr">
        <is>
          <t>K</t>
        </is>
      </c>
      <c r="O6" t="inlineStr">
        <is>
          <t>20230824</t>
        </is>
      </c>
      <c r="P6" t="inlineStr">
        <is>
          <t>Jawa Barat</t>
        </is>
      </c>
      <c r="Q6" t="inlineStr"/>
    </row>
    <row r="7">
      <c r="A7" t="inlineStr">
        <is>
          <t>MEDINA JAYA NUGROHO</t>
        </is>
      </c>
      <c r="B7" t="inlineStr">
        <is>
          <t>Kota Bekasi</t>
        </is>
      </c>
      <c r="C7" t="inlineStr">
        <is>
          <t>085772250004</t>
        </is>
      </c>
      <c r="D7" t="inlineStr">
        <is>
          <t>shafiamedinaa@gmail.com</t>
        </is>
      </c>
      <c r="E7" t="inlineStr">
        <is>
          <t>https://lpjk.pu.go.id/search-badan-usaha-detail/VFRCbjJBbzlFNjUyTXhBbndGTmE2UT09</t>
        </is>
      </c>
      <c r="F7" t="n">
        <v>4</v>
      </c>
      <c r="G7" t="inlineStr">
        <is>
          <t>BG006, BG009, BS001, BS004</t>
        </is>
      </c>
      <c r="H7" t="inlineStr">
        <is>
          <t>18 Februari 2022</t>
        </is>
      </c>
      <c r="I7" s="2" t="n">
        <v>46258</v>
      </c>
      <c r="J7" t="inlineStr">
        <is>
          <t>Disetujui</t>
        </is>
      </c>
      <c r="K7" t="n">
        <v>60</v>
      </c>
      <c r="L7" t="inlineStr">
        <is>
          <t>24 Agustus 2026</t>
        </is>
      </c>
      <c r="M7" t="inlineStr">
        <is>
          <t>Konstruksi Bangunan Sipil Jalan, Konstruksi Gedung Lainnya, Konstruksi Gedung Pendidikan, Konstruksi Jaringan Irigasi dan Drainase</t>
        </is>
      </c>
      <c r="N7" t="inlineStr">
        <is>
          <t>K</t>
        </is>
      </c>
      <c r="O7" t="inlineStr">
        <is>
          <t>20230823, 20230824</t>
        </is>
      </c>
      <c r="P7" t="inlineStr">
        <is>
          <t>Jawa Barat</t>
        </is>
      </c>
      <c r="Q7" s="3">
        <f>HYPERLINK("https://wa.me/6285772250004?text=*[PENGINGAT MASA BERLAKU SBU MEDINA JAYA NUGROHO]*%0A%0AYth. Pimpinan MEDINA JAYA NUGROHO,%0AMohon izin menginformasikan status SBU Anda di sistem LPJK:%0A%0A📄 SBU: BG006, BG009, BS001, BS004%0A📅 Expired: 24 Agustus 2026 (60 Hari Lagi)%0A%0AKami tim PT. ESDEA Assistance Management siap men-support proses perpanjangan segera agar administrasi proyek tidak terhambat%0A%0AApakah boleh saya bantu siapkan estimasi biaya dan waktu pengerjaannya?.", "Hubungi")</f>
        <v/>
      </c>
    </row>
    <row r="8">
      <c r="A8" t="inlineStr">
        <is>
          <t>MULTI ARDECON</t>
        </is>
      </c>
      <c r="B8" t="inlineStr">
        <is>
          <t>Kota Bekasi</t>
        </is>
      </c>
      <c r="C8" t="inlineStr">
        <is>
          <t>081380886921</t>
        </is>
      </c>
      <c r="D8" t="inlineStr">
        <is>
          <t>multi_ardecon@yahoo.co.id</t>
        </is>
      </c>
      <c r="E8" t="inlineStr">
        <is>
          <t>https://lpjk.pu.go.id/search-badan-usaha-detail/Ulg1ZG9HNFVtMzQvNGFSNDdKZVNQdz09</t>
        </is>
      </c>
      <c r="F8" t="n">
        <v>1</v>
      </c>
      <c r="G8" t="inlineStr">
        <is>
          <t>BS002</t>
        </is>
      </c>
      <c r="H8" t="inlineStr">
        <is>
          <t>22 Oktober 2006</t>
        </is>
      </c>
      <c r="I8" s="2" t="n">
        <v>46258</v>
      </c>
      <c r="J8" t="inlineStr">
        <is>
          <t>Pembekuan</t>
        </is>
      </c>
      <c r="K8" t="n">
        <v>60</v>
      </c>
      <c r="L8" t="inlineStr">
        <is>
          <t>24 Agustus 2026</t>
        </is>
      </c>
      <c r="M8" t="inlineStr">
        <is>
          <t>Bangunan Sipil Jembatan, Jalan Layang, Fly Over, dan Underpass</t>
        </is>
      </c>
      <c r="N8" t="inlineStr">
        <is>
          <t>M</t>
        </is>
      </c>
      <c r="O8" t="inlineStr">
        <is>
          <t>20230818</t>
        </is>
      </c>
      <c r="P8" t="inlineStr">
        <is>
          <t>Jawa Barat</t>
        </is>
      </c>
      <c r="Q8" s="3">
        <f>HYPERLINK("https://wa.me/6281380886921?text=*[PENGINGAT MASA BERLAKU SBU MULTI ARDECON]*%0A%0AYth. Pimpinan MULTI ARDECON,%0AMohon izin menginformasikan status SBU Anda di sistem LPJK:%0A%0A📄 SBU: BS002%0A📅 Expired: 24 Agustus 2026 (60 Hari Lagi)%0A%0AKami tim PT. ESDEA Assistance Management siap men-support proses perpanjangan segera agar administrasi proyek tidak terhambat%0A%0AApakah boleh saya bantu siapkan estimasi biaya dan waktu pengerjaannya?.", "Hubungi")</f>
        <v/>
      </c>
    </row>
    <row r="9">
      <c r="A9" t="inlineStr">
        <is>
          <t>MULTI BANGUN REALTINDO</t>
        </is>
      </c>
      <c r="B9" t="inlineStr">
        <is>
          <t>Kota Adm. Jakarta Timur</t>
        </is>
      </c>
      <c r="C9" t="inlineStr">
        <is>
          <t>02146802579</t>
        </is>
      </c>
      <c r="D9" t="inlineStr">
        <is>
          <t>pt.multibangunrealtindo@gmail.com</t>
        </is>
      </c>
      <c r="E9" t="inlineStr">
        <is>
          <t>https://lpjk.pu.go.id/search-badan-usaha-detail/S0R6ZnFHdlR5T1g2cWxUSnFXTit5dz09</t>
        </is>
      </c>
      <c r="F9" t="n">
        <v>1</v>
      </c>
      <c r="G9" t="inlineStr">
        <is>
          <t>BG009</t>
        </is>
      </c>
      <c r="H9" t="inlineStr">
        <is>
          <t>6 Februari 2015</t>
        </is>
      </c>
      <c r="I9" s="2" t="n">
        <v>46258</v>
      </c>
      <c r="J9" t="inlineStr">
        <is>
          <t>Disetujui</t>
        </is>
      </c>
      <c r="K9" t="n">
        <v>60</v>
      </c>
      <c r="L9" t="inlineStr">
        <is>
          <t>24 Agustus 2026</t>
        </is>
      </c>
      <c r="M9" t="inlineStr">
        <is>
          <t>Konstruksi Gedung Lainnya</t>
        </is>
      </c>
      <c r="N9" t="inlineStr">
        <is>
          <t>K</t>
        </is>
      </c>
      <c r="O9" t="inlineStr">
        <is>
          <t>20230821</t>
        </is>
      </c>
      <c r="P9" t="inlineStr">
        <is>
          <t>DKI Jakarta</t>
        </is>
      </c>
      <c r="Q9" t="inlineStr"/>
    </row>
    <row r="10">
      <c r="A10" t="inlineStr">
        <is>
          <t>REY ABIY JAYA</t>
        </is>
      </c>
      <c r="B10" t="inlineStr">
        <is>
          <t>Kab. Bekasi</t>
        </is>
      </c>
      <c r="C10" t="inlineStr">
        <is>
          <t>0</t>
        </is>
      </c>
      <c r="D10" t="inlineStr">
        <is>
          <t>cvreyabiyjaya@gmail.com</t>
        </is>
      </c>
      <c r="E10" t="inlineStr">
        <is>
          <t>https://lpjk.pu.go.id/search-badan-usaha-detail/bk1GQVdZYmlJTE9rYVVKMGNjZCsvUT09</t>
        </is>
      </c>
      <c r="F10" t="n">
        <v>2</v>
      </c>
      <c r="G10" t="inlineStr">
        <is>
          <t>BS001, BS002</t>
        </is>
      </c>
      <c r="H10" t="inlineStr">
        <is>
          <t>14 Desember 2019</t>
        </is>
      </c>
      <c r="I10" s="2" t="n">
        <v>46258</v>
      </c>
      <c r="J10" t="inlineStr">
        <is>
          <t>Disetujui</t>
        </is>
      </c>
      <c r="K10" t="n">
        <v>60</v>
      </c>
      <c r="L10" t="inlineStr">
        <is>
          <t>24 Agustus 2026</t>
        </is>
      </c>
      <c r="M10" t="inlineStr">
        <is>
          <t>Bangunan Sipil Jembatan, Jalan Layang, Fly Over, dan Underpass, Konstruksi Bangunan Sipil Jalan</t>
        </is>
      </c>
      <c r="N10" t="inlineStr">
        <is>
          <t>K</t>
        </is>
      </c>
      <c r="O10" t="inlineStr">
        <is>
          <t>20230819</t>
        </is>
      </c>
      <c r="P10" t="inlineStr">
        <is>
          <t>Jawa Barat</t>
        </is>
      </c>
      <c r="Q10" s="3">
        <f>HYPERLINK("https://wa.me/62?text=*[PENGINGAT MASA BERLAKU SBU REY ABIY JAYA]*%0A%0AYth. Pimpinan REY ABIY JAYA,%0AMohon izin menginformasikan status SBU Anda di sistem LPJK:%0A%0A📄 SBU: BS001, BS002%0A📅 Expired: 24 Agustus 2026 (60 Hari Lagi)%0A%0AKami tim PT. ESDEA Assistance Management siap men-support proses perpanjangan segera agar administrasi proyek tidak terhambat%0A%0AApakah boleh saya bantu siapkan estimasi biaya dan waktu pengerjaannya?.", "Hubungi")</f>
        <v/>
      </c>
    </row>
    <row r="11">
      <c r="A11" t="inlineStr">
        <is>
          <t>ABADI DWI ARTA</t>
        </is>
      </c>
      <c r="B11" t="inlineStr">
        <is>
          <t>Kota Tangerang</t>
        </is>
      </c>
      <c r="C11" t="inlineStr">
        <is>
          <t>081236870215</t>
        </is>
      </c>
      <c r="D11" t="inlineStr">
        <is>
          <t>adakontraktor21@gmail.com</t>
        </is>
      </c>
      <c r="E11" t="inlineStr">
        <is>
          <t>https://lpjk.pu.go.id/search-badan-usaha-detail/VHNBMU1hVGdiNmVwRWJmdE1zTkdKdz09</t>
        </is>
      </c>
      <c r="F11" t="n">
        <v>6</v>
      </c>
      <c r="G11" t="inlineStr">
        <is>
          <t>BG001, BG007, BG009</t>
        </is>
      </c>
      <c r="H11" t="inlineStr">
        <is>
          <t>29 Juli 2023</t>
        </is>
      </c>
      <c r="I11" s="2" t="n">
        <v>46258</v>
      </c>
      <c r="J11" t="inlineStr">
        <is>
          <t>Pencabutan</t>
        </is>
      </c>
      <c r="K11" t="n">
        <v>60</v>
      </c>
      <c r="L11" t="inlineStr">
        <is>
          <t>24 Agustus 2026</t>
        </is>
      </c>
      <c r="M11" t="inlineStr">
        <is>
          <t>Konstruksi Gedung Hunian, Konstruksi Gedung Lainnya, Konstruksi Gedung Penginapan</t>
        </is>
      </c>
      <c r="N11" t="inlineStr">
        <is>
          <t>K</t>
        </is>
      </c>
      <c r="O11" t="inlineStr">
        <is>
          <t>20230818</t>
        </is>
      </c>
      <c r="P11" t="inlineStr">
        <is>
          <t>Banten</t>
        </is>
      </c>
      <c r="Q11" t="inlineStr"/>
    </row>
    <row r="12">
      <c r="A12" t="inlineStr">
        <is>
          <t>ADI CIPTA</t>
        </is>
      </c>
      <c r="B12" t="inlineStr">
        <is>
          <t>Kota Mataram</t>
        </is>
      </c>
      <c r="C12" t="inlineStr">
        <is>
          <t>08123782303</t>
        </is>
      </c>
      <c r="D12" t="inlineStr">
        <is>
          <t>cv_adi_cipta@yahoo.co.id</t>
        </is>
      </c>
      <c r="E12" t="inlineStr">
        <is>
          <t>https://lpjk.pu.go.id/search-badan-usaha-detail/dExxVVBQYnU5UlphM1VXVzdiQlF1dz09</t>
        </is>
      </c>
      <c r="F12" t="n">
        <v>1</v>
      </c>
      <c r="G12" t="inlineStr">
        <is>
          <t>RK001</t>
        </is>
      </c>
      <c r="H12" t="inlineStr">
        <is>
          <t>27 September 1993</t>
        </is>
      </c>
      <c r="I12" s="2" t="n">
        <v>46258</v>
      </c>
      <c r="J12" t="inlineStr">
        <is>
          <t>Disetujui</t>
        </is>
      </c>
      <c r="K12" t="n">
        <v>60</v>
      </c>
      <c r="L12" t="inlineStr">
        <is>
          <t>24 Agustus 2026</t>
        </is>
      </c>
      <c r="M12" t="inlineStr">
        <is>
          <t>Jasa Rekayasa Konstruksi Bangunan Gedung Hunian dan Non Hunian</t>
        </is>
      </c>
      <c r="N12" t="inlineStr">
        <is>
          <t>K</t>
        </is>
      </c>
      <c r="O12" t="inlineStr">
        <is>
          <t>20230815</t>
        </is>
      </c>
      <c r="P12" t="inlineStr">
        <is>
          <t>Nusa Tenggara Barat</t>
        </is>
      </c>
      <c r="Q12" t="inlineStr"/>
    </row>
    <row r="13">
      <c r="A13" t="inlineStr">
        <is>
          <t>AKMAL IKHWAN JAYA</t>
        </is>
      </c>
      <c r="B13" t="inlineStr">
        <is>
          <t>Kab. Kepulauan Selayar</t>
        </is>
      </c>
      <c r="C13" t="inlineStr">
        <is>
          <t>085824522852</t>
        </is>
      </c>
      <c r="D13" t="inlineStr">
        <is>
          <t>zulfikarwanri1993@gmail.com</t>
        </is>
      </c>
      <c r="E13" t="inlineStr">
        <is>
          <t>https://lpjk.pu.go.id/search-badan-usaha-detail/eHBWZFl6UHl1T29ybnhTR3YxWGdOUT09</t>
        </is>
      </c>
      <c r="F13" t="n">
        <v>2</v>
      </c>
      <c r="G13" t="inlineStr">
        <is>
          <t>BG006, BG009</t>
        </is>
      </c>
      <c r="H13" t="inlineStr">
        <is>
          <t>29 Agustus 2019</t>
        </is>
      </c>
      <c r="I13" s="2" t="n">
        <v>46258</v>
      </c>
      <c r="J13" t="inlineStr">
        <is>
          <t>Disetujui</t>
        </is>
      </c>
      <c r="K13" t="n">
        <v>60</v>
      </c>
      <c r="L13" t="inlineStr">
        <is>
          <t>24 Agustus 2026</t>
        </is>
      </c>
      <c r="M13" t="inlineStr">
        <is>
          <t>Konstruksi Gedung Lainnya, Konstruksi Gedung Pendidikan</t>
        </is>
      </c>
      <c r="N13" t="inlineStr">
        <is>
          <t>K</t>
        </is>
      </c>
      <c r="O13" t="inlineStr">
        <is>
          <t>20230823</t>
        </is>
      </c>
      <c r="P13" t="inlineStr">
        <is>
          <t>Sulawesi Selatan</t>
        </is>
      </c>
      <c r="Q13" t="inlineStr"/>
    </row>
    <row r="14">
      <c r="A14" t="inlineStr">
        <is>
          <t>ALIF UTAMA</t>
        </is>
      </c>
      <c r="B14" t="inlineStr">
        <is>
          <t>Kab. Batu Bara</t>
        </is>
      </c>
      <c r="C14" t="inlineStr">
        <is>
          <t>082275353700</t>
        </is>
      </c>
      <c r="D14" t="inlineStr">
        <is>
          <t>cvalifutama11@yahoo.com</t>
        </is>
      </c>
      <c r="E14" t="inlineStr">
        <is>
          <t>https://lpjk.pu.go.id/search-badan-usaha-detail/WWowK1k4WEdDL0hvckdveWw4dmpzUT09</t>
        </is>
      </c>
      <c r="F14" t="n">
        <v>1</v>
      </c>
      <c r="G14" t="inlineStr">
        <is>
          <t>BG003</t>
        </is>
      </c>
      <c r="H14" t="inlineStr">
        <is>
          <t>31 Juli 2009</t>
        </is>
      </c>
      <c r="I14" s="2" t="n">
        <v>46258</v>
      </c>
      <c r="J14" t="inlineStr">
        <is>
          <t>Pencabutan</t>
        </is>
      </c>
      <c r="K14" t="n">
        <v>60</v>
      </c>
      <c r="L14" t="inlineStr">
        <is>
          <t>24 Agustus 2026</t>
        </is>
      </c>
      <c r="M14" t="inlineStr">
        <is>
          <t>Konstruksi Gedung Industri</t>
        </is>
      </c>
      <c r="N14" t="inlineStr">
        <is>
          <t>K</t>
        </is>
      </c>
      <c r="O14" t="inlineStr">
        <is>
          <t>20230825</t>
        </is>
      </c>
      <c r="P14" t="inlineStr">
        <is>
          <t>Sumatera Utara</t>
        </is>
      </c>
      <c r="Q14" t="inlineStr"/>
    </row>
    <row r="15">
      <c r="A15" t="inlineStr">
        <is>
          <t>AMARA MEGA WIBISONO</t>
        </is>
      </c>
      <c r="B15" t="inlineStr">
        <is>
          <t>Kota Adm. Jakarta Selatan</t>
        </is>
      </c>
      <c r="C15" t="inlineStr">
        <is>
          <t>081212081566</t>
        </is>
      </c>
      <c r="D15" t="inlineStr">
        <is>
          <t>amaramegawibisonopt@gmail.com</t>
        </is>
      </c>
      <c r="E15" t="inlineStr">
        <is>
          <t>https://lpjk.pu.go.id/search-badan-usaha-detail/SW9TQjJjK1JhakZLTWZOWGU3Smgwdz09</t>
        </is>
      </c>
      <c r="F15" t="n">
        <v>4</v>
      </c>
      <c r="G15" t="inlineStr">
        <is>
          <t>BG001, BG003, BG009, BS001</t>
        </is>
      </c>
      <c r="H15" t="inlineStr">
        <is>
          <t>20 Februari 2020</t>
        </is>
      </c>
      <c r="I15" s="2" t="n">
        <v>46258</v>
      </c>
      <c r="J15" t="inlineStr">
        <is>
          <t>Disetujui</t>
        </is>
      </c>
      <c r="K15" t="n">
        <v>60</v>
      </c>
      <c r="L15" t="inlineStr">
        <is>
          <t>24 Agustus 2026</t>
        </is>
      </c>
      <c r="M15" t="inlineStr">
        <is>
          <t>Konstruksi Bangunan Sipil Jalan, Konstruksi Gedung Hunian, Konstruksi Gedung Industri, Konstruksi Gedung Lainnya</t>
        </is>
      </c>
      <c r="N15" t="inlineStr">
        <is>
          <t>K</t>
        </is>
      </c>
      <c r="O15" t="inlineStr">
        <is>
          <t>20230824</t>
        </is>
      </c>
      <c r="P15" t="inlineStr">
        <is>
          <t>DKI Jakarta</t>
        </is>
      </c>
      <c r="Q15" t="inlineStr"/>
    </row>
    <row r="16">
      <c r="A16" t="inlineStr">
        <is>
          <t>ANANDA SURYA</t>
        </is>
      </c>
      <c r="B16" t="inlineStr">
        <is>
          <t>Kota Banjarmasin</t>
        </is>
      </c>
      <c r="C16" t="inlineStr">
        <is>
          <t>081347371488</t>
        </is>
      </c>
      <c r="D16" t="inlineStr">
        <is>
          <t>anandasurya276@gmail.com</t>
        </is>
      </c>
      <c r="E16" t="inlineStr">
        <is>
          <t>https://lpjk.pu.go.id/search-badan-usaha-detail/V284S3JMZGdpcHNHU3RSSTZVVGV2UT09</t>
        </is>
      </c>
      <c r="F16" t="n">
        <v>2</v>
      </c>
      <c r="G16" t="inlineStr">
        <is>
          <t>BG001</t>
        </is>
      </c>
      <c r="H16" t="inlineStr">
        <is>
          <t>5 November 2012</t>
        </is>
      </c>
      <c r="I16" s="2" t="n">
        <v>46258</v>
      </c>
      <c r="J16" t="inlineStr">
        <is>
          <t>Disetujui</t>
        </is>
      </c>
      <c r="K16" t="n">
        <v>60</v>
      </c>
      <c r="L16" t="inlineStr">
        <is>
          <t>24 Agustus 2026</t>
        </is>
      </c>
      <c r="M16" t="inlineStr">
        <is>
          <t>Konstruksi Gedung Hunian</t>
        </is>
      </c>
      <c r="N16" t="inlineStr">
        <is>
          <t>K</t>
        </is>
      </c>
      <c r="O16" t="inlineStr">
        <is>
          <t>20230821</t>
        </is>
      </c>
      <c r="P16" t="inlineStr">
        <is>
          <t>Kalimantan Selatan</t>
        </is>
      </c>
      <c r="Q16" t="inlineStr"/>
    </row>
    <row r="17">
      <c r="A17" t="inlineStr">
        <is>
          <t>ANNISA CIPTA KONSULTAN</t>
        </is>
      </c>
      <c r="B17" t="inlineStr">
        <is>
          <t>Kab. Siak</t>
        </is>
      </c>
      <c r="C17" t="inlineStr">
        <is>
          <t>082284424854</t>
        </is>
      </c>
      <c r="D17" t="inlineStr">
        <is>
          <t>annisaciptakonsultancv@gmail.com</t>
        </is>
      </c>
      <c r="E17" t="inlineStr">
        <is>
          <t>https://lpjk.pu.go.id/search-badan-usaha-detail/UGUydXZGMnZNdTRzMTYrZVhMRXlRQT09</t>
        </is>
      </c>
      <c r="F17" t="n">
        <v>3</v>
      </c>
      <c r="G17" t="inlineStr">
        <is>
          <t>AR001, AR002, AR003</t>
        </is>
      </c>
      <c r="H17" t="inlineStr">
        <is>
          <t>14 Juli 2018</t>
        </is>
      </c>
      <c r="I17" s="2" t="n">
        <v>46258</v>
      </c>
      <c r="J17" t="inlineStr">
        <is>
          <t>Disetujui</t>
        </is>
      </c>
      <c r="K17" t="n">
        <v>60</v>
      </c>
      <c r="L17" t="inlineStr">
        <is>
          <t>24 Agustus 2026</t>
        </is>
      </c>
      <c r="M17" t="inlineStr">
        <is>
          <t>Jasa Arsitektural Bangunan Gedung Hunian dan Non Hunian, Jasa Arsitektural Lainnya, Jasa Desain Interior pada Bangunan Gedung dan Bangunan Sipil</t>
        </is>
      </c>
      <c r="N17" t="inlineStr">
        <is>
          <t>K</t>
        </is>
      </c>
      <c r="O17" t="inlineStr">
        <is>
          <t>20230811</t>
        </is>
      </c>
      <c r="P17" t="inlineStr">
        <is>
          <t>Riau</t>
        </is>
      </c>
      <c r="Q17" t="inlineStr"/>
    </row>
    <row r="18">
      <c r="A18" t="inlineStr">
        <is>
          <t>ANUGERAH JAYA KONTRUKSINDO</t>
        </is>
      </c>
      <c r="B18" t="inlineStr">
        <is>
          <t>Kab. Garut</t>
        </is>
      </c>
      <c r="C18" t="inlineStr">
        <is>
          <t>082216447208</t>
        </is>
      </c>
      <c r="D18" t="inlineStr">
        <is>
          <t>anugerahjayakontruksindopt@gmail.com</t>
        </is>
      </c>
      <c r="E18" t="inlineStr">
        <is>
          <t>https://lpjk.pu.go.id/search-badan-usaha-detail/bXRKbktxcm1ZcERrL0VNbTJKTVlEdz09</t>
        </is>
      </c>
      <c r="F18" t="n">
        <v>2</v>
      </c>
      <c r="G18" t="inlineStr">
        <is>
          <t>BS008, BS010</t>
        </is>
      </c>
      <c r="H18" t="inlineStr">
        <is>
          <t>25 Juli 2023</t>
        </is>
      </c>
      <c r="I18" s="2" t="n">
        <v>46258</v>
      </c>
      <c r="J18" t="inlineStr">
        <is>
          <t>Disetujui</t>
        </is>
      </c>
      <c r="K18" t="n">
        <v>60</v>
      </c>
      <c r="L18" t="inlineStr">
        <is>
          <t>24 Agustus 2026</t>
        </is>
      </c>
      <c r="M18" t="inlineStr">
        <is>
          <t>Konstruksi Bangunan Prasarana Sumber Daya Air, Konstruksi Bangunan Sipil Telekomunikasi untuk Prasarana Transportasi</t>
        </is>
      </c>
      <c r="N18" t="inlineStr">
        <is>
          <t>K</t>
        </is>
      </c>
      <c r="O18" t="inlineStr">
        <is>
          <t>20230509, 20230825</t>
        </is>
      </c>
      <c r="P18" t="inlineStr">
        <is>
          <t>Jawa Barat</t>
        </is>
      </c>
      <c r="Q18" t="inlineStr"/>
    </row>
    <row r="19">
      <c r="A19" t="inlineStr">
        <is>
          <t>ANUGRAH KARYA MANDIRI</t>
        </is>
      </c>
      <c r="B19" t="inlineStr">
        <is>
          <t>Kota Banjarmasin</t>
        </is>
      </c>
      <c r="C19" t="inlineStr">
        <is>
          <t>0</t>
        </is>
      </c>
      <c r="D19" t="inlineStr">
        <is>
          <t>cv.anugrahkm@gmail.com</t>
        </is>
      </c>
      <c r="E19" t="inlineStr">
        <is>
          <t>https://lpjk.pu.go.id/search-badan-usaha-detail/VDk1Q0NlU3BIZzYrUDRqdlhvSCtqZz09</t>
        </is>
      </c>
      <c r="F19" t="n">
        <v>4</v>
      </c>
      <c r="G19" t="inlineStr">
        <is>
          <t>BG004, BG006</t>
        </is>
      </c>
      <c r="H19" t="inlineStr">
        <is>
          <t>21 Juni 1986</t>
        </is>
      </c>
      <c r="I19" s="2" t="n">
        <v>46258</v>
      </c>
      <c r="J19" t="inlineStr">
        <is>
          <t>Disetujui</t>
        </is>
      </c>
      <c r="K19" t="n">
        <v>60</v>
      </c>
      <c r="L19" t="inlineStr">
        <is>
          <t>24 Agustus 2026</t>
        </is>
      </c>
      <c r="M19" t="inlineStr">
        <is>
          <t>Konstruksi Gedung Pendidikan, Konstruksi Gedung Perbelanjaan</t>
        </is>
      </c>
      <c r="N19" t="inlineStr">
        <is>
          <t>K</t>
        </is>
      </c>
      <c r="O19" t="inlineStr">
        <is>
          <t>20230813, 20230815</t>
        </is>
      </c>
      <c r="P19" t="inlineStr">
        <is>
          <t>Kalimantan Selatan</t>
        </is>
      </c>
      <c r="Q19" t="inlineStr"/>
    </row>
    <row r="20">
      <c r="A20" t="inlineStr">
        <is>
          <t>ANUGRAH PERDANA SEJAHTERA</t>
        </is>
      </c>
      <c r="B20" t="inlineStr">
        <is>
          <t>Kota Makassar</t>
        </is>
      </c>
      <c r="C20" t="inlineStr">
        <is>
          <t>085211194755</t>
        </is>
      </c>
      <c r="D20" t="inlineStr">
        <is>
          <t>anugrahperdanasejahtera@gmail.com</t>
        </is>
      </c>
      <c r="E20" t="inlineStr">
        <is>
          <t>https://lpjk.pu.go.id/search-badan-usaha-detail/NkJSRU1mT1BqVFlvekVMVmZQNHEwZz09</t>
        </is>
      </c>
      <c r="F20" t="n">
        <v>2</v>
      </c>
      <c r="G20" t="inlineStr">
        <is>
          <t>BS001</t>
        </is>
      </c>
      <c r="H20" t="inlineStr">
        <is>
          <t>19 April 2018</t>
        </is>
      </c>
      <c r="I20" s="2" t="n">
        <v>46258</v>
      </c>
      <c r="J20" t="inlineStr">
        <is>
          <t>Pencabutan</t>
        </is>
      </c>
      <c r="K20" t="n">
        <v>60</v>
      </c>
      <c r="L20" t="inlineStr">
        <is>
          <t>24 Agustus 2026</t>
        </is>
      </c>
      <c r="M20" t="inlineStr">
        <is>
          <t>Konstruksi Bangunan Sipil Jalan</t>
        </is>
      </c>
      <c r="N20" t="inlineStr">
        <is>
          <t>K</t>
        </is>
      </c>
      <c r="O20" t="inlineStr">
        <is>
          <t>20230823</t>
        </is>
      </c>
      <c r="P20" t="inlineStr">
        <is>
          <t>Sulawesi Selatan</t>
        </is>
      </c>
      <c r="Q20" t="inlineStr"/>
    </row>
    <row r="21">
      <c r="A21" t="inlineStr">
        <is>
          <t>ARDIAN RAYA</t>
        </is>
      </c>
      <c r="B21" t="inlineStr">
        <is>
          <t>Kota Kendari</t>
        </is>
      </c>
      <c r="C21" t="inlineStr">
        <is>
          <t>085241882572</t>
        </is>
      </c>
      <c r="D21" t="inlineStr">
        <is>
          <t>ardianrayacv@gmail.com</t>
        </is>
      </c>
      <c r="E21" t="inlineStr">
        <is>
          <t>https://lpjk.pu.go.id/search-badan-usaha-detail/eDZkaXNxT2dHa09sQVhQMTAvcTlkQT09</t>
        </is>
      </c>
      <c r="F21" t="n">
        <v>4</v>
      </c>
      <c r="G21" t="inlineStr">
        <is>
          <t>BS001, BS005</t>
        </is>
      </c>
      <c r="H21" t="inlineStr">
        <is>
          <t>4 Januari 2010</t>
        </is>
      </c>
      <c r="I21" s="2" t="n">
        <v>46258</v>
      </c>
      <c r="J21" t="inlineStr">
        <is>
          <t>Disetujui</t>
        </is>
      </c>
      <c r="K21" t="n">
        <v>60</v>
      </c>
      <c r="L21" t="inlineStr">
        <is>
          <t>24 Agustus 2026</t>
        </is>
      </c>
      <c r="M21" t="inlineStr">
        <is>
          <t>Konstruksi Bangunan Sipil Jalan, Konstruksi Bangunan Sipil Pengolahan Air Bersih</t>
        </is>
      </c>
      <c r="N21" t="inlineStr">
        <is>
          <t>K</t>
        </is>
      </c>
      <c r="O21" t="inlineStr">
        <is>
          <t>20230710, 20230818</t>
        </is>
      </c>
      <c r="P21" t="inlineStr">
        <is>
          <t>Sulawesi Tenggara</t>
        </is>
      </c>
      <c r="Q21" t="inlineStr"/>
    </row>
    <row r="22">
      <c r="A22" t="inlineStr">
        <is>
          <t>ARGANTA PRATAMA</t>
        </is>
      </c>
      <c r="B22" t="inlineStr">
        <is>
          <t>Kota Medan</t>
        </is>
      </c>
      <c r="C22" t="inlineStr">
        <is>
          <t>082163942207</t>
        </is>
      </c>
      <c r="D22" t="inlineStr">
        <is>
          <t>cvargantapratama@gmail.com</t>
        </is>
      </c>
      <c r="E22" t="inlineStr">
        <is>
          <t>https://lpjk.pu.go.id/search-badan-usaha-detail/SkxBWmJtV0lEOGF6UTBHUVpvd1Vtdz09</t>
        </is>
      </c>
      <c r="F22" t="n">
        <v>2</v>
      </c>
      <c r="G22" t="inlineStr">
        <is>
          <t>BS001, BS005</t>
        </is>
      </c>
      <c r="H22" t="inlineStr">
        <is>
          <t>23 Desember 2022</t>
        </is>
      </c>
      <c r="I22" s="2" t="n">
        <v>46258</v>
      </c>
      <c r="J22" t="inlineStr">
        <is>
          <t>Disetujui</t>
        </is>
      </c>
      <c r="K22" t="n">
        <v>60</v>
      </c>
      <c r="L22" t="inlineStr">
        <is>
          <t>24 Agustus 2026</t>
        </is>
      </c>
      <c r="M22" t="inlineStr">
        <is>
          <t>Konstruksi Bangunan Sipil Jalan, Konstruksi Bangunan Sipil Pengolahan Air Bersih</t>
        </is>
      </c>
      <c r="N22" t="inlineStr">
        <is>
          <t>K</t>
        </is>
      </c>
      <c r="O22" t="inlineStr">
        <is>
          <t>20230824</t>
        </is>
      </c>
      <c r="P22" t="inlineStr">
        <is>
          <t>Sumatera Utara</t>
        </is>
      </c>
      <c r="Q22" t="inlineStr"/>
    </row>
    <row r="23">
      <c r="A23" t="inlineStr">
        <is>
          <t>AUDI JAYA</t>
        </is>
      </c>
      <c r="B23" t="inlineStr">
        <is>
          <t>Kab. Majalengka</t>
        </is>
      </c>
      <c r="C23" t="inlineStr">
        <is>
          <t>085315785555</t>
        </is>
      </c>
      <c r="D23" t="inlineStr">
        <is>
          <t>audijaya99@gmail.com</t>
        </is>
      </c>
      <c r="E23" t="inlineStr">
        <is>
          <t>https://lpjk.pu.go.id/search-badan-usaha-detail/aW1NN210RlJXMXVxSWlWZUJ5WHR3QT09</t>
        </is>
      </c>
      <c r="F23" t="n">
        <v>1</v>
      </c>
      <c r="G23" t="inlineStr">
        <is>
          <t>BS001</t>
        </is>
      </c>
      <c r="H23" t="inlineStr">
        <is>
          <t>6 September 2018</t>
        </is>
      </c>
      <c r="I23" s="2" t="n">
        <v>46258</v>
      </c>
      <c r="J23" t="inlineStr">
        <is>
          <t>Disetujui</t>
        </is>
      </c>
      <c r="K23" t="n">
        <v>60</v>
      </c>
      <c r="L23" t="inlineStr">
        <is>
          <t>24 Agustus 2026</t>
        </is>
      </c>
      <c r="M23" t="inlineStr">
        <is>
          <t>Konstruksi Bangunan Sipil Jalan</t>
        </is>
      </c>
      <c r="N23" t="inlineStr">
        <is>
          <t>K</t>
        </is>
      </c>
      <c r="O23" t="inlineStr">
        <is>
          <t>20230824</t>
        </is>
      </c>
      <c r="P23" t="inlineStr">
        <is>
          <t>Jawa Barat</t>
        </is>
      </c>
      <c r="Q23" t="inlineStr"/>
    </row>
    <row r="24">
      <c r="A24" t="inlineStr">
        <is>
          <t>BAGJA PUTRA KONSTRUKSI</t>
        </is>
      </c>
      <c r="B24" t="inlineStr">
        <is>
          <t>Kab. Sukabumi</t>
        </is>
      </c>
      <c r="C24" t="inlineStr">
        <is>
          <t>085860433938</t>
        </is>
      </c>
      <c r="D24" t="inlineStr">
        <is>
          <t>xmoellah@gmail.com</t>
        </is>
      </c>
      <c r="E24" t="inlineStr">
        <is>
          <t>https://lpjk.pu.go.id/search-badan-usaha-detail/c2lhMlpzWTVUWS9KTkxKTXZ1WDhPdz09</t>
        </is>
      </c>
      <c r="F24" t="n">
        <v>3</v>
      </c>
      <c r="G24" t="inlineStr">
        <is>
          <t>BG006, BG009, BS004</t>
        </is>
      </c>
      <c r="H24" t="inlineStr">
        <is>
          <t>14 Maret 2012</t>
        </is>
      </c>
      <c r="I24" s="2" t="n">
        <v>46258</v>
      </c>
      <c r="J24" t="inlineStr">
        <is>
          <t>Disetujui</t>
        </is>
      </c>
      <c r="K24" t="n">
        <v>60</v>
      </c>
      <c r="L24" t="inlineStr">
        <is>
          <t>24 Agustus 2026</t>
        </is>
      </c>
      <c r="M24" t="inlineStr">
        <is>
          <t>Konstruksi Gedung Lainnya, Konstruksi Gedung Pendidikan, Konstruksi Jaringan Irigasi dan Drainase</t>
        </is>
      </c>
      <c r="N24" t="inlineStr">
        <is>
          <t>K</t>
        </is>
      </c>
      <c r="O24" t="inlineStr">
        <is>
          <t>20230818</t>
        </is>
      </c>
      <c r="P24" t="inlineStr">
        <is>
          <t>Jawa Barat</t>
        </is>
      </c>
      <c r="Q24" t="inlineStr"/>
    </row>
    <row r="25">
      <c r="A25" t="inlineStr">
        <is>
          <t>BAGUS PERKASA</t>
        </is>
      </c>
      <c r="B25" t="inlineStr">
        <is>
          <t>Kab. Sambas</t>
        </is>
      </c>
      <c r="C25" t="inlineStr">
        <is>
          <t>081352608900</t>
        </is>
      </c>
      <c r="D25" t="inlineStr">
        <is>
          <t>cvbagusperkasa@gmail.com</t>
        </is>
      </c>
      <c r="E25" t="inlineStr">
        <is>
          <t>https://lpjk.pu.go.id/search-badan-usaha-detail/K3pHQS9xcW1Uc2RwT0dKTFBZNmVYQT09</t>
        </is>
      </c>
      <c r="F25" t="n">
        <v>1</v>
      </c>
      <c r="G25" t="inlineStr">
        <is>
          <t>BS011</t>
        </is>
      </c>
      <c r="H25" t="inlineStr">
        <is>
          <t>10 Oktober 2016</t>
        </is>
      </c>
      <c r="I25" s="2" t="n">
        <v>46258</v>
      </c>
      <c r="J25" t="inlineStr">
        <is>
          <t>Disetujui</t>
        </is>
      </c>
      <c r="K25" t="n">
        <v>60</v>
      </c>
      <c r="L25" t="inlineStr">
        <is>
          <t>24 Agustus 2026</t>
        </is>
      </c>
      <c r="M25" t="inlineStr">
        <is>
          <t>Konstruksi Bangunan Pelabuhan Bukan Perikanan</t>
        </is>
      </c>
      <c r="N25" t="inlineStr">
        <is>
          <t>K</t>
        </is>
      </c>
      <c r="O25" t="inlineStr">
        <is>
          <t>20230825</t>
        </is>
      </c>
      <c r="P25" t="inlineStr">
        <is>
          <t>Kalimantan Barat</t>
        </is>
      </c>
      <c r="Q25" t="inlineStr"/>
    </row>
    <row r="26">
      <c r="A26" t="inlineStr">
        <is>
          <t>BAHANA KONSTRUKSI</t>
        </is>
      </c>
      <c r="B26" t="inlineStr">
        <is>
          <t>Kab. Pacitan</t>
        </is>
      </c>
      <c r="C26" t="inlineStr">
        <is>
          <t>082245855454</t>
        </is>
      </c>
      <c r="D26" t="inlineStr">
        <is>
          <t>cv.bahanakonstruksi@gmail.com</t>
        </is>
      </c>
      <c r="E26" t="inlineStr">
        <is>
          <t>https://lpjk.pu.go.id/search-badan-usaha-detail/ZCtORW5Ic3lDRm1Fd09MV0JHbWFiUT09</t>
        </is>
      </c>
      <c r="F26" t="n">
        <v>1</v>
      </c>
      <c r="G26" t="inlineStr">
        <is>
          <t>BG006</t>
        </is>
      </c>
      <c r="H26" t="inlineStr">
        <is>
          <t>30 Juli 1993</t>
        </is>
      </c>
      <c r="I26" s="2" t="n">
        <v>46258</v>
      </c>
      <c r="J26" t="inlineStr">
        <is>
          <t>Disetujui</t>
        </is>
      </c>
      <c r="K26" t="n">
        <v>60</v>
      </c>
      <c r="L26" t="inlineStr">
        <is>
          <t>24 Agustus 2026</t>
        </is>
      </c>
      <c r="M26" t="inlineStr">
        <is>
          <t>Konstruksi Gedung Pendidikan</t>
        </is>
      </c>
      <c r="N26" t="inlineStr">
        <is>
          <t>K</t>
        </is>
      </c>
      <c r="O26" t="inlineStr">
        <is>
          <t>20230825</t>
        </is>
      </c>
      <c r="P26" t="inlineStr">
        <is>
          <t>Jawa Timur</t>
        </is>
      </c>
      <c r="Q26" t="inlineStr"/>
    </row>
    <row r="27">
      <c r="A27" t="inlineStr">
        <is>
          <t>BANGUN KONSTRUKSI JAYA</t>
        </is>
      </c>
      <c r="B27" t="inlineStr">
        <is>
          <t>Kota Ambon</t>
        </is>
      </c>
      <c r="C27" t="inlineStr">
        <is>
          <t>085354188933</t>
        </is>
      </c>
      <c r="D27" t="inlineStr">
        <is>
          <t>bkj2018@yahoo.com</t>
        </is>
      </c>
      <c r="E27" t="inlineStr">
        <is>
          <t>https://lpjk.pu.go.id/search-badan-usaha-detail/QU4reUgxWmpyZUttUFBLYXJ6emhTZz09</t>
        </is>
      </c>
      <c r="F27" t="n">
        <v>1</v>
      </c>
      <c r="G27" t="inlineStr">
        <is>
          <t>BS010</t>
        </is>
      </c>
      <c r="H27" t="inlineStr">
        <is>
          <t>19 Juli 2016</t>
        </is>
      </c>
      <c r="I27" s="2" t="n">
        <v>46258</v>
      </c>
      <c r="J27" t="inlineStr">
        <is>
          <t>Disetujui</t>
        </is>
      </c>
      <c r="K27" t="n">
        <v>60</v>
      </c>
      <c r="L27" t="inlineStr">
        <is>
          <t>24 Agustus 2026</t>
        </is>
      </c>
      <c r="M27" t="inlineStr">
        <is>
          <t>Konstruksi Bangunan Prasarana Sumber Daya Air</t>
        </is>
      </c>
      <c r="N27" t="inlineStr">
        <is>
          <t>B</t>
        </is>
      </c>
      <c r="O27" t="inlineStr">
        <is>
          <t>20230824</t>
        </is>
      </c>
      <c r="P27" t="inlineStr">
        <is>
          <t>Maluku</t>
        </is>
      </c>
      <c r="Q27" t="inlineStr"/>
    </row>
    <row r="28">
      <c r="A28" t="inlineStr">
        <is>
          <t>BANGUN MULTI GRIYA ABADI</t>
        </is>
      </c>
      <c r="B28" t="inlineStr">
        <is>
          <t>Kota Adm. Jakarta Barat</t>
        </is>
      </c>
      <c r="C28" t="inlineStr">
        <is>
          <t>087875194241</t>
        </is>
      </c>
      <c r="D28" t="inlineStr">
        <is>
          <t>ptbmga@hotmail.com</t>
        </is>
      </c>
      <c r="E28" t="inlineStr">
        <is>
          <t>https://lpjk.pu.go.id/search-badan-usaha-detail/ZjlXQTRRcXBlSlFyQkZsblFWdWNTdz09</t>
        </is>
      </c>
      <c r="F28" t="n">
        <v>2</v>
      </c>
      <c r="G28" t="inlineStr">
        <is>
          <t>BG003</t>
        </is>
      </c>
      <c r="H28" t="inlineStr">
        <is>
          <t>15 Desember 2005</t>
        </is>
      </c>
      <c r="I28" s="2" t="n">
        <v>46258</v>
      </c>
      <c r="J28" t="inlineStr">
        <is>
          <t>Disetujui</t>
        </is>
      </c>
      <c r="K28" t="n">
        <v>60</v>
      </c>
      <c r="L28" t="inlineStr">
        <is>
          <t>24 Agustus 2026</t>
        </is>
      </c>
      <c r="M28" t="inlineStr">
        <is>
          <t>Konstruksi Gedung Industri</t>
        </is>
      </c>
      <c r="N28" t="inlineStr">
        <is>
          <t>K</t>
        </is>
      </c>
      <c r="O28" t="inlineStr">
        <is>
          <t>20230816</t>
        </is>
      </c>
      <c r="P28" t="inlineStr">
        <is>
          <t>DKI Jakarta</t>
        </is>
      </c>
      <c r="Q28" t="inlineStr"/>
    </row>
    <row r="29">
      <c r="A29" t="inlineStr">
        <is>
          <t>BARAKATI</t>
        </is>
      </c>
      <c r="B29" t="inlineStr">
        <is>
          <t>Kab. Muna</t>
        </is>
      </c>
      <c r="C29" t="inlineStr">
        <is>
          <t>085241967990</t>
        </is>
      </c>
      <c r="D29" t="inlineStr">
        <is>
          <t>cv.barakati87@gmail.com</t>
        </is>
      </c>
      <c r="E29" t="inlineStr">
        <is>
          <t>https://lpjk.pu.go.id/search-badan-usaha-detail/RXV2N1dVdU9EMTYxS1hoSG9ycW9EZz09</t>
        </is>
      </c>
      <c r="F29" t="n">
        <v>4</v>
      </c>
      <c r="G29" t="inlineStr">
        <is>
          <t>BG004, BG006</t>
        </is>
      </c>
      <c r="H29" t="inlineStr">
        <is>
          <t>17 Januari 2018</t>
        </is>
      </c>
      <c r="I29" s="2" t="n">
        <v>46258</v>
      </c>
      <c r="J29" t="inlineStr">
        <is>
          <t>Pencabutan</t>
        </is>
      </c>
      <c r="K29" t="n">
        <v>60</v>
      </c>
      <c r="L29" t="inlineStr">
        <is>
          <t>24 Agustus 2026</t>
        </is>
      </c>
      <c r="M29" t="inlineStr">
        <is>
          <t>Konstruksi Gedung Pendidikan, Konstruksi Gedung Perbelanjaan</t>
        </is>
      </c>
      <c r="N29" t="inlineStr">
        <is>
          <t>K</t>
        </is>
      </c>
      <c r="O29" t="inlineStr">
        <is>
          <t>20230819</t>
        </is>
      </c>
      <c r="P29" t="inlineStr">
        <is>
          <t>Sulawesi Tenggara</t>
        </is>
      </c>
      <c r="Q29" t="inlineStr"/>
    </row>
    <row r="30">
      <c r="A30" t="inlineStr">
        <is>
          <t>BARATA KARYA</t>
        </is>
      </c>
      <c r="B30" t="inlineStr">
        <is>
          <t>Kab. Maros</t>
        </is>
      </c>
      <c r="C30" t="inlineStr">
        <is>
          <t>082343435546</t>
        </is>
      </c>
      <c r="D30" t="inlineStr">
        <is>
          <t>baratakaryacv@yahoo.com</t>
        </is>
      </c>
      <c r="E30" t="inlineStr">
        <is>
          <t>https://lpjk.pu.go.id/search-badan-usaha-detail/RXpId1ZnZzNETWREaFlpd0lyOXpCUT09</t>
        </is>
      </c>
      <c r="F30" t="n">
        <v>15</v>
      </c>
      <c r="G30" t="inlineStr">
        <is>
          <t>BG004, BG006, BG009</t>
        </is>
      </c>
      <c r="H30" t="inlineStr">
        <is>
          <t>29 November 2016</t>
        </is>
      </c>
      <c r="I30" s="2" t="n">
        <v>46258</v>
      </c>
      <c r="J30" t="inlineStr">
        <is>
          <t>Disetujui</t>
        </is>
      </c>
      <c r="K30" t="n">
        <v>60</v>
      </c>
      <c r="L30" t="inlineStr">
        <is>
          <t>24 Agustus 2026</t>
        </is>
      </c>
      <c r="M30" t="inlineStr">
        <is>
          <t>Konstruksi Gedung Lainnya, Konstruksi Gedung Pendidikan, Konstruksi Gedung Perbelanjaan</t>
        </is>
      </c>
      <c r="N30" t="inlineStr">
        <is>
          <t>K</t>
        </is>
      </c>
      <c r="O30" t="inlineStr">
        <is>
          <t>20230821, 20230823</t>
        </is>
      </c>
      <c r="P30" t="inlineStr">
        <is>
          <t>Sulawesi Selatan</t>
        </is>
      </c>
      <c r="Q30" t="inlineStr"/>
    </row>
    <row r="31">
      <c r="A31" t="inlineStr">
        <is>
          <t>BASKARA PUTERA</t>
        </is>
      </c>
      <c r="B31" t="inlineStr">
        <is>
          <t>Kota Madiun</t>
        </is>
      </c>
      <c r="C31" t="inlineStr">
        <is>
          <t>08123406001</t>
        </is>
      </c>
      <c r="D31" t="inlineStr">
        <is>
          <t>cv.baskara_putera@yahoo.co.id</t>
        </is>
      </c>
      <c r="E31" t="inlineStr">
        <is>
          <t>https://lpjk.pu.go.id/search-badan-usaha-detail/VkhjRDdUYUhHNDF5VDdvMTVhRVd3UT09</t>
        </is>
      </c>
      <c r="F31" t="n">
        <v>1</v>
      </c>
      <c r="G31" t="inlineStr">
        <is>
          <t>BS001</t>
        </is>
      </c>
      <c r="H31" t="inlineStr">
        <is>
          <t>25 September 1990</t>
        </is>
      </c>
      <c r="I31" s="2" t="n">
        <v>46258</v>
      </c>
      <c r="J31" t="inlineStr">
        <is>
          <t>Disetujui</t>
        </is>
      </c>
      <c r="K31" t="n">
        <v>60</v>
      </c>
      <c r="L31" t="inlineStr">
        <is>
          <t>24 Agustus 2026</t>
        </is>
      </c>
      <c r="M31" t="inlineStr">
        <is>
          <t>Konstruksi Bangunan Sipil Jalan</t>
        </is>
      </c>
      <c r="N31" t="inlineStr">
        <is>
          <t>K</t>
        </is>
      </c>
      <c r="O31" t="inlineStr">
        <is>
          <t>20230813</t>
        </is>
      </c>
      <c r="P31" t="inlineStr">
        <is>
          <t>Jawa Timur</t>
        </is>
      </c>
      <c r="Q31" t="inlineStr"/>
    </row>
    <row r="32">
      <c r="A32" t="inlineStr">
        <is>
          <t>BERKAH MUMTAZAH BERSAUDARA</t>
        </is>
      </c>
      <c r="B32" t="inlineStr">
        <is>
          <t>Kab. Pelalawan</t>
        </is>
      </c>
      <c r="C32" t="inlineStr">
        <is>
          <t>085315252949</t>
        </is>
      </c>
      <c r="D32" t="inlineStr">
        <is>
          <t>berkahmumtazahbersaudara@gmail.com</t>
        </is>
      </c>
      <c r="E32" t="inlineStr">
        <is>
          <t>https://lpjk.pu.go.id/search-badan-usaha-detail/OGxQeElxUUJhdEp6NGYzRlc0Ty81Zz09</t>
        </is>
      </c>
      <c r="F32" t="n">
        <v>4</v>
      </c>
      <c r="G32" t="inlineStr">
        <is>
          <t>BG006, BG009</t>
        </is>
      </c>
      <c r="H32" t="inlineStr">
        <is>
          <t>10 Juni 2021</t>
        </is>
      </c>
      <c r="I32" s="2" t="n">
        <v>46258</v>
      </c>
      <c r="J32" t="inlineStr">
        <is>
          <t>Disetujui, Pencabutan</t>
        </is>
      </c>
      <c r="K32" t="n">
        <v>60</v>
      </c>
      <c r="L32" t="inlineStr">
        <is>
          <t>24 Agustus 2026</t>
        </is>
      </c>
      <c r="M32" t="inlineStr">
        <is>
          <t>Konstruksi Gedung Lainnya, Konstruksi Gedung Pendidikan</t>
        </is>
      </c>
      <c r="N32" t="inlineStr">
        <is>
          <t>K</t>
        </is>
      </c>
      <c r="O32" t="inlineStr">
        <is>
          <t>20230825</t>
        </is>
      </c>
      <c r="P32" t="inlineStr">
        <is>
          <t>Riau</t>
        </is>
      </c>
      <c r="Q32" t="inlineStr"/>
    </row>
    <row r="33">
      <c r="A33" t="inlineStr">
        <is>
          <t>BERKAH SAQINA NIZAM</t>
        </is>
      </c>
      <c r="B33" t="inlineStr">
        <is>
          <t>Kab. Pelalawan</t>
        </is>
      </c>
      <c r="C33" t="inlineStr">
        <is>
          <t>081378454145</t>
        </is>
      </c>
      <c r="D33" t="inlineStr">
        <is>
          <t>saqinanizamcvberkah@gmail.com</t>
        </is>
      </c>
      <c r="E33" t="inlineStr">
        <is>
          <t>https://lpjk.pu.go.id/search-badan-usaha-detail/S090blNnSFB3OGNiYlJhbGYrMGxZdz09</t>
        </is>
      </c>
      <c r="F33" t="n">
        <v>2</v>
      </c>
      <c r="G33" t="inlineStr">
        <is>
          <t>BS016</t>
        </is>
      </c>
      <c r="H33" t="inlineStr">
        <is>
          <t>15 Juli 2020</t>
        </is>
      </c>
      <c r="I33" s="2" t="n">
        <v>46258</v>
      </c>
      <c r="J33" t="inlineStr">
        <is>
          <t>Disetujui</t>
        </is>
      </c>
      <c r="K33" t="n">
        <v>60</v>
      </c>
      <c r="L33" t="inlineStr">
        <is>
          <t>24 Agustus 2026</t>
        </is>
      </c>
      <c r="M33" t="inlineStr">
        <is>
          <t>Konstruksi Bangunan Sipil Fasilitas Olah Raga</t>
        </is>
      </c>
      <c r="N33" t="inlineStr">
        <is>
          <t>K</t>
        </is>
      </c>
      <c r="O33" t="inlineStr">
        <is>
          <t>20230824</t>
        </is>
      </c>
      <c r="P33" t="inlineStr">
        <is>
          <t>Riau</t>
        </is>
      </c>
      <c r="Q33" t="inlineStr"/>
    </row>
    <row r="34">
      <c r="A34" t="inlineStr">
        <is>
          <t>BERKAT</t>
        </is>
      </c>
      <c r="B34" t="inlineStr">
        <is>
          <t>Kab. Jayawijaya</t>
        </is>
      </c>
      <c r="C34" t="inlineStr">
        <is>
          <t>082198832977</t>
        </is>
      </c>
      <c r="D34" t="inlineStr">
        <is>
          <t>cvberkat45@gmail.com</t>
        </is>
      </c>
      <c r="E34" t="inlineStr">
        <is>
          <t>https://lpjk.pu.go.id/search-badan-usaha-detail/cjhPRWkxNzZwekEwSkhCU21LVDdhdz09</t>
        </is>
      </c>
      <c r="F34" t="n">
        <v>2</v>
      </c>
      <c r="G34" t="inlineStr">
        <is>
          <t>BS001</t>
        </is>
      </c>
      <c r="H34" t="inlineStr">
        <is>
          <t>24 Mei 2013</t>
        </is>
      </c>
      <c r="I34" s="2" t="n">
        <v>46258</v>
      </c>
      <c r="J34" t="inlineStr">
        <is>
          <t>Disetujui</t>
        </is>
      </c>
      <c r="K34" t="n">
        <v>60</v>
      </c>
      <c r="L34" t="inlineStr">
        <is>
          <t>24 Agustus 2026</t>
        </is>
      </c>
      <c r="M34" t="inlineStr">
        <is>
          <t>Konstruksi Bangunan Sipil Jalan</t>
        </is>
      </c>
      <c r="N34" t="inlineStr">
        <is>
          <t>K</t>
        </is>
      </c>
      <c r="O34" t="inlineStr">
        <is>
          <t>20230824</t>
        </is>
      </c>
      <c r="P34" t="inlineStr">
        <is>
          <t>Papua</t>
        </is>
      </c>
      <c r="Q34" t="inlineStr"/>
    </row>
    <row r="35">
      <c r="A35" t="inlineStr">
        <is>
          <t>BERKAT MANDIRI BERSAMA</t>
        </is>
      </c>
      <c r="B35" t="inlineStr">
        <is>
          <t>Kab. Balangan</t>
        </is>
      </c>
      <c r="C35" t="inlineStr">
        <is>
          <t>081216614673</t>
        </is>
      </c>
      <c r="D35" t="inlineStr">
        <is>
          <t>berkatmandiribersama22@gmail.com</t>
        </is>
      </c>
      <c r="E35" t="inlineStr">
        <is>
          <t>https://lpjk.pu.go.id/search-badan-usaha-detail/NUI4NmFtZ3ZiZ3l0SktpWHgwNVZ3Zz09</t>
        </is>
      </c>
      <c r="F35" t="n">
        <v>8</v>
      </c>
      <c r="G35" t="inlineStr">
        <is>
          <t>BG006, BG009, BS001, BS004</t>
        </is>
      </c>
      <c r="H35" t="inlineStr">
        <is>
          <t>15 November 2022</t>
        </is>
      </c>
      <c r="I35" s="2" t="n">
        <v>46258</v>
      </c>
      <c r="J35" t="inlineStr">
        <is>
          <t>Disetujui</t>
        </is>
      </c>
      <c r="K35" t="n">
        <v>60</v>
      </c>
      <c r="L35" t="inlineStr">
        <is>
          <t>24 Agustus 2026</t>
        </is>
      </c>
      <c r="M35" t="inlineStr">
        <is>
          <t>Konstruksi Bangunan Sipil Jalan, Konstruksi Gedung Lainnya, Konstruksi Gedung Pendidikan, Konstruksi Jaringan Irigasi dan Drainase</t>
        </is>
      </c>
      <c r="N35" t="inlineStr">
        <is>
          <t>K</t>
        </is>
      </c>
      <c r="O35" t="inlineStr">
        <is>
          <t>20230824, 20230825</t>
        </is>
      </c>
      <c r="P35" t="inlineStr">
        <is>
          <t>Kalimantan Selatan</t>
        </is>
      </c>
      <c r="Q35" t="inlineStr"/>
    </row>
    <row r="36">
      <c r="A36" t="inlineStr">
        <is>
          <t>BERKAT TANAH AIR</t>
        </is>
      </c>
      <c r="B36" t="inlineStr">
        <is>
          <t>Kab. Jayawijaya</t>
        </is>
      </c>
      <c r="C36" t="inlineStr">
        <is>
          <t>082198832977</t>
        </is>
      </c>
      <c r="D36" t="inlineStr">
        <is>
          <t>pt.berkattanahair20@gmail.com</t>
        </is>
      </c>
      <c r="E36" t="inlineStr">
        <is>
          <t>https://lpjk.pu.go.id/search-badan-usaha-detail/OWF0Y2UvYmI3UmU4U0cxMTFjMjNOUT09</t>
        </is>
      </c>
      <c r="F36" t="n">
        <v>2</v>
      </c>
      <c r="G36" t="inlineStr">
        <is>
          <t>BS001</t>
        </is>
      </c>
      <c r="H36" t="inlineStr">
        <is>
          <t>17 Mei 2017</t>
        </is>
      </c>
      <c r="I36" s="2" t="n">
        <v>46258</v>
      </c>
      <c r="J36" t="inlineStr">
        <is>
          <t>Disetujui</t>
        </is>
      </c>
      <c r="K36" t="n">
        <v>60</v>
      </c>
      <c r="L36" t="inlineStr">
        <is>
          <t>24 Agustus 2026</t>
        </is>
      </c>
      <c r="M36" t="inlineStr">
        <is>
          <t>Konstruksi Bangunan Sipil Jalan</t>
        </is>
      </c>
      <c r="N36" t="inlineStr">
        <is>
          <t>K</t>
        </is>
      </c>
      <c r="O36" t="inlineStr">
        <is>
          <t>20230824</t>
        </is>
      </c>
      <c r="P36" t="inlineStr">
        <is>
          <t>Papua</t>
        </is>
      </c>
      <c r="Q36" t="inlineStr"/>
    </row>
    <row r="37">
      <c r="A37" t="inlineStr">
        <is>
          <t>BIMMEL JAYA MANDIRI</t>
        </is>
      </c>
      <c r="B37" t="inlineStr">
        <is>
          <t>Kab. Cirebon</t>
        </is>
      </c>
      <c r="C37" t="inlineStr">
        <is>
          <t>087705048382</t>
        </is>
      </c>
      <c r="D37" t="inlineStr">
        <is>
          <t>CVBIMMELJAYAMANDIRI@GMAIL.COM</t>
        </is>
      </c>
      <c r="E37" t="inlineStr">
        <is>
          <t>https://lpjk.pu.go.id/search-badan-usaha-detail/aW9hOHhxNDlzc0g4MmFYUkFnT3NBQT09</t>
        </is>
      </c>
      <c r="F37" t="n">
        <v>1</v>
      </c>
      <c r="G37" t="inlineStr">
        <is>
          <t>BS002</t>
        </is>
      </c>
      <c r="H37" t="inlineStr">
        <is>
          <t>8 Juni 2023</t>
        </is>
      </c>
      <c r="I37" s="2" t="n">
        <v>46258</v>
      </c>
      <c r="J37" t="inlineStr">
        <is>
          <t>Disetujui</t>
        </is>
      </c>
      <c r="K37" t="n">
        <v>60</v>
      </c>
      <c r="L37" t="inlineStr">
        <is>
          <t>24 Agustus 2026</t>
        </is>
      </c>
      <c r="M37" t="inlineStr">
        <is>
          <t>Bangunan Sipil Jembatan, Jalan Layang, Fly Over, dan Underpass</t>
        </is>
      </c>
      <c r="N37" t="inlineStr">
        <is>
          <t>K</t>
        </is>
      </c>
      <c r="O37" t="inlineStr">
        <is>
          <t>20230821</t>
        </is>
      </c>
      <c r="P37" t="inlineStr">
        <is>
          <t>Jawa Barat</t>
        </is>
      </c>
      <c r="Q37" t="inlineStr"/>
    </row>
    <row r="38">
      <c r="A38" t="inlineStr">
        <is>
          <t>BINTANG INTI REKATAMA</t>
        </is>
      </c>
      <c r="B38" t="inlineStr">
        <is>
          <t>Kota Makassar</t>
        </is>
      </c>
      <c r="C38" t="inlineStr">
        <is>
          <t>0411832682</t>
        </is>
      </c>
      <c r="D38" t="inlineStr">
        <is>
          <t>bintang_inti@yahoo.com</t>
        </is>
      </c>
      <c r="E38" t="inlineStr">
        <is>
          <t>https://lpjk.pu.go.id/search-badan-usaha-detail/Y0ltRjByT3pON2hkTVNrOEU0MzBmUT09</t>
        </is>
      </c>
      <c r="F38" t="n">
        <v>2</v>
      </c>
      <c r="G38" t="inlineStr">
        <is>
          <t>RK002</t>
        </is>
      </c>
      <c r="H38" t="inlineStr">
        <is>
          <t>6 November 2002</t>
        </is>
      </c>
      <c r="I38" s="2" t="n">
        <v>46258</v>
      </c>
      <c r="J38" t="inlineStr">
        <is>
          <t>Disetujui</t>
        </is>
      </c>
      <c r="K38" t="n">
        <v>60</v>
      </c>
      <c r="L38" t="inlineStr">
        <is>
          <t>24 Agustus 2026</t>
        </is>
      </c>
      <c r="M38" t="inlineStr">
        <is>
          <t>Jasa Rekayasa Pekerjaan Teknik Sipil Sumber Daya Air</t>
        </is>
      </c>
      <c r="N38" t="inlineStr">
        <is>
          <t>M</t>
        </is>
      </c>
      <c r="O38" t="inlineStr">
        <is>
          <t>20230807</t>
        </is>
      </c>
      <c r="P38" t="inlineStr">
        <is>
          <t>Sulawesi Selatan</t>
        </is>
      </c>
      <c r="Q38" t="inlineStr"/>
    </row>
    <row r="39">
      <c r="A39" t="inlineStr">
        <is>
          <t>BINTANG MULYA ENTERPRISE</t>
        </is>
      </c>
      <c r="B39" t="inlineStr">
        <is>
          <t>Kota Banda Aceh</t>
        </is>
      </c>
      <c r="C39" t="inlineStr">
        <is>
          <t>08116803085</t>
        </is>
      </c>
      <c r="D39" t="inlineStr">
        <is>
          <t>bintangmulya.cv@gmail.com</t>
        </is>
      </c>
      <c r="E39" t="inlineStr">
        <is>
          <t>https://lpjk.pu.go.id/search-badan-usaha-detail/Q1lRNFExYmUveGRhTVVKcjdRbHFUUT09</t>
        </is>
      </c>
      <c r="F39" t="n">
        <v>2</v>
      </c>
      <c r="G39" t="inlineStr">
        <is>
          <t>BG009</t>
        </is>
      </c>
      <c r="H39" t="inlineStr">
        <is>
          <t>24 Juli 2006</t>
        </is>
      </c>
      <c r="I39" s="2" t="n">
        <v>46258</v>
      </c>
      <c r="J39" t="inlineStr">
        <is>
          <t>Disetujui</t>
        </is>
      </c>
      <c r="K39" t="n">
        <v>60</v>
      </c>
      <c r="L39" t="inlineStr">
        <is>
          <t>24 Agustus 2026</t>
        </is>
      </c>
      <c r="M39" t="inlineStr">
        <is>
          <t>Konstruksi Gedung Lainnya</t>
        </is>
      </c>
      <c r="N39" t="inlineStr">
        <is>
          <t>K</t>
        </is>
      </c>
      <c r="O39" t="inlineStr">
        <is>
          <t>20230809</t>
        </is>
      </c>
      <c r="P39" t="inlineStr">
        <is>
          <t>Aceh</t>
        </is>
      </c>
      <c r="Q39" t="inlineStr"/>
    </row>
    <row r="40">
      <c r="A40" t="inlineStr">
        <is>
          <t>BORNEO KREASI MANDIRI</t>
        </is>
      </c>
      <c r="B40" t="inlineStr">
        <is>
          <t>Kab. Kapuas Hulu</t>
        </is>
      </c>
      <c r="C40" t="inlineStr">
        <is>
          <t>085252423123</t>
        </is>
      </c>
      <c r="D40" t="inlineStr">
        <is>
          <t>cvborneokreasimandiri@gmail.com</t>
        </is>
      </c>
      <c r="E40" t="inlineStr">
        <is>
          <t>https://lpjk.pu.go.id/search-badan-usaha-detail/VjlTaStMRklkb3RxMkVrQVI4WHRMdz09</t>
        </is>
      </c>
      <c r="F40" t="n">
        <v>1</v>
      </c>
      <c r="G40" t="inlineStr">
        <is>
          <t>BG006</t>
        </is>
      </c>
      <c r="H40" t="inlineStr">
        <is>
          <t>2 Januari 2014</t>
        </is>
      </c>
      <c r="I40" s="2" t="n">
        <v>46258</v>
      </c>
      <c r="J40" t="inlineStr">
        <is>
          <t>Pencabutan</t>
        </is>
      </c>
      <c r="K40" t="n">
        <v>60</v>
      </c>
      <c r="L40" t="inlineStr">
        <is>
          <t>24 Agustus 2026</t>
        </is>
      </c>
      <c r="M40" t="inlineStr">
        <is>
          <t>Konstruksi Gedung Pendidikan</t>
        </is>
      </c>
      <c r="N40" t="inlineStr">
        <is>
          <t>K</t>
        </is>
      </c>
      <c r="O40" t="inlineStr">
        <is>
          <t>20230816</t>
        </is>
      </c>
      <c r="P40" t="inlineStr">
        <is>
          <t>Kalimantan Barat</t>
        </is>
      </c>
      <c r="Q40" t="inlineStr"/>
    </row>
    <row r="41">
      <c r="A41" t="inlineStr">
        <is>
          <t>BUANA RAYA</t>
        </is>
      </c>
      <c r="B41" t="inlineStr">
        <is>
          <t>Kota Madiun</t>
        </is>
      </c>
      <c r="C41" t="inlineStr">
        <is>
          <t>08125939185</t>
        </is>
      </c>
      <c r="D41" t="inlineStr">
        <is>
          <t>buanarayacv@yahoo.co.id</t>
        </is>
      </c>
      <c r="E41" t="inlineStr">
        <is>
          <t>https://lpjk.pu.go.id/search-badan-usaha-detail/eXQwcUlzT3hySTZaYlROQVkzQ0VYdFFEMzlkZWRDZENzejdrUlNWS1U3OD0</t>
        </is>
      </c>
      <c r="F41" t="n">
        <v>1</v>
      </c>
      <c r="G41" t="inlineStr">
        <is>
          <t>BG004</t>
        </is>
      </c>
      <c r="H41" t="inlineStr">
        <is>
          <t>18 Juli 2025</t>
        </is>
      </c>
      <c r="I41" s="2" t="n">
        <v>46258</v>
      </c>
      <c r="J41" t="inlineStr">
        <is>
          <t>Disetujui</t>
        </is>
      </c>
      <c r="K41" t="n">
        <v>60</v>
      </c>
      <c r="L41" t="inlineStr">
        <is>
          <t>24 Agustus 2026</t>
        </is>
      </c>
      <c r="M41" t="inlineStr">
        <is>
          <t>Konstruksi Gedung Perbelanjaan</t>
        </is>
      </c>
      <c r="N41" t="inlineStr">
        <is>
          <t>K</t>
        </is>
      </c>
      <c r="O41" t="inlineStr">
        <is>
          <t>20230811</t>
        </is>
      </c>
      <c r="P41" t="inlineStr">
        <is>
          <t>Jawa Timur</t>
        </is>
      </c>
      <c r="Q41" t="inlineStr"/>
    </row>
    <row r="42">
      <c r="A42" t="inlineStr">
        <is>
          <t>BUDI JAYA PERSADA</t>
        </is>
      </c>
      <c r="B42" t="inlineStr">
        <is>
          <t>Kab. Jembrana</t>
        </is>
      </c>
      <c r="C42" t="inlineStr">
        <is>
          <t>085238239446</t>
        </is>
      </c>
      <c r="D42" t="inlineStr">
        <is>
          <t>ptbudijayapersada2021@gmail.com</t>
        </is>
      </c>
      <c r="E42" t="inlineStr">
        <is>
          <t>https://lpjk.pu.go.id/search-badan-usaha-detail/dUFrdVRTT283bmpENDdmQlh0OERGQT09</t>
        </is>
      </c>
      <c r="F42" t="n">
        <v>1</v>
      </c>
      <c r="G42" t="inlineStr">
        <is>
          <t>BG008</t>
        </is>
      </c>
      <c r="H42" t="inlineStr">
        <is>
          <t>27 Januari 1986</t>
        </is>
      </c>
      <c r="I42" s="2" t="n">
        <v>46258</v>
      </c>
      <c r="J42" t="inlineStr">
        <is>
          <t>Disetujui</t>
        </is>
      </c>
      <c r="K42" t="n">
        <v>60</v>
      </c>
      <c r="L42" t="inlineStr">
        <is>
          <t>24 Agustus 2026</t>
        </is>
      </c>
      <c r="M42" t="inlineStr">
        <is>
          <t>Konstruksi Gedung Tempat Hiburan dan Olahraga</t>
        </is>
      </c>
      <c r="N42" t="inlineStr">
        <is>
          <t>K</t>
        </is>
      </c>
      <c r="O42" t="inlineStr">
        <is>
          <t>20230810</t>
        </is>
      </c>
      <c r="P42" t="inlineStr">
        <is>
          <t>Bali</t>
        </is>
      </c>
      <c r="Q42" t="inlineStr"/>
    </row>
    <row r="43">
      <c r="A43" t="inlineStr">
        <is>
          <t>BUMI WASTHU KENCANA</t>
        </is>
      </c>
      <c r="B43" t="inlineStr">
        <is>
          <t>Kota Cirebon</t>
        </is>
      </c>
      <c r="C43" t="inlineStr">
        <is>
          <t>085295777759</t>
        </is>
      </c>
      <c r="D43" t="inlineStr">
        <is>
          <t>wasthukencanabumi@gmail.com</t>
        </is>
      </c>
      <c r="E43" t="inlineStr">
        <is>
          <t>https://lpjk.pu.go.id/search-badan-usaha-detail/dnhSYjJucllGa1R2M0w4S1hNdDFGdz09</t>
        </is>
      </c>
      <c r="F43" t="n">
        <v>3</v>
      </c>
      <c r="G43" t="inlineStr">
        <is>
          <t>BG002, BG004, BG005</t>
        </is>
      </c>
      <c r="H43" t="inlineStr">
        <is>
          <t>28 Agustus 2015</t>
        </is>
      </c>
      <c r="I43" s="2" t="n">
        <v>46258</v>
      </c>
      <c r="J43" t="inlineStr">
        <is>
          <t>Disetujui</t>
        </is>
      </c>
      <c r="K43" t="n">
        <v>60</v>
      </c>
      <c r="L43" t="inlineStr">
        <is>
          <t>24 Agustus 2026</t>
        </is>
      </c>
      <c r="M43" t="inlineStr">
        <is>
          <t>Konstruksi Gedung Kesehatan, Konstruksi Gedung Perbelanjaan, Konstruksi Gedung Perkantoran</t>
        </is>
      </c>
      <c r="N43" t="inlineStr">
        <is>
          <t>K</t>
        </is>
      </c>
      <c r="O43" t="inlineStr">
        <is>
          <t>20230824</t>
        </is>
      </c>
      <c r="P43" t="inlineStr">
        <is>
          <t>Jawa Barat</t>
        </is>
      </c>
      <c r="Q43" t="inlineStr"/>
    </row>
    <row r="44">
      <c r="A44" t="inlineStr">
        <is>
          <t>CAHAYA MALLUSETASI</t>
        </is>
      </c>
      <c r="B44" t="inlineStr">
        <is>
          <t>Kab. Asmat</t>
        </is>
      </c>
      <c r="C44" t="inlineStr">
        <is>
          <t>082188899933</t>
        </is>
      </c>
      <c r="D44" t="inlineStr">
        <is>
          <t>cahayamallusetasi99@gmail.com</t>
        </is>
      </c>
      <c r="E44" t="inlineStr">
        <is>
          <t>https://lpjk.pu.go.id/search-badan-usaha-detail/TWRCajZMdTRySUs1elh0dUxpSDdCZz09</t>
        </is>
      </c>
      <c r="F44" t="n">
        <v>1</v>
      </c>
      <c r="G44" t="inlineStr">
        <is>
          <t>BS001</t>
        </is>
      </c>
      <c r="H44" t="inlineStr">
        <is>
          <t>29 Juli 2004</t>
        </is>
      </c>
      <c r="I44" s="2" t="n">
        <v>46258</v>
      </c>
      <c r="J44" t="inlineStr">
        <is>
          <t>Disetujui</t>
        </is>
      </c>
      <c r="K44" t="n">
        <v>60</v>
      </c>
      <c r="L44" t="inlineStr">
        <is>
          <t>24 Agustus 2026</t>
        </is>
      </c>
      <c r="M44" t="inlineStr">
        <is>
          <t>Konstruksi Bangunan Sipil Jalan</t>
        </is>
      </c>
      <c r="N44" t="inlineStr">
        <is>
          <t>K</t>
        </is>
      </c>
      <c r="O44" t="inlineStr">
        <is>
          <t>20230804</t>
        </is>
      </c>
      <c r="P44" t="inlineStr">
        <is>
          <t>Papua Selatan</t>
        </is>
      </c>
      <c r="Q44" t="inlineStr"/>
    </row>
    <row r="45">
      <c r="A45" t="inlineStr">
        <is>
          <t>CAHAYA RAMONA SEJAHTERA</t>
        </is>
      </c>
      <c r="B45" t="inlineStr">
        <is>
          <t>Kab. Sekadau</t>
        </is>
      </c>
      <c r="C45" t="inlineStr">
        <is>
          <t>082152728889</t>
        </is>
      </c>
      <c r="D45" t="inlineStr">
        <is>
          <t>cahayaramonasejahtera@gmail.com</t>
        </is>
      </c>
      <c r="E45" t="inlineStr">
        <is>
          <t>https://lpjk.pu.go.id/search-badan-usaha-detail/c0VmRFo4a1ZFVE9jZ0RKbTNYbUNhUT09</t>
        </is>
      </c>
      <c r="F45" t="n">
        <v>1</v>
      </c>
      <c r="G45" t="inlineStr">
        <is>
          <t>BS001</t>
        </is>
      </c>
      <c r="H45" t="inlineStr">
        <is>
          <t>4 Maret 2016</t>
        </is>
      </c>
      <c r="I45" s="2" t="n">
        <v>46258</v>
      </c>
      <c r="J45" t="inlineStr">
        <is>
          <t>Disetujui</t>
        </is>
      </c>
      <c r="K45" t="n">
        <v>60</v>
      </c>
      <c r="L45" t="inlineStr">
        <is>
          <t>24 Agustus 2026</t>
        </is>
      </c>
      <c r="M45" t="inlineStr">
        <is>
          <t>Konstruksi Bangunan Sipil Jalan</t>
        </is>
      </c>
      <c r="N45" t="inlineStr">
        <is>
          <t>K</t>
        </is>
      </c>
      <c r="O45" t="inlineStr">
        <is>
          <t>20230818</t>
        </is>
      </c>
      <c r="P45" t="inlineStr">
        <is>
          <t>Kalimantan Barat</t>
        </is>
      </c>
      <c r="Q45" t="inlineStr"/>
    </row>
    <row r="46">
      <c r="A46" t="inlineStr">
        <is>
          <t>CEMERLANG GEMILANG GROUP</t>
        </is>
      </c>
      <c r="B46" t="inlineStr">
        <is>
          <t>Kab. Mandailing Natal</t>
        </is>
      </c>
      <c r="C46" t="inlineStr">
        <is>
          <t>081396794599</t>
        </is>
      </c>
      <c r="D46" t="inlineStr">
        <is>
          <t>cemerlanggemilanggrouo.cv@gmail.com</t>
        </is>
      </c>
      <c r="E46" t="inlineStr">
        <is>
          <t>https://lpjk.pu.go.id/search-badan-usaha-detail/Q3ZxWjhPQzA1S3F3dVdCOHVtQmZkQT09</t>
        </is>
      </c>
      <c r="F46" t="n">
        <v>1</v>
      </c>
      <c r="G46" t="inlineStr">
        <is>
          <t>BS005</t>
        </is>
      </c>
      <c r="H46" t="inlineStr">
        <is>
          <t>15 Januari 2019</t>
        </is>
      </c>
      <c r="I46" s="2" t="n">
        <v>46258</v>
      </c>
      <c r="J46" t="inlineStr">
        <is>
          <t>Disetujui</t>
        </is>
      </c>
      <c r="K46" t="n">
        <v>60</v>
      </c>
      <c r="L46" t="inlineStr">
        <is>
          <t>24 Agustus 2026</t>
        </is>
      </c>
      <c r="M46" t="inlineStr">
        <is>
          <t>Konstruksi Bangunan Sipil Pengolahan Air Bersih</t>
        </is>
      </c>
      <c r="N46" t="inlineStr">
        <is>
          <t>K</t>
        </is>
      </c>
      <c r="O46" t="inlineStr">
        <is>
          <t>20230821</t>
        </is>
      </c>
      <c r="P46" t="inlineStr">
        <is>
          <t>Sumatera Utara</t>
        </is>
      </c>
      <c r="Q46" t="inlineStr"/>
    </row>
    <row r="47">
      <c r="A47" t="inlineStr">
        <is>
          <t>CIPTA KARYA ADI</t>
        </is>
      </c>
      <c r="B47" t="inlineStr">
        <is>
          <t>Kota Surabaya</t>
        </is>
      </c>
      <c r="C47" t="inlineStr">
        <is>
          <t>0318286792</t>
        </is>
      </c>
      <c r="D47" t="inlineStr">
        <is>
          <t>ciptakaryaadi61@yahoo.com</t>
        </is>
      </c>
      <c r="E47" t="inlineStr">
        <is>
          <t>https://lpjk.pu.go.id/search-badan-usaha-detail/aXdzYkNBWS9seE9TTFRyM3NKVE9DZz09</t>
        </is>
      </c>
      <c r="F47" t="n">
        <v>2</v>
      </c>
      <c r="G47" t="inlineStr">
        <is>
          <t>BS005</t>
        </is>
      </c>
      <c r="H47" t="inlineStr">
        <is>
          <t>25 November 1988</t>
        </is>
      </c>
      <c r="I47" s="2" t="n">
        <v>46258</v>
      </c>
      <c r="J47" t="inlineStr">
        <is>
          <t>Disetujui, Pencabutan</t>
        </is>
      </c>
      <c r="K47" t="n">
        <v>60</v>
      </c>
      <c r="L47" t="inlineStr">
        <is>
          <t>24 Agustus 2026</t>
        </is>
      </c>
      <c r="M47" t="inlineStr">
        <is>
          <t>Konstruksi Bangunan Sipil Pengolahan Air Bersih</t>
        </is>
      </c>
      <c r="N47" t="inlineStr">
        <is>
          <t>K</t>
        </is>
      </c>
      <c r="O47" t="inlineStr">
        <is>
          <t>20230823</t>
        </is>
      </c>
      <c r="P47" t="inlineStr">
        <is>
          <t>Jawa Timur</t>
        </is>
      </c>
      <c r="Q47" t="inlineStr"/>
    </row>
    <row r="48">
      <c r="A48" t="inlineStr">
        <is>
          <t>CIPTA RASA GLOBAL JAYA</t>
        </is>
      </c>
      <c r="B48" t="inlineStr">
        <is>
          <t>Kab. Tangerang</t>
        </is>
      </c>
      <c r="C48" t="inlineStr">
        <is>
          <t>087709875888</t>
        </is>
      </c>
      <c r="D48" t="inlineStr">
        <is>
          <t>cvcrgj1@gmail.com</t>
        </is>
      </c>
      <c r="E48" t="inlineStr">
        <is>
          <t>https://lpjk.pu.go.id/search-badan-usaha-detail/Y0VGN21vRXNUbFF4Rmh3MDljdXh1Zz09</t>
        </is>
      </c>
      <c r="F48" t="n">
        <v>12</v>
      </c>
      <c r="G48" t="inlineStr">
        <is>
          <t>BG005, BG006, BG009, BS001, BS004, BS010</t>
        </is>
      </c>
      <c r="H48" t="inlineStr">
        <is>
          <t>2 Januari 2019</t>
        </is>
      </c>
      <c r="I48" s="2" t="n">
        <v>46258</v>
      </c>
      <c r="J48" t="inlineStr">
        <is>
          <t>Disetujui</t>
        </is>
      </c>
      <c r="K48" t="n">
        <v>60</v>
      </c>
      <c r="L48" t="inlineStr">
        <is>
          <t>24 Agustus 2026</t>
        </is>
      </c>
      <c r="M48" t="inlineStr">
        <is>
          <t>Konstruksi Bangunan Prasarana Sumber Daya Air, Konstruksi Bangunan Sipil Jalan, Konstruksi Gedung Kesehatan, Konstruksi Gedung Lainnya, Konstruksi Gedung Pendidikan, Konstruksi Jaringan Irigasi dan Drainase</t>
        </is>
      </c>
      <c r="N48" t="inlineStr">
        <is>
          <t>K</t>
        </is>
      </c>
      <c r="O48" t="inlineStr">
        <is>
          <t>20230823</t>
        </is>
      </c>
      <c r="P48" t="inlineStr">
        <is>
          <t>Banten</t>
        </is>
      </c>
      <c r="Q48" t="inlineStr"/>
    </row>
    <row r="49">
      <c r="A49" t="inlineStr">
        <is>
          <t>CITRA KARYA MANDIRI</t>
        </is>
      </c>
      <c r="B49" t="inlineStr">
        <is>
          <t>Kota Medan</t>
        </is>
      </c>
      <c r="C49" t="inlineStr">
        <is>
          <t>0811 6191 908_</t>
        </is>
      </c>
      <c r="D49" t="inlineStr">
        <is>
          <t>cv.citrakarya_mandiri@yahoo.com</t>
        </is>
      </c>
      <c r="E49" t="inlineStr">
        <is>
          <t>https://lpjk.pu.go.id/search-badan-usaha-detail/YjFGNTB5K2FRS1JDL3dUdWlpQ2pPdz09</t>
        </is>
      </c>
      <c r="F49" t="n">
        <v>3</v>
      </c>
      <c r="G49" t="inlineStr">
        <is>
          <t>BG006, BG009, BS001</t>
        </is>
      </c>
      <c r="H49" t="inlineStr">
        <is>
          <t>25 April 2014</t>
        </is>
      </c>
      <c r="I49" s="2" t="n">
        <v>46258</v>
      </c>
      <c r="J49" t="inlineStr">
        <is>
          <t>Disetujui</t>
        </is>
      </c>
      <c r="K49" t="n">
        <v>60</v>
      </c>
      <c r="L49" t="inlineStr">
        <is>
          <t>24 Agustus 2026</t>
        </is>
      </c>
      <c r="M49" t="inlineStr">
        <is>
          <t>Konstruksi Bangunan Sipil Jalan, Konstruksi Gedung Lainnya, Konstruksi Gedung Pendidikan</t>
        </is>
      </c>
      <c r="N49" t="inlineStr">
        <is>
          <t>K</t>
        </is>
      </c>
      <c r="O49" t="inlineStr">
        <is>
          <t>20230807, 20230808, 20230811</t>
        </is>
      </c>
      <c r="P49" t="inlineStr">
        <is>
          <t>Sumatera Utara</t>
        </is>
      </c>
      <c r="Q49" t="inlineStr"/>
    </row>
    <row r="50">
      <c r="A50" t="inlineStr">
        <is>
          <t>CV. KUMALA JAYA ABADI</t>
        </is>
      </c>
      <c r="B50" t="inlineStr">
        <is>
          <t>Kota Surabaya</t>
        </is>
      </c>
      <c r="C50" t="inlineStr">
        <is>
          <t>082141099964</t>
        </is>
      </c>
      <c r="D50" t="inlineStr">
        <is>
          <t>kumala_cv@yahoo.com</t>
        </is>
      </c>
      <c r="E50" t="inlineStr">
        <is>
          <t>https://lpjk.pu.go.id/search-badan-usaha-detail/Z3pwcElaMnY0M1dadE14RnVIOVYrZz09</t>
        </is>
      </c>
      <c r="F50" t="n">
        <v>2</v>
      </c>
      <c r="G50" t="inlineStr">
        <is>
          <t>BG009, BS016</t>
        </is>
      </c>
      <c r="H50" t="inlineStr">
        <is>
          <t>8 Juli 2010</t>
        </is>
      </c>
      <c r="I50" s="2" t="n">
        <v>46258</v>
      </c>
      <c r="J50" t="inlineStr">
        <is>
          <t>Pencabutan</t>
        </is>
      </c>
      <c r="K50" t="n">
        <v>60</v>
      </c>
      <c r="L50" t="inlineStr">
        <is>
          <t>24 Agustus 2026</t>
        </is>
      </c>
      <c r="M50" t="inlineStr">
        <is>
          <t>Konstruksi Bangunan Sipil Fasilitas Olah Raga, Konstruksi Gedung Lainnya</t>
        </is>
      </c>
      <c r="N50" t="inlineStr">
        <is>
          <t>K</t>
        </is>
      </c>
      <c r="O50" t="inlineStr">
        <is>
          <t>20230818</t>
        </is>
      </c>
      <c r="P50" t="inlineStr">
        <is>
          <t>Jawa Timur</t>
        </is>
      </c>
      <c r="Q50" t="inlineStr"/>
    </row>
    <row r="51">
      <c r="A51" t="inlineStr">
        <is>
          <t>CV. MEDIA KREASINDO KONSULTAN</t>
        </is>
      </c>
      <c r="B51" t="inlineStr">
        <is>
          <t>Kab. Konawe</t>
        </is>
      </c>
      <c r="C51" t="inlineStr">
        <is>
          <t>081343934969</t>
        </is>
      </c>
      <c r="D51" t="inlineStr">
        <is>
          <t>media_kreasindo@yahoo.co.id</t>
        </is>
      </c>
      <c r="E51" t="inlineStr">
        <is>
          <t>https://lpjk.pu.go.id/search-badan-usaha-detail/ZWdhcWN6YTNKTElHcUNRS3U5cFhaZz09</t>
        </is>
      </c>
      <c r="F51" t="n">
        <v>2</v>
      </c>
      <c r="G51" t="inlineStr">
        <is>
          <t>RK003</t>
        </is>
      </c>
      <c r="H51" t="inlineStr">
        <is>
          <t>2 Februari 2013</t>
        </is>
      </c>
      <c r="I51" s="2" t="n">
        <v>46258</v>
      </c>
      <c r="J51" t="inlineStr">
        <is>
          <t>Disetujui</t>
        </is>
      </c>
      <c r="K51" t="n">
        <v>60</v>
      </c>
      <c r="L51" t="inlineStr">
        <is>
          <t>24 Agustus 2026</t>
        </is>
      </c>
      <c r="M51" t="inlineStr">
        <is>
          <t>Jasa Rekayasa Pekerjaan Teknik Sipil Transportasi</t>
        </is>
      </c>
      <c r="N51" t="inlineStr">
        <is>
          <t>K</t>
        </is>
      </c>
      <c r="O51" t="inlineStr">
        <is>
          <t>20230810</t>
        </is>
      </c>
      <c r="P51" t="inlineStr">
        <is>
          <t>Sulawesi Tenggara</t>
        </is>
      </c>
      <c r="Q51" t="inlineStr"/>
    </row>
    <row r="52">
      <c r="A52" t="inlineStr">
        <is>
          <t>CV. PUTRI ZIFA MANUNGGAL</t>
        </is>
      </c>
      <c r="B52" t="inlineStr">
        <is>
          <t>Kab. Tegal</t>
        </is>
      </c>
      <c r="C52" t="inlineStr">
        <is>
          <t>082313966139</t>
        </is>
      </c>
      <c r="D52" t="inlineStr">
        <is>
          <t>putrizifamanunggal@gmail.com</t>
        </is>
      </c>
      <c r="E52" t="inlineStr">
        <is>
          <t>https://lpjk.pu.go.id/search-badan-usaha-detail/VVloWUhlbzdFeVlHemwyZldqT2t2UT09</t>
        </is>
      </c>
      <c r="F52" t="n">
        <v>12</v>
      </c>
      <c r="G52" t="inlineStr">
        <is>
          <t>BG002, BG006, BG009, BS001, BS002, BS004</t>
        </is>
      </c>
      <c r="H52" t="inlineStr">
        <is>
          <t>26 Oktober 2017</t>
        </is>
      </c>
      <c r="I52" s="2" t="n">
        <v>46258</v>
      </c>
      <c r="J52" t="inlineStr">
        <is>
          <t>Disetujui</t>
        </is>
      </c>
      <c r="K52" t="n">
        <v>60</v>
      </c>
      <c r="L52" t="inlineStr">
        <is>
          <t>24 Agustus 2026</t>
        </is>
      </c>
      <c r="M52" t="inlineStr">
        <is>
          <t>Bangunan Sipil Jembatan, Jalan Layang, Fly Over, dan Underpass, Konstruksi Bangunan Sipil Jalan, Konstruksi Gedung Lainnya, Konstruksi Gedung Pendidikan, Konstruksi Gedung Perkantoran, Konstruksi Jaringan Irigasi dan Drainase</t>
        </is>
      </c>
      <c r="N52" t="inlineStr">
        <is>
          <t>K</t>
        </is>
      </c>
      <c r="O52" t="inlineStr">
        <is>
          <t>20230821, 20230825</t>
        </is>
      </c>
      <c r="P52" t="inlineStr">
        <is>
          <t>Jawa Tengah</t>
        </is>
      </c>
      <c r="Q52" t="inlineStr"/>
    </row>
    <row r="53">
      <c r="A53" t="inlineStr">
        <is>
          <t>CV. SARANA MANDIRI</t>
        </is>
      </c>
      <c r="B53" t="inlineStr">
        <is>
          <t>Kota Palembang</t>
        </is>
      </c>
      <c r="C53" t="inlineStr">
        <is>
          <t>081379427772</t>
        </is>
      </c>
      <c r="D53" t="inlineStr">
        <is>
          <t>saranacvmandiri@gmail.com</t>
        </is>
      </c>
      <c r="E53" t="inlineStr">
        <is>
          <t>https://lpjk.pu.go.id/search-badan-usaha-detail/ZjBCaVJxQ3h4NlRPL3MyNGVEeWllZz09</t>
        </is>
      </c>
      <c r="F53" t="n">
        <v>4</v>
      </c>
      <c r="G53" t="inlineStr">
        <is>
          <t>BG001, BG002</t>
        </is>
      </c>
      <c r="H53" t="inlineStr">
        <is>
          <t>25 Januari 2012</t>
        </is>
      </c>
      <c r="I53" s="2" t="n">
        <v>46258</v>
      </c>
      <c r="J53" t="inlineStr">
        <is>
          <t>Disetujui</t>
        </is>
      </c>
      <c r="K53" t="n">
        <v>60</v>
      </c>
      <c r="L53" t="inlineStr">
        <is>
          <t>24 Agustus 2026</t>
        </is>
      </c>
      <c r="M53" t="inlineStr">
        <is>
          <t>Konstruksi Gedung Hunian, Konstruksi Gedung Perkantoran</t>
        </is>
      </c>
      <c r="N53" t="inlineStr">
        <is>
          <t>K</t>
        </is>
      </c>
      <c r="O53" t="inlineStr">
        <is>
          <t>20230821</t>
        </is>
      </c>
      <c r="P53" t="inlineStr">
        <is>
          <t>Sumatera Selatan</t>
        </is>
      </c>
      <c r="Q53" t="inlineStr"/>
    </row>
    <row r="54">
      <c r="A54" t="inlineStr">
        <is>
          <t>DAMAR SEJATI MATARAM</t>
        </is>
      </c>
      <c r="B54" t="inlineStr">
        <is>
          <t>Kota Mataram</t>
        </is>
      </c>
      <c r="C54" t="inlineStr">
        <is>
          <t>N/A</t>
        </is>
      </c>
      <c r="D54" t="inlineStr">
        <is>
          <t>N/A</t>
        </is>
      </c>
      <c r="E54" t="inlineStr">
        <is>
          <t>https://lpjk.pu.go.id/search-badan-usaha-detail/L3ZaMjY5MjBScmdTWWllV0xNRGljZz09</t>
        </is>
      </c>
      <c r="F54" t="n">
        <v>1</v>
      </c>
      <c r="G54" t="inlineStr">
        <is>
          <t>BG007</t>
        </is>
      </c>
      <c r="H54" t="inlineStr"/>
      <c r="I54" s="2" t="n">
        <v>46258</v>
      </c>
      <c r="J54" t="inlineStr">
        <is>
          <t>Disetujui</t>
        </is>
      </c>
      <c r="K54" t="n">
        <v>60</v>
      </c>
      <c r="L54" t="inlineStr">
        <is>
          <t>24 Agustus 2026</t>
        </is>
      </c>
      <c r="M54" t="inlineStr">
        <is>
          <t>Konstruksi Gedung Penginapan</t>
        </is>
      </c>
      <c r="N54" t="inlineStr">
        <is>
          <t>K</t>
        </is>
      </c>
      <c r="O54" t="inlineStr">
        <is>
          <t>20230816</t>
        </is>
      </c>
      <c r="P54" t="inlineStr">
        <is>
          <t>Nusa Tenggara Barat</t>
        </is>
      </c>
      <c r="Q54" t="inlineStr"/>
    </row>
    <row r="55">
      <c r="A55" t="inlineStr">
        <is>
          <t>DAVARI</t>
        </is>
      </c>
      <c r="B55" t="inlineStr">
        <is>
          <t>Kab. Purwakarta</t>
        </is>
      </c>
      <c r="C55" t="inlineStr">
        <is>
          <t>081399220555</t>
        </is>
      </c>
      <c r="D55" t="inlineStr">
        <is>
          <t>cv_davari@yahoo.com</t>
        </is>
      </c>
      <c r="E55" t="inlineStr">
        <is>
          <t>https://lpjk.pu.go.id/search-badan-usaha-detail/bDZHWXh5OWVqV3RkdmRiQkp1ZXNTZz09</t>
        </is>
      </c>
      <c r="F55" t="n">
        <v>1</v>
      </c>
      <c r="G55" t="inlineStr">
        <is>
          <t>BS002</t>
        </is>
      </c>
      <c r="H55" t="inlineStr">
        <is>
          <t>7 September 2001</t>
        </is>
      </c>
      <c r="I55" s="2" t="n">
        <v>46258</v>
      </c>
      <c r="J55" t="inlineStr">
        <is>
          <t>Disetujui</t>
        </is>
      </c>
      <c r="K55" t="n">
        <v>60</v>
      </c>
      <c r="L55" t="inlineStr">
        <is>
          <t>24 Agustus 2026</t>
        </is>
      </c>
      <c r="M55" t="inlineStr">
        <is>
          <t>Bangunan Sipil Jembatan, Jalan Layang, Fly Over, dan Underpass</t>
        </is>
      </c>
      <c r="N55" t="inlineStr">
        <is>
          <t>K</t>
        </is>
      </c>
      <c r="O55" t="inlineStr">
        <is>
          <t>20230823</t>
        </is>
      </c>
      <c r="P55" t="inlineStr">
        <is>
          <t>Jawa Barat</t>
        </is>
      </c>
      <c r="Q55" t="inlineStr"/>
    </row>
    <row r="56">
      <c r="A56" t="inlineStr">
        <is>
          <t>DAYA KARSA ABADI</t>
        </is>
      </c>
      <c r="B56" t="inlineStr">
        <is>
          <t>Kota Adm. Jakarta Pusat</t>
        </is>
      </c>
      <c r="C56" t="inlineStr">
        <is>
          <t>02131936808</t>
        </is>
      </c>
      <c r="D56" t="inlineStr">
        <is>
          <t>pt.dayakarsaabadi@gmail.com</t>
        </is>
      </c>
      <c r="E56" t="inlineStr">
        <is>
          <t>https://lpjk.pu.go.id/search-badan-usaha-detail/YTNHMzJDSTRrZHJWWkNkQTV4Zm1wUT09</t>
        </is>
      </c>
      <c r="F56" t="n">
        <v>1</v>
      </c>
      <c r="G56" t="inlineStr">
        <is>
          <t>BG002</t>
        </is>
      </c>
      <c r="H56" t="inlineStr">
        <is>
          <t>21 Oktober 2014</t>
        </is>
      </c>
      <c r="I56" s="2" t="n">
        <v>46258</v>
      </c>
      <c r="J56" t="inlineStr">
        <is>
          <t>Disetujui</t>
        </is>
      </c>
      <c r="K56" t="n">
        <v>60</v>
      </c>
      <c r="L56" t="inlineStr">
        <is>
          <t>24 Agustus 2026</t>
        </is>
      </c>
      <c r="M56" t="inlineStr">
        <is>
          <t>Konstruksi Gedung Perkantoran</t>
        </is>
      </c>
      <c r="N56" t="inlineStr">
        <is>
          <t>K</t>
        </is>
      </c>
      <c r="O56" t="inlineStr">
        <is>
          <t>20230818</t>
        </is>
      </c>
      <c r="P56" t="inlineStr">
        <is>
          <t>DKI Jakarta</t>
        </is>
      </c>
      <c r="Q56" t="inlineStr"/>
    </row>
    <row r="57">
      <c r="A57" t="inlineStr">
        <is>
          <t>DEVINA ANUGERAH SUMBERTAMA</t>
        </is>
      </c>
      <c r="B57" t="inlineStr">
        <is>
          <t>Kab. Sumbawa Barat</t>
        </is>
      </c>
      <c r="C57" t="inlineStr">
        <is>
          <t>087847379056</t>
        </is>
      </c>
      <c r="D57" t="inlineStr">
        <is>
          <t>pt.devinaanugerahsumbertama@gmail.com</t>
        </is>
      </c>
      <c r="E57" t="inlineStr">
        <is>
          <t>https://lpjk.pu.go.id/search-badan-usaha-detail/Nkd0blVOUHU5bmVhSVU3a1ZNaDdLQT09</t>
        </is>
      </c>
      <c r="F57" t="n">
        <v>1</v>
      </c>
      <c r="G57" t="inlineStr">
        <is>
          <t>BG006</t>
        </is>
      </c>
      <c r="H57" t="inlineStr">
        <is>
          <t>9 November 2022</t>
        </is>
      </c>
      <c r="I57" s="2" t="n">
        <v>46258</v>
      </c>
      <c r="J57" t="inlineStr">
        <is>
          <t>Disetujui</t>
        </is>
      </c>
      <c r="K57" t="n">
        <v>60</v>
      </c>
      <c r="L57" t="inlineStr">
        <is>
          <t>24 Agustus 2026</t>
        </is>
      </c>
      <c r="M57" t="inlineStr">
        <is>
          <t>Konstruksi Gedung Pendidikan</t>
        </is>
      </c>
      <c r="N57" t="inlineStr">
        <is>
          <t>K</t>
        </is>
      </c>
      <c r="O57" t="inlineStr">
        <is>
          <t>20230815</t>
        </is>
      </c>
      <c r="P57" t="inlineStr">
        <is>
          <t>Nusa Tenggara Barat</t>
        </is>
      </c>
      <c r="Q57" t="inlineStr"/>
    </row>
    <row r="58">
      <c r="A58" t="inlineStr">
        <is>
          <t>DEWI LESTARI</t>
        </is>
      </c>
      <c r="B58" t="inlineStr">
        <is>
          <t>Kab. Ketapang</t>
        </is>
      </c>
      <c r="C58" t="inlineStr">
        <is>
          <t>089694324690</t>
        </is>
      </c>
      <c r="D58" t="inlineStr">
        <is>
          <t>darmawan64k@gmail.com</t>
        </is>
      </c>
      <c r="E58" t="inlineStr">
        <is>
          <t>https://lpjk.pu.go.id/search-badan-usaha-detail/aC9sb1pvM2NTdlFqYm9hK2RwTzBvUT09</t>
        </is>
      </c>
      <c r="F58" t="n">
        <v>1</v>
      </c>
      <c r="G58" t="inlineStr">
        <is>
          <t>BS005</t>
        </is>
      </c>
      <c r="H58" t="inlineStr">
        <is>
          <t>9 Juni 2008</t>
        </is>
      </c>
      <c r="I58" s="2" t="n">
        <v>46258</v>
      </c>
      <c r="J58" t="inlineStr">
        <is>
          <t>Disetujui</t>
        </is>
      </c>
      <c r="K58" t="n">
        <v>60</v>
      </c>
      <c r="L58" t="inlineStr">
        <is>
          <t>24 Agustus 2026</t>
        </is>
      </c>
      <c r="M58" t="inlineStr">
        <is>
          <t>Konstruksi Bangunan Sipil Pengolahan Air Bersih</t>
        </is>
      </c>
      <c r="N58" t="inlineStr">
        <is>
          <t>K</t>
        </is>
      </c>
      <c r="O58" t="inlineStr">
        <is>
          <t>20230822</t>
        </is>
      </c>
      <c r="P58" t="inlineStr">
        <is>
          <t>Kalimantan Barat</t>
        </is>
      </c>
      <c r="Q58" t="inlineStr"/>
    </row>
    <row r="59">
      <c r="A59" t="inlineStr">
        <is>
          <t>DIAN GRAHA KONTRAKTOR</t>
        </is>
      </c>
      <c r="B59" t="inlineStr">
        <is>
          <t>Kota Bandung</t>
        </is>
      </c>
      <c r="C59" t="inlineStr">
        <is>
          <t>081463814700</t>
        </is>
      </c>
      <c r="D59" t="inlineStr">
        <is>
          <t>diangrahaf310@gmail.com</t>
        </is>
      </c>
      <c r="E59" t="inlineStr">
        <is>
          <t>https://lpjk.pu.go.id/search-badan-usaha-detail/WEN1SmMwZittOVZlTEJ6TTZDZmxFdz09</t>
        </is>
      </c>
      <c r="F59" t="n">
        <v>1</v>
      </c>
      <c r="G59" t="inlineStr">
        <is>
          <t>BS001</t>
        </is>
      </c>
      <c r="H59" t="inlineStr">
        <is>
          <t>18 Agustus 2011</t>
        </is>
      </c>
      <c r="I59" s="2" t="n">
        <v>46258</v>
      </c>
      <c r="J59" t="inlineStr">
        <is>
          <t>Disetujui</t>
        </is>
      </c>
      <c r="K59" t="n">
        <v>60</v>
      </c>
      <c r="L59" t="inlineStr">
        <is>
          <t>24 Agustus 2026</t>
        </is>
      </c>
      <c r="M59" t="inlineStr">
        <is>
          <t>Konstruksi Bangunan Sipil Jalan</t>
        </is>
      </c>
      <c r="N59" t="inlineStr">
        <is>
          <t>K</t>
        </is>
      </c>
      <c r="O59" t="inlineStr">
        <is>
          <t>20230823</t>
        </is>
      </c>
      <c r="P59" t="inlineStr">
        <is>
          <t>Jawa Barat</t>
        </is>
      </c>
      <c r="Q59" t="inlineStr"/>
    </row>
    <row r="60">
      <c r="A60" t="inlineStr">
        <is>
          <t>DIMENSI REKAYASA</t>
        </is>
      </c>
      <c r="B60" t="inlineStr">
        <is>
          <t>Kab. Magelang</t>
        </is>
      </c>
      <c r="C60" t="inlineStr">
        <is>
          <t>085725049840</t>
        </is>
      </c>
      <c r="D60" t="inlineStr">
        <is>
          <t>dimensi.rekayasa@gmail.com</t>
        </is>
      </c>
      <c r="E60" t="inlineStr">
        <is>
          <t>https://lpjk.pu.go.id/search-badan-usaha-detail/VVhUa3grUk5FMmFINjRxeWlaSitFUT09</t>
        </is>
      </c>
      <c r="F60" t="n">
        <v>1</v>
      </c>
      <c r="G60" t="inlineStr">
        <is>
          <t>BG006</t>
        </is>
      </c>
      <c r="H60" t="inlineStr">
        <is>
          <t>19 Juli 2022</t>
        </is>
      </c>
      <c r="I60" s="2" t="n">
        <v>46258</v>
      </c>
      <c r="J60" t="inlineStr">
        <is>
          <t>Pencabutan</t>
        </is>
      </c>
      <c r="K60" t="n">
        <v>60</v>
      </c>
      <c r="L60" t="inlineStr">
        <is>
          <t>24 Agustus 2026</t>
        </is>
      </c>
      <c r="M60" t="inlineStr">
        <is>
          <t>Konstruksi Gedung Pendidikan</t>
        </is>
      </c>
      <c r="N60" t="inlineStr">
        <is>
          <t>K</t>
        </is>
      </c>
      <c r="O60" t="inlineStr">
        <is>
          <t>20230824</t>
        </is>
      </c>
      <c r="P60" t="inlineStr">
        <is>
          <t>Jawa Tengah</t>
        </is>
      </c>
      <c r="Q60" t="inlineStr"/>
    </row>
    <row r="61">
      <c r="A61" t="inlineStr">
        <is>
          <t>DUA EMPAT NOVEMBER</t>
        </is>
      </c>
      <c r="B61" t="inlineStr">
        <is>
          <t>Kab. Luwu</t>
        </is>
      </c>
      <c r="C61" t="inlineStr">
        <is>
          <t>081354303599</t>
        </is>
      </c>
      <c r="D61" t="inlineStr">
        <is>
          <t>duaempat_november.cv@yahoo.com</t>
        </is>
      </c>
      <c r="E61" t="inlineStr">
        <is>
          <t>https://lpjk.pu.go.id/search-badan-usaha-detail/dVBwaFhLejJ0eDJydzcvWkJKVEVnZz09</t>
        </is>
      </c>
      <c r="F61" t="n">
        <v>4</v>
      </c>
      <c r="G61" t="inlineStr">
        <is>
          <t>BG002, BG005, BG006, BS001</t>
        </is>
      </c>
      <c r="H61" t="inlineStr">
        <is>
          <t>19 November 2019</t>
        </is>
      </c>
      <c r="I61" s="2" t="n">
        <v>46258</v>
      </c>
      <c r="J61" t="inlineStr">
        <is>
          <t>Disetujui</t>
        </is>
      </c>
      <c r="K61" t="n">
        <v>60</v>
      </c>
      <c r="L61" t="inlineStr">
        <is>
          <t>24 Agustus 2026</t>
        </is>
      </c>
      <c r="M61" t="inlineStr">
        <is>
          <t>Konstruksi Bangunan Sipil Jalan, Konstruksi Gedung Kesehatan, Konstruksi Gedung Pendidikan, Konstruksi Gedung Perkantoran</t>
        </is>
      </c>
      <c r="N61" t="inlineStr">
        <is>
          <t>K</t>
        </is>
      </c>
      <c r="O61" t="inlineStr">
        <is>
          <t>20230824</t>
        </is>
      </c>
      <c r="P61" t="inlineStr">
        <is>
          <t>Sulawesi Selatan</t>
        </is>
      </c>
      <c r="Q61" t="inlineStr"/>
    </row>
    <row r="62">
      <c r="A62" t="inlineStr">
        <is>
          <t>DUA PUTRI PASSUE</t>
        </is>
      </c>
      <c r="B62" t="inlineStr">
        <is>
          <t>Kab. Mappi</t>
        </is>
      </c>
      <c r="C62" t="inlineStr">
        <is>
          <t>081346753328</t>
        </is>
      </c>
      <c r="D62" t="inlineStr">
        <is>
          <t>cv.duaputripassue@gmail.com</t>
        </is>
      </c>
      <c r="E62" t="inlineStr">
        <is>
          <t>https://lpjk.pu.go.id/search-badan-usaha-detail/RDRHWHN0MzU4YkMzVVM1TmR1bE9OZz09</t>
        </is>
      </c>
      <c r="F62" t="n">
        <v>1</v>
      </c>
      <c r="G62" t="inlineStr">
        <is>
          <t>BS010</t>
        </is>
      </c>
      <c r="H62" t="inlineStr">
        <is>
          <t>3 Februari 2021</t>
        </is>
      </c>
      <c r="I62" s="2" t="n">
        <v>46258</v>
      </c>
      <c r="J62" t="inlineStr">
        <is>
          <t>Disetujui</t>
        </is>
      </c>
      <c r="K62" t="n">
        <v>60</v>
      </c>
      <c r="L62" t="inlineStr">
        <is>
          <t>24 Agustus 2026</t>
        </is>
      </c>
      <c r="M62" t="inlineStr">
        <is>
          <t>Konstruksi Bangunan Prasarana Sumber Daya Air</t>
        </is>
      </c>
      <c r="N62" t="inlineStr">
        <is>
          <t>K</t>
        </is>
      </c>
      <c r="O62" t="inlineStr">
        <is>
          <t>20230825</t>
        </is>
      </c>
      <c r="P62" t="inlineStr">
        <is>
          <t>Papua</t>
        </is>
      </c>
      <c r="Q62" t="inlineStr"/>
    </row>
    <row r="63">
      <c r="A63" t="inlineStr">
        <is>
          <t>DUNIA INDAH JAYA</t>
        </is>
      </c>
      <c r="B63" t="inlineStr">
        <is>
          <t>Kab. Sukoharjo</t>
        </is>
      </c>
      <c r="C63" t="inlineStr">
        <is>
          <t>085725061175</t>
        </is>
      </c>
      <c r="D63" t="inlineStr">
        <is>
          <t>duniaindahjaya1@gmail.com</t>
        </is>
      </c>
      <c r="E63" t="inlineStr">
        <is>
          <t>https://lpjk.pu.go.id/search-badan-usaha-detail/c2JCNStLSVNtZjV4MERwZThBNU9qUT09</t>
        </is>
      </c>
      <c r="F63" t="n">
        <v>3</v>
      </c>
      <c r="G63" t="inlineStr">
        <is>
          <t>BG002, BG005, BG009</t>
        </is>
      </c>
      <c r="H63" t="inlineStr">
        <is>
          <t>18 Januari 2023</t>
        </is>
      </c>
      <c r="I63" s="2" t="n">
        <v>46258</v>
      </c>
      <c r="J63" t="inlineStr">
        <is>
          <t>Disetujui</t>
        </is>
      </c>
      <c r="K63" t="n">
        <v>60</v>
      </c>
      <c r="L63" t="inlineStr">
        <is>
          <t>24 Agustus 2026</t>
        </is>
      </c>
      <c r="M63" t="inlineStr">
        <is>
          <t>Konstruksi Gedung Kesehatan, Konstruksi Gedung Lainnya, Konstruksi Gedung Perkantoran</t>
        </is>
      </c>
      <c r="N63" t="inlineStr">
        <is>
          <t>K</t>
        </is>
      </c>
      <c r="O63" t="inlineStr">
        <is>
          <t>20230813</t>
        </is>
      </c>
      <c r="P63" t="inlineStr">
        <is>
          <t>Jawa Tengah</t>
        </is>
      </c>
      <c r="Q63" t="inlineStr"/>
    </row>
    <row r="64">
      <c r="A64" t="inlineStr">
        <is>
          <t>DUTA SARANA</t>
        </is>
      </c>
      <c r="B64" t="inlineStr">
        <is>
          <t>Kab. Sintang</t>
        </is>
      </c>
      <c r="C64" t="inlineStr">
        <is>
          <t>0811575929</t>
        </is>
      </c>
      <c r="D64" t="inlineStr">
        <is>
          <t>dutasarana.cv@yahoo.com</t>
        </is>
      </c>
      <c r="E64" t="inlineStr">
        <is>
          <t>https://lpjk.pu.go.id/search-badan-usaha-detail/eG82RFFhemM3blYvTkRaWWIvMjJNQT09</t>
        </is>
      </c>
      <c r="F64" t="n">
        <v>3</v>
      </c>
      <c r="G64" t="inlineStr">
        <is>
          <t>BG001, BG002, BG005</t>
        </is>
      </c>
      <c r="H64" t="inlineStr">
        <is>
          <t>28 Maret 2006</t>
        </is>
      </c>
      <c r="I64" s="2" t="n">
        <v>46258</v>
      </c>
      <c r="J64" t="inlineStr">
        <is>
          <t>Disetujui</t>
        </is>
      </c>
      <c r="K64" t="n">
        <v>60</v>
      </c>
      <c r="L64" t="inlineStr">
        <is>
          <t>24 Agustus 2026</t>
        </is>
      </c>
      <c r="M64" t="inlineStr">
        <is>
          <t>Konstruksi Gedung Hunian, Konstruksi Gedung Kesehatan, Konstruksi Gedung Perkantoran</t>
        </is>
      </c>
      <c r="N64" t="inlineStr">
        <is>
          <t>K</t>
        </is>
      </c>
      <c r="O64" t="inlineStr">
        <is>
          <t>20230814</t>
        </is>
      </c>
      <c r="P64" t="inlineStr">
        <is>
          <t>Kalimantan Barat</t>
        </is>
      </c>
      <c r="Q64" t="inlineStr"/>
    </row>
    <row r="65">
      <c r="A65" t="inlineStr">
        <is>
          <t>ELVANA</t>
        </is>
      </c>
      <c r="B65" t="inlineStr">
        <is>
          <t>Kota Cirebon</t>
        </is>
      </c>
      <c r="C65" t="inlineStr">
        <is>
          <t>08156461122</t>
        </is>
      </c>
      <c r="D65" t="inlineStr">
        <is>
          <t>elvana_cv08@yahoo.com</t>
        </is>
      </c>
      <c r="E65" t="inlineStr">
        <is>
          <t>https://lpjk.pu.go.id/search-badan-usaha-detail/UWFVVTlldjFrS1FDWDVra3dOSS9udz09</t>
        </is>
      </c>
      <c r="F65" t="n">
        <v>1</v>
      </c>
      <c r="G65" t="inlineStr">
        <is>
          <t>BG002</t>
        </is>
      </c>
      <c r="H65" t="inlineStr">
        <is>
          <t>6 Agustus 2008</t>
        </is>
      </c>
      <c r="I65" s="2" t="n">
        <v>46258</v>
      </c>
      <c r="J65" t="inlineStr">
        <is>
          <t>Disetujui</t>
        </is>
      </c>
      <c r="K65" t="n">
        <v>60</v>
      </c>
      <c r="L65" t="inlineStr">
        <is>
          <t>24 Agustus 2026</t>
        </is>
      </c>
      <c r="M65" t="inlineStr">
        <is>
          <t>Konstruksi Gedung Perkantoran</t>
        </is>
      </c>
      <c r="N65" t="inlineStr">
        <is>
          <t>K</t>
        </is>
      </c>
      <c r="O65" t="inlineStr">
        <is>
          <t>20230815</t>
        </is>
      </c>
      <c r="P65" t="inlineStr">
        <is>
          <t>Jawa Barat</t>
        </is>
      </c>
      <c r="Q65" t="inlineStr"/>
    </row>
    <row r="66">
      <c r="A66" t="inlineStr">
        <is>
          <t>EVANA</t>
        </is>
      </c>
      <c r="B66" t="inlineStr">
        <is>
          <t>Kab. Sekadau</t>
        </is>
      </c>
      <c r="C66" t="inlineStr">
        <is>
          <t>082358416880</t>
        </is>
      </c>
      <c r="D66" t="inlineStr">
        <is>
          <t>evanasekadau@gmail.com</t>
        </is>
      </c>
      <c r="E66" t="inlineStr">
        <is>
          <t>https://lpjk.pu.go.id/search-badan-usaha-detail/bytqU3pPNVBYTVJOYmI0OVhuVFk0dz09</t>
        </is>
      </c>
      <c r="F66" t="n">
        <v>1</v>
      </c>
      <c r="G66" t="inlineStr">
        <is>
          <t>BS001</t>
        </is>
      </c>
      <c r="H66" t="inlineStr">
        <is>
          <t>26 Januari 2021</t>
        </is>
      </c>
      <c r="I66" s="2" t="n">
        <v>46258</v>
      </c>
      <c r="J66" t="inlineStr">
        <is>
          <t>Pencabutan</t>
        </is>
      </c>
      <c r="K66" t="n">
        <v>60</v>
      </c>
      <c r="L66" t="inlineStr">
        <is>
          <t>24 Agustus 2026</t>
        </is>
      </c>
      <c r="M66" t="inlineStr">
        <is>
          <t>Konstruksi Bangunan Sipil Jalan</t>
        </is>
      </c>
      <c r="N66" t="inlineStr">
        <is>
          <t>K</t>
        </is>
      </c>
      <c r="O66" t="inlineStr">
        <is>
          <t>20230811</t>
        </is>
      </c>
      <c r="P66" t="inlineStr">
        <is>
          <t>Kalimantan Barat</t>
        </is>
      </c>
      <c r="Q66" t="inlineStr"/>
    </row>
    <row r="67">
      <c r="A67" t="inlineStr">
        <is>
          <t>FAUZAN</t>
        </is>
      </c>
      <c r="B67" t="inlineStr">
        <is>
          <t>Kab. Ciamis</t>
        </is>
      </c>
      <c r="C67" t="inlineStr">
        <is>
          <t>085222226922</t>
        </is>
      </c>
      <c r="D67" t="inlineStr">
        <is>
          <t>cv.fauzan74@gmail.com</t>
        </is>
      </c>
      <c r="E67" t="inlineStr">
        <is>
          <t>https://lpjk.pu.go.id/search-badan-usaha-detail/bGNPdmk5RWR2Y1luLzBFaUNXazhxUT09</t>
        </is>
      </c>
      <c r="F67" t="n">
        <v>2</v>
      </c>
      <c r="G67" t="inlineStr">
        <is>
          <t>BS001</t>
        </is>
      </c>
      <c r="H67" t="inlineStr">
        <is>
          <t>20 Oktober 2016</t>
        </is>
      </c>
      <c r="I67" s="2" t="n">
        <v>46258</v>
      </c>
      <c r="J67" t="inlineStr">
        <is>
          <t>Disetujui</t>
        </is>
      </c>
      <c r="K67" t="n">
        <v>60</v>
      </c>
      <c r="L67" t="inlineStr">
        <is>
          <t>24 Agustus 2026</t>
        </is>
      </c>
      <c r="M67" t="inlineStr">
        <is>
          <t>Konstruksi Bangunan Sipil Jalan</t>
        </is>
      </c>
      <c r="N67" t="inlineStr">
        <is>
          <t>K</t>
        </is>
      </c>
      <c r="O67" t="inlineStr">
        <is>
          <t>20230815</t>
        </is>
      </c>
      <c r="P67" t="inlineStr">
        <is>
          <t>Jawa Barat</t>
        </is>
      </c>
      <c r="Q67" t="inlineStr"/>
    </row>
    <row r="68">
      <c r="A68" t="inlineStr">
        <is>
          <t>FIRAZ ARJASA MANDIRI</t>
        </is>
      </c>
      <c r="B68" t="inlineStr">
        <is>
          <t>Kota Banda Aceh</t>
        </is>
      </c>
      <c r="C68" t="inlineStr">
        <is>
          <t>081377302646</t>
        </is>
      </c>
      <c r="D68" t="inlineStr">
        <is>
          <t>firazarjasa@gmail.com</t>
        </is>
      </c>
      <c r="E68" t="inlineStr">
        <is>
          <t>https://lpjk.pu.go.id/search-badan-usaha-detail/aHpHenY3bmZYd0Y2ek16amc3eGNiUT09</t>
        </is>
      </c>
      <c r="F68" t="n">
        <v>1</v>
      </c>
      <c r="G68" t="inlineStr">
        <is>
          <t>BS001</t>
        </is>
      </c>
      <c r="H68" t="inlineStr">
        <is>
          <t>2 Februari 2016</t>
        </is>
      </c>
      <c r="I68" s="2" t="n">
        <v>46258</v>
      </c>
      <c r="J68" t="inlineStr">
        <is>
          <t>Pembekuan</t>
        </is>
      </c>
      <c r="K68" t="n">
        <v>60</v>
      </c>
      <c r="L68" t="inlineStr">
        <is>
          <t>24 Agustus 2026</t>
        </is>
      </c>
      <c r="M68" t="inlineStr">
        <is>
          <t>Konstruksi Bangunan Sipil Jalan</t>
        </is>
      </c>
      <c r="N68" t="inlineStr">
        <is>
          <t>M</t>
        </is>
      </c>
      <c r="O68" t="inlineStr">
        <is>
          <t>20230824</t>
        </is>
      </c>
      <c r="P68" t="inlineStr">
        <is>
          <t>Aceh</t>
        </is>
      </c>
      <c r="Q68" t="inlineStr"/>
    </row>
    <row r="69">
      <c r="A69" t="inlineStr">
        <is>
          <t>GADING PUTRI AULIA</t>
        </is>
      </c>
      <c r="B69" t="inlineStr">
        <is>
          <t>Kota Cilegon</t>
        </is>
      </c>
      <c r="C69" t="inlineStr">
        <is>
          <t>083138803213</t>
        </is>
      </c>
      <c r="D69" t="inlineStr">
        <is>
          <t>lsbuid8@gmail.com</t>
        </is>
      </c>
      <c r="E69" t="inlineStr">
        <is>
          <t>https://lpjk.pu.go.id/search-badan-usaha-detail/WWsyM3EwY1lZS2IzM21uZGVSZVQyQT09</t>
        </is>
      </c>
      <c r="F69" t="n">
        <v>1</v>
      </c>
      <c r="G69" t="inlineStr">
        <is>
          <t>BS004</t>
        </is>
      </c>
      <c r="H69" t="inlineStr">
        <is>
          <t>24 Juni 2021</t>
        </is>
      </c>
      <c r="I69" s="2" t="n">
        <v>46258</v>
      </c>
      <c r="J69" t="inlineStr">
        <is>
          <t>Pencabutan</t>
        </is>
      </c>
      <c r="K69" t="n">
        <v>60</v>
      </c>
      <c r="L69" t="inlineStr">
        <is>
          <t>24 Agustus 2026</t>
        </is>
      </c>
      <c r="M69" t="inlineStr">
        <is>
          <t>Konstruksi Jaringan Irigasi dan Drainase</t>
        </is>
      </c>
      <c r="N69" t="inlineStr">
        <is>
          <t>K</t>
        </is>
      </c>
      <c r="O69" t="inlineStr">
        <is>
          <t>20230609</t>
        </is>
      </c>
      <c r="P69" t="inlineStr">
        <is>
          <t>Banten</t>
        </is>
      </c>
      <c r="Q69" t="inlineStr"/>
    </row>
    <row r="70">
      <c r="A70" t="inlineStr">
        <is>
          <t>GANDEWA</t>
        </is>
      </c>
      <c r="B70" t="inlineStr">
        <is>
          <t>Kab. Temanggung</t>
        </is>
      </c>
      <c r="C70" t="inlineStr">
        <is>
          <t>08156864948</t>
        </is>
      </c>
      <c r="D70" t="inlineStr">
        <is>
          <t>cv.gandewa@gmail.com</t>
        </is>
      </c>
      <c r="E70" t="inlineStr">
        <is>
          <t>https://lpjk.pu.go.id/search-badan-usaha-detail/NWFsejNBMXo3eFdMWGRvWERzOHREdz09</t>
        </is>
      </c>
      <c r="F70" t="n">
        <v>1</v>
      </c>
      <c r="G70" t="inlineStr">
        <is>
          <t>BS001</t>
        </is>
      </c>
      <c r="H70" t="inlineStr">
        <is>
          <t>7 Januari 2008</t>
        </is>
      </c>
      <c r="I70" s="2" t="n">
        <v>46258</v>
      </c>
      <c r="J70" t="inlineStr">
        <is>
          <t>Disetujui</t>
        </is>
      </c>
      <c r="K70" t="n">
        <v>60</v>
      </c>
      <c r="L70" t="inlineStr">
        <is>
          <t>24 Agustus 2026</t>
        </is>
      </c>
      <c r="M70" t="inlineStr">
        <is>
          <t>Konstruksi Bangunan Sipil Jalan</t>
        </is>
      </c>
      <c r="N70" t="inlineStr">
        <is>
          <t>K</t>
        </is>
      </c>
      <c r="O70" t="inlineStr">
        <is>
          <t>20230306</t>
        </is>
      </c>
      <c r="P70" t="inlineStr">
        <is>
          <t>Jawa Tengah</t>
        </is>
      </c>
      <c r="Q70" t="inlineStr"/>
    </row>
    <row r="71">
      <c r="A71" t="inlineStr">
        <is>
          <t>GATRA PERKASA</t>
        </is>
      </c>
      <c r="B71" t="inlineStr">
        <is>
          <t>Kota Magelang</t>
        </is>
      </c>
      <c r="C71" t="inlineStr">
        <is>
          <t>08156865690</t>
        </is>
      </c>
      <c r="D71" t="inlineStr">
        <is>
          <t>gatraperkasa32@gmail.com</t>
        </is>
      </c>
      <c r="E71" t="inlineStr">
        <is>
          <t>https://lpjk.pu.go.id/search-badan-usaha-detail/cUxFaE9ZcFBjVlA2b1k5bWtRRDNWZz09</t>
        </is>
      </c>
      <c r="F71" t="n">
        <v>1</v>
      </c>
      <c r="G71" t="inlineStr">
        <is>
          <t>BS004</t>
        </is>
      </c>
      <c r="H71" t="inlineStr">
        <is>
          <t>26 Februari 2008</t>
        </is>
      </c>
      <c r="I71" s="2" t="n">
        <v>46258</v>
      </c>
      <c r="J71" t="inlineStr">
        <is>
          <t>Disetujui</t>
        </is>
      </c>
      <c r="K71" t="n">
        <v>60</v>
      </c>
      <c r="L71" t="inlineStr">
        <is>
          <t>24 Agustus 2026</t>
        </is>
      </c>
      <c r="M71" t="inlineStr">
        <is>
          <t>Konstruksi Jaringan Irigasi dan Drainase</t>
        </is>
      </c>
      <c r="N71" t="inlineStr">
        <is>
          <t>K</t>
        </is>
      </c>
      <c r="O71" t="inlineStr">
        <is>
          <t>20230820</t>
        </is>
      </c>
      <c r="P71" t="inlineStr">
        <is>
          <t>Jawa Tengah</t>
        </is>
      </c>
      <c r="Q71" t="inlineStr"/>
    </row>
    <row r="72">
      <c r="A72" t="inlineStr">
        <is>
          <t>GITA AGUNG PERSADA</t>
        </is>
      </c>
      <c r="B72" t="inlineStr">
        <is>
          <t>Kota Adm. Jakarta Selatan</t>
        </is>
      </c>
      <c r="C72" t="inlineStr">
        <is>
          <t>0218353151</t>
        </is>
      </c>
      <c r="D72" t="inlineStr">
        <is>
          <t>cvgitaagungpersada@yahoo.co.id</t>
        </is>
      </c>
      <c r="E72" t="inlineStr">
        <is>
          <t>https://lpjk.pu.go.id/search-badan-usaha-detail/bDEyU3lET1ZsemFld25ZRk1RY2I2UT09</t>
        </is>
      </c>
      <c r="F72" t="n">
        <v>1</v>
      </c>
      <c r="G72" t="inlineStr">
        <is>
          <t>BG006</t>
        </is>
      </c>
      <c r="H72" t="inlineStr">
        <is>
          <t>23 Desember 2002</t>
        </is>
      </c>
      <c r="I72" s="2" t="n">
        <v>46258</v>
      </c>
      <c r="J72" t="inlineStr">
        <is>
          <t>Disetujui</t>
        </is>
      </c>
      <c r="K72" t="n">
        <v>60</v>
      </c>
      <c r="L72" t="inlineStr">
        <is>
          <t>24 Agustus 2026</t>
        </is>
      </c>
      <c r="M72" t="inlineStr">
        <is>
          <t>Konstruksi Gedung Pendidikan</t>
        </is>
      </c>
      <c r="N72" t="inlineStr">
        <is>
          <t>K</t>
        </is>
      </c>
      <c r="O72" t="inlineStr">
        <is>
          <t>20230821</t>
        </is>
      </c>
      <c r="P72" t="inlineStr">
        <is>
          <t>DKI Jakarta</t>
        </is>
      </c>
      <c r="Q72" t="inlineStr"/>
    </row>
    <row r="73">
      <c r="A73" t="inlineStr">
        <is>
          <t>GRAHA INDOSAKTI</t>
        </is>
      </c>
      <c r="B73" t="inlineStr">
        <is>
          <t>Kab. Magetan</t>
        </is>
      </c>
      <c r="C73" t="inlineStr">
        <is>
          <t>085784964850</t>
        </is>
      </c>
      <c r="D73" t="inlineStr">
        <is>
          <t>sriwahyunisriwahyuni090@gmail.com</t>
        </is>
      </c>
      <c r="E73" t="inlineStr">
        <is>
          <t>https://lpjk.pu.go.id/search-badan-usaha-detail/R2dyRVFmOHNuSlNJYkFnL1FSSmkydz09</t>
        </is>
      </c>
      <c r="F73" t="n">
        <v>1</v>
      </c>
      <c r="G73" t="inlineStr">
        <is>
          <t>BG006</t>
        </is>
      </c>
      <c r="H73" t="inlineStr">
        <is>
          <t>2 November 2002</t>
        </is>
      </c>
      <c r="I73" s="2" t="n">
        <v>46258</v>
      </c>
      <c r="J73" t="inlineStr">
        <is>
          <t>Disetujui</t>
        </is>
      </c>
      <c r="K73" t="n">
        <v>60</v>
      </c>
      <c r="L73" t="inlineStr">
        <is>
          <t>24 Agustus 2026</t>
        </is>
      </c>
      <c r="M73" t="inlineStr">
        <is>
          <t>Konstruksi Gedung Pendidikan</t>
        </is>
      </c>
      <c r="N73" t="inlineStr">
        <is>
          <t>K</t>
        </is>
      </c>
      <c r="O73" t="inlineStr">
        <is>
          <t>20230812</t>
        </is>
      </c>
      <c r="P73" t="inlineStr">
        <is>
          <t>Jawa Timur</t>
        </is>
      </c>
      <c r="Q73" t="inlineStr"/>
    </row>
    <row r="74">
      <c r="A74" t="inlineStr">
        <is>
          <t>GRAHA NUSANTARA GROUP</t>
        </is>
      </c>
      <c r="B74" t="inlineStr">
        <is>
          <t>Kab. Toli Toli</t>
        </is>
      </c>
      <c r="C74" t="inlineStr">
        <is>
          <t>081340309499</t>
        </is>
      </c>
      <c r="D74" t="inlineStr">
        <is>
          <t>graha_nusantara@yahoo.com</t>
        </is>
      </c>
      <c r="E74" t="inlineStr">
        <is>
          <t>https://lpjk.pu.go.id/search-badan-usaha-detail/dytMaXdKblZBNnFIdzJTVnI1a0V1QT09</t>
        </is>
      </c>
      <c r="F74" t="n">
        <v>1</v>
      </c>
      <c r="G74" t="inlineStr">
        <is>
          <t>BS001</t>
        </is>
      </c>
      <c r="H74" t="inlineStr">
        <is>
          <t>19 Januari 2015</t>
        </is>
      </c>
      <c r="I74" s="2" t="n">
        <v>46258</v>
      </c>
      <c r="J74" t="inlineStr">
        <is>
          <t>Disetujui</t>
        </is>
      </c>
      <c r="K74" t="n">
        <v>60</v>
      </c>
      <c r="L74" t="inlineStr">
        <is>
          <t>24 Agustus 2026</t>
        </is>
      </c>
      <c r="M74" t="inlineStr">
        <is>
          <t>Konstruksi Bangunan Sipil Jalan</t>
        </is>
      </c>
      <c r="N74" t="inlineStr">
        <is>
          <t>K</t>
        </is>
      </c>
      <c r="O74" t="inlineStr">
        <is>
          <t>20230824</t>
        </is>
      </c>
      <c r="P74" t="inlineStr">
        <is>
          <t>Sulawesi Tengah</t>
        </is>
      </c>
      <c r="Q74" t="inlineStr"/>
    </row>
    <row r="75">
      <c r="A75" t="inlineStr">
        <is>
          <t>GRAHA PRATAMA</t>
        </is>
      </c>
      <c r="B75" t="inlineStr">
        <is>
          <t>Kab. Tulungagung</t>
        </is>
      </c>
      <c r="C75" t="inlineStr">
        <is>
          <t>082334566300</t>
        </is>
      </c>
      <c r="D75" t="inlineStr">
        <is>
          <t>cvgrahapratama88@gmail.com</t>
        </is>
      </c>
      <c r="E75" t="inlineStr">
        <is>
          <t>https://lpjk.pu.go.id/search-badan-usaha-detail/Nm9LaDV6Q0JjOTJwTWVwZHl5R2U2Zz09</t>
        </is>
      </c>
      <c r="F75" t="n">
        <v>2</v>
      </c>
      <c r="G75" t="inlineStr">
        <is>
          <t>BG002, BS005</t>
        </is>
      </c>
      <c r="H75" t="inlineStr">
        <is>
          <t>8 Desember 2016</t>
        </is>
      </c>
      <c r="I75" s="2" t="n">
        <v>46258</v>
      </c>
      <c r="J75" t="inlineStr">
        <is>
          <t>Disetujui</t>
        </is>
      </c>
      <c r="K75" t="n">
        <v>60</v>
      </c>
      <c r="L75" t="inlineStr">
        <is>
          <t>24 Agustus 2026</t>
        </is>
      </c>
      <c r="M75" t="inlineStr">
        <is>
          <t>Konstruksi Bangunan Sipil Pengolahan Air Bersih, Konstruksi Gedung Perkantoran</t>
        </is>
      </c>
      <c r="N75" t="inlineStr">
        <is>
          <t>K</t>
        </is>
      </c>
      <c r="O75" t="inlineStr">
        <is>
          <t>20230821, 20230823</t>
        </is>
      </c>
      <c r="P75" t="inlineStr">
        <is>
          <t>Jawa Timur</t>
        </is>
      </c>
      <c r="Q75" t="inlineStr"/>
    </row>
    <row r="76">
      <c r="A76" t="inlineStr">
        <is>
          <t>GUNUNG MAS</t>
        </is>
      </c>
      <c r="B76" t="inlineStr">
        <is>
          <t>Kab. Musi Banyuasin</t>
        </is>
      </c>
      <c r="C76" t="inlineStr">
        <is>
          <t>0811714366</t>
        </is>
      </c>
      <c r="D76" t="inlineStr">
        <is>
          <t>gunungmas96@gmail.com</t>
        </is>
      </c>
      <c r="E76" t="inlineStr">
        <is>
          <t>https://lpjk.pu.go.id/search-badan-usaha-detail/cTRCdDYxdnVVSDlzeURNODRDR1l4QT09</t>
        </is>
      </c>
      <c r="F76" t="n">
        <v>1</v>
      </c>
      <c r="G76" t="inlineStr">
        <is>
          <t>BG001</t>
        </is>
      </c>
      <c r="H76" t="inlineStr">
        <is>
          <t>2 September 1987</t>
        </is>
      </c>
      <c r="I76" s="2" t="n">
        <v>46258</v>
      </c>
      <c r="J76" t="inlineStr">
        <is>
          <t>Pencabutan</t>
        </is>
      </c>
      <c r="K76" t="n">
        <v>60</v>
      </c>
      <c r="L76" t="inlineStr">
        <is>
          <t>24 Agustus 2026</t>
        </is>
      </c>
      <c r="M76" t="inlineStr">
        <is>
          <t>Konstruksi Gedung Hunian</t>
        </is>
      </c>
      <c r="N76" t="inlineStr">
        <is>
          <t>K</t>
        </is>
      </c>
      <c r="O76" t="inlineStr">
        <is>
          <t>20230824</t>
        </is>
      </c>
      <c r="P76" t="inlineStr">
        <is>
          <t>Sumatera Selatan</t>
        </is>
      </c>
      <c r="Q76" t="inlineStr"/>
    </row>
    <row r="77">
      <c r="A77" t="inlineStr">
        <is>
          <t>GUNUNG MAS</t>
        </is>
      </c>
      <c r="B77" t="inlineStr">
        <is>
          <t>Kota Magelang</t>
        </is>
      </c>
      <c r="C77" t="inlineStr">
        <is>
          <t>087733804549</t>
        </is>
      </c>
      <c r="D77" t="inlineStr">
        <is>
          <t>cvgunungmas2013@gmail.com</t>
        </is>
      </c>
      <c r="E77" t="inlineStr">
        <is>
          <t>https://lpjk.pu.go.id/search-badan-usaha-detail/cG5TWVZvVi9oL0p3U0kvV2FGWitJdz09</t>
        </is>
      </c>
      <c r="F77" t="n">
        <v>2</v>
      </c>
      <c r="G77" t="inlineStr">
        <is>
          <t>BG006, BG009</t>
        </is>
      </c>
      <c r="H77" t="inlineStr">
        <is>
          <t>7 Maret 1979</t>
        </is>
      </c>
      <c r="I77" s="2" t="n">
        <v>46258</v>
      </c>
      <c r="J77" t="inlineStr">
        <is>
          <t>Disetujui</t>
        </is>
      </c>
      <c r="K77" t="n">
        <v>60</v>
      </c>
      <c r="L77" t="inlineStr">
        <is>
          <t>24 Agustus 2026</t>
        </is>
      </c>
      <c r="M77" t="inlineStr">
        <is>
          <t>Konstruksi Gedung Lainnya, Konstruksi Gedung Pendidikan</t>
        </is>
      </c>
      <c r="N77" t="inlineStr">
        <is>
          <t>K</t>
        </is>
      </c>
      <c r="O77" t="inlineStr">
        <is>
          <t>20230811, 20230813</t>
        </is>
      </c>
      <c r="P77" t="inlineStr">
        <is>
          <t>Jawa Tengah</t>
        </is>
      </c>
      <c r="Q77" t="inlineStr"/>
    </row>
    <row r="78">
      <c r="A78" t="inlineStr">
        <is>
          <t>GUNUNG PRAMAS BERKAHRAHMAH</t>
        </is>
      </c>
      <c r="B78" t="inlineStr">
        <is>
          <t>Kota Pontianak</t>
        </is>
      </c>
      <c r="C78" t="inlineStr">
        <is>
          <t>0561777363</t>
        </is>
      </c>
      <c r="D78" t="inlineStr">
        <is>
          <t>gunungpramasbr@gmail.com</t>
        </is>
      </c>
      <c r="E78" t="inlineStr">
        <is>
          <t>https://lpjk.pu.go.id/search-badan-usaha-detail/MUMxUVFnUTBkaDZDcWEwMXhYTlpaZz09</t>
        </is>
      </c>
      <c r="F78" t="n">
        <v>1</v>
      </c>
      <c r="G78" t="inlineStr">
        <is>
          <t>BS010</t>
        </is>
      </c>
      <c r="H78" t="inlineStr">
        <is>
          <t>6 Januari 2017</t>
        </is>
      </c>
      <c r="I78" s="2" t="n">
        <v>46258</v>
      </c>
      <c r="J78" t="inlineStr">
        <is>
          <t>Pencabutan</t>
        </is>
      </c>
      <c r="K78" t="n">
        <v>60</v>
      </c>
      <c r="L78" t="inlineStr">
        <is>
          <t>24 Agustus 2026</t>
        </is>
      </c>
      <c r="M78" t="inlineStr">
        <is>
          <t>Konstruksi Bangunan Prasarana Sumber Daya Air</t>
        </is>
      </c>
      <c r="N78" t="inlineStr">
        <is>
          <t>K</t>
        </is>
      </c>
      <c r="O78" t="inlineStr">
        <is>
          <t>20230809</t>
        </is>
      </c>
      <c r="P78" t="inlineStr">
        <is>
          <t>Kalimantan Barat</t>
        </is>
      </c>
      <c r="Q78" t="inlineStr"/>
    </row>
    <row r="79">
      <c r="A79" t="inlineStr">
        <is>
          <t>HAJI MUHAMMAD TAHER</t>
        </is>
      </c>
      <c r="B79" t="inlineStr">
        <is>
          <t>Kota Banjarmasin</t>
        </is>
      </c>
      <c r="C79" t="inlineStr">
        <is>
          <t>05113268724</t>
        </is>
      </c>
      <c r="D79" t="inlineStr">
        <is>
          <t>hmt@hmtaher.com</t>
        </is>
      </c>
      <c r="E79" t="inlineStr">
        <is>
          <t>https://lpjk.pu.go.id/search-badan-usaha-detail/UUNzWGsxUGRyNk1YNmltdU9YV0ppdz09</t>
        </is>
      </c>
      <c r="F79" t="n">
        <v>1</v>
      </c>
      <c r="G79" t="inlineStr">
        <is>
          <t>BS001</t>
        </is>
      </c>
      <c r="H79" t="inlineStr">
        <is>
          <t>27 Januari 1989</t>
        </is>
      </c>
      <c r="I79" s="2" t="n">
        <v>46258</v>
      </c>
      <c r="J79" t="inlineStr">
        <is>
          <t>Disetujui</t>
        </is>
      </c>
      <c r="K79" t="n">
        <v>60</v>
      </c>
      <c r="L79" t="inlineStr">
        <is>
          <t>24 Agustus 2026</t>
        </is>
      </c>
      <c r="M79" t="inlineStr">
        <is>
          <t>Konstruksi Bangunan Sipil Jalan</t>
        </is>
      </c>
      <c r="N79" t="inlineStr">
        <is>
          <t>M</t>
        </is>
      </c>
      <c r="O79" t="inlineStr">
        <is>
          <t>20221223</t>
        </is>
      </c>
      <c r="P79" t="inlineStr">
        <is>
          <t>Kalimantan Selatan</t>
        </is>
      </c>
      <c r="Q79" t="inlineStr"/>
    </row>
    <row r="80">
      <c r="A80" t="inlineStr">
        <is>
          <t>HANAFA</t>
        </is>
      </c>
      <c r="B80" t="inlineStr">
        <is>
          <t>Kota Padang</t>
        </is>
      </c>
      <c r="C80" t="inlineStr">
        <is>
          <t>081267134436</t>
        </is>
      </c>
      <c r="D80" t="inlineStr">
        <is>
          <t>hanafa25@yahoo.com</t>
        </is>
      </c>
      <c r="E80" t="inlineStr">
        <is>
          <t>https://lpjk.pu.go.id/search-badan-usaha-detail/MW93aUQ3UnBJV3ZVSVdoYjlMWWoxQT09</t>
        </is>
      </c>
      <c r="F80" t="n">
        <v>1</v>
      </c>
      <c r="G80" t="inlineStr">
        <is>
          <t>BS001</t>
        </is>
      </c>
      <c r="H80" t="inlineStr">
        <is>
          <t>11 November 2019</t>
        </is>
      </c>
      <c r="I80" s="2" t="n">
        <v>46258</v>
      </c>
      <c r="J80" t="inlineStr">
        <is>
          <t>Disetujui</t>
        </is>
      </c>
      <c r="K80" t="n">
        <v>60</v>
      </c>
      <c r="L80" t="inlineStr">
        <is>
          <t>24 Agustus 2026</t>
        </is>
      </c>
      <c r="M80" t="inlineStr">
        <is>
          <t>Konstruksi Bangunan Sipil Jalan</t>
        </is>
      </c>
      <c r="N80" t="inlineStr">
        <is>
          <t>K</t>
        </is>
      </c>
      <c r="O80" t="inlineStr">
        <is>
          <t>20230821</t>
        </is>
      </c>
      <c r="P80" t="inlineStr">
        <is>
          <t>Sumatera Barat</t>
        </is>
      </c>
      <c r="Q80" t="inlineStr"/>
    </row>
    <row r="81">
      <c r="A81" t="inlineStr">
        <is>
          <t>HURIP BANYU SELARAS</t>
        </is>
      </c>
      <c r="B81" t="inlineStr">
        <is>
          <t>Kab. Cianjur</t>
        </is>
      </c>
      <c r="C81" t="inlineStr">
        <is>
          <t>082117050992</t>
        </is>
      </c>
      <c r="D81" t="inlineStr">
        <is>
          <t>banyularas94@gmail.com</t>
        </is>
      </c>
      <c r="E81" t="inlineStr">
        <is>
          <t>https://lpjk.pu.go.id/search-badan-usaha-detail/QlZRWWJGNmRMRnJsMXBIUFA2YUNBdz09</t>
        </is>
      </c>
      <c r="F81" t="n">
        <v>1</v>
      </c>
      <c r="G81" t="inlineStr">
        <is>
          <t>PL005</t>
        </is>
      </c>
      <c r="H81" t="inlineStr">
        <is>
          <t>25 Juli 2019</t>
        </is>
      </c>
      <c r="I81" s="2" t="n">
        <v>46258</v>
      </c>
      <c r="J81" t="inlineStr">
        <is>
          <t>Pembekuan</t>
        </is>
      </c>
      <c r="K81" t="n">
        <v>60</v>
      </c>
      <c r="L81" t="inlineStr">
        <is>
          <t>24 Agustus 2026</t>
        </is>
      </c>
      <c r="M81" t="inlineStr">
        <is>
          <t>Pembuatan/Pengeboran Sumur Air Tanah</t>
        </is>
      </c>
      <c r="N81" t="inlineStr">
        <is>
          <t>Spesialis</t>
        </is>
      </c>
      <c r="O81" t="inlineStr">
        <is>
          <t>20230815</t>
        </is>
      </c>
      <c r="P81" t="inlineStr">
        <is>
          <t>Jawa Barat</t>
        </is>
      </c>
      <c r="Q81" t="inlineStr"/>
    </row>
    <row r="82">
      <c r="A82" t="inlineStr">
        <is>
          <t>INDOCONNECT</t>
        </is>
      </c>
      <c r="B82" t="inlineStr">
        <is>
          <t>Kab. Majalengka</t>
        </is>
      </c>
      <c r="C82" t="inlineStr">
        <is>
          <t>081220798683</t>
        </is>
      </c>
      <c r="D82" t="inlineStr">
        <is>
          <t>cv.indoconnect@yahoo.com</t>
        </is>
      </c>
      <c r="E82" t="inlineStr">
        <is>
          <t>https://lpjk.pu.go.id/search-badan-usaha-detail/VEhJaGZ2eklIbTNHOFVld3JuYXhYZz09</t>
        </is>
      </c>
      <c r="F82" t="n">
        <v>1</v>
      </c>
      <c r="G82" t="inlineStr">
        <is>
          <t>BS004</t>
        </is>
      </c>
      <c r="H82" t="inlineStr">
        <is>
          <t>29 Januari 2009</t>
        </is>
      </c>
      <c r="I82" s="2" t="n">
        <v>46258</v>
      </c>
      <c r="J82" t="inlineStr">
        <is>
          <t>Pencabutan</t>
        </is>
      </c>
      <c r="K82" t="n">
        <v>60</v>
      </c>
      <c r="L82" t="inlineStr">
        <is>
          <t>24 Agustus 2026</t>
        </is>
      </c>
      <c r="M82" t="inlineStr">
        <is>
          <t>Konstruksi Jaringan Irigasi dan Drainase</t>
        </is>
      </c>
      <c r="N82" t="inlineStr">
        <is>
          <t>K</t>
        </is>
      </c>
      <c r="O82" t="inlineStr">
        <is>
          <t>20230824</t>
        </is>
      </c>
      <c r="P82" t="inlineStr">
        <is>
          <t>Jawa Barat</t>
        </is>
      </c>
      <c r="Q82" t="inlineStr"/>
    </row>
    <row r="83">
      <c r="A83" t="inlineStr">
        <is>
          <t>INDOGRAHA NUSASARANA</t>
        </is>
      </c>
      <c r="B83" t="inlineStr">
        <is>
          <t>Kota Medan</t>
        </is>
      </c>
      <c r="C83" t="inlineStr">
        <is>
          <t>0614550055</t>
        </is>
      </c>
      <c r="D83" t="inlineStr">
        <is>
          <t>ins.medan@ymail.com</t>
        </is>
      </c>
      <c r="E83" t="inlineStr">
        <is>
          <t>https://lpjk.pu.go.id/search-badan-usaha-detail/MHljamN0dGM1blhnbWtMdmNNTGZ5QT09</t>
        </is>
      </c>
      <c r="F83" t="n">
        <v>1</v>
      </c>
      <c r="G83" t="inlineStr">
        <is>
          <t>BG003</t>
        </is>
      </c>
      <c r="H83" t="inlineStr">
        <is>
          <t>5 Agustus 1989</t>
        </is>
      </c>
      <c r="I83" s="2" t="n">
        <v>46258</v>
      </c>
      <c r="J83" t="inlineStr">
        <is>
          <t>Disetujui</t>
        </is>
      </c>
      <c r="K83" t="n">
        <v>60</v>
      </c>
      <c r="L83" t="inlineStr">
        <is>
          <t>24 Agustus 2026</t>
        </is>
      </c>
      <c r="M83" t="inlineStr">
        <is>
          <t>Konstruksi Gedung Industri</t>
        </is>
      </c>
      <c r="N83" t="inlineStr">
        <is>
          <t>M</t>
        </is>
      </c>
      <c r="O83" t="inlineStr">
        <is>
          <t>20230707</t>
        </is>
      </c>
      <c r="P83" t="inlineStr">
        <is>
          <t>Sumatera Utara</t>
        </is>
      </c>
      <c r="Q83" t="inlineStr"/>
    </row>
    <row r="84">
      <c r="A84" t="inlineStr">
        <is>
          <t>INDOTAMA GROUP</t>
        </is>
      </c>
      <c r="B84" t="inlineStr">
        <is>
          <t>Kab. Tulungagung</t>
        </is>
      </c>
      <c r="C84" t="inlineStr">
        <is>
          <t>082338929827</t>
        </is>
      </c>
      <c r="D84" t="inlineStr">
        <is>
          <t>cvindotamagroup@gmail.com</t>
        </is>
      </c>
      <c r="E84" t="inlineStr">
        <is>
          <t>https://lpjk.pu.go.id/search-badan-usaha-detail/dVJnVUxQWEV2bVlxRWsvUkVhSTRsQT09</t>
        </is>
      </c>
      <c r="F84" t="n">
        <v>2</v>
      </c>
      <c r="G84" t="inlineStr">
        <is>
          <t>BG004, BG009</t>
        </is>
      </c>
      <c r="H84" t="inlineStr">
        <is>
          <t>13 Oktober 2020</t>
        </is>
      </c>
      <c r="I84" s="2" t="n">
        <v>46258</v>
      </c>
      <c r="J84" t="inlineStr">
        <is>
          <t>Disetujui</t>
        </is>
      </c>
      <c r="K84" t="n">
        <v>60</v>
      </c>
      <c r="L84" t="inlineStr">
        <is>
          <t>24 Agustus 2026</t>
        </is>
      </c>
      <c r="M84" t="inlineStr">
        <is>
          <t>Konstruksi Gedung Lainnya, Konstruksi Gedung Perbelanjaan</t>
        </is>
      </c>
      <c r="N84" t="inlineStr">
        <is>
          <t>K</t>
        </is>
      </c>
      <c r="O84" t="inlineStr">
        <is>
          <t>20230823</t>
        </is>
      </c>
      <c r="P84" t="inlineStr">
        <is>
          <t>Jawa Timur</t>
        </is>
      </c>
      <c r="Q84" t="inlineStr"/>
    </row>
    <row r="85">
      <c r="A85" t="inlineStr">
        <is>
          <t>INTAN ARSHAKA</t>
        </is>
      </c>
      <c r="B85" t="inlineStr">
        <is>
          <t>Kota Jayapura</t>
        </is>
      </c>
      <c r="C85" t="inlineStr">
        <is>
          <t>081247737753</t>
        </is>
      </c>
      <c r="D85" t="inlineStr">
        <is>
          <t>baiqmega01@gmail.com</t>
        </is>
      </c>
      <c r="E85" t="inlineStr">
        <is>
          <t>https://lpjk.pu.go.id/search-badan-usaha-detail/UlBPL2RiUG91VzFrbCtpRnVFRzM3Zz09</t>
        </is>
      </c>
      <c r="F85" t="n">
        <v>1</v>
      </c>
      <c r="G85" t="inlineStr">
        <is>
          <t>BS001</t>
        </is>
      </c>
      <c r="H85" t="inlineStr">
        <is>
          <t>1 Agustus 2023</t>
        </is>
      </c>
      <c r="I85" s="2" t="n">
        <v>46258</v>
      </c>
      <c r="J85" t="inlineStr">
        <is>
          <t>Pencabutan</t>
        </is>
      </c>
      <c r="K85" t="n">
        <v>60</v>
      </c>
      <c r="L85" t="inlineStr">
        <is>
          <t>24 Agustus 2026</t>
        </is>
      </c>
      <c r="M85" t="inlineStr">
        <is>
          <t>Konstruksi Bangunan Sipil Jalan</t>
        </is>
      </c>
      <c r="N85" t="inlineStr">
        <is>
          <t>K</t>
        </is>
      </c>
      <c r="O85" t="inlineStr">
        <is>
          <t>20230824</t>
        </is>
      </c>
      <c r="P85" t="inlineStr">
        <is>
          <t>Papua</t>
        </is>
      </c>
      <c r="Q85" t="inlineStr"/>
    </row>
    <row r="86">
      <c r="A86" t="inlineStr">
        <is>
          <t>INTEGRITAS PERKASA KONSTRUKSI</t>
        </is>
      </c>
      <c r="B86" t="inlineStr">
        <is>
          <t>Kota Adm. Jakarta Barat</t>
        </is>
      </c>
      <c r="C86" t="inlineStr">
        <is>
          <t>02129020190</t>
        </is>
      </c>
      <c r="D86" t="inlineStr">
        <is>
          <t>legal@idipk.com</t>
        </is>
      </c>
      <c r="E86" t="inlineStr">
        <is>
          <t>https://lpjk.pu.go.id/search-badan-usaha-detail/RGxBQmhaTTB2alVhOUJwMmN2QTcwdz09</t>
        </is>
      </c>
      <c r="F86" t="n">
        <v>1</v>
      </c>
      <c r="G86" t="inlineStr">
        <is>
          <t>BS011</t>
        </is>
      </c>
      <c r="H86" t="inlineStr">
        <is>
          <t>13 September 2017</t>
        </is>
      </c>
      <c r="I86" s="2" t="n">
        <v>46258</v>
      </c>
      <c r="J86" t="inlineStr">
        <is>
          <t>Disetujui</t>
        </is>
      </c>
      <c r="K86" t="n">
        <v>60</v>
      </c>
      <c r="L86" t="inlineStr">
        <is>
          <t>24 Agustus 2026</t>
        </is>
      </c>
      <c r="M86" t="inlineStr">
        <is>
          <t>Konstruksi Bangunan Pelabuhan Bukan Perikanan</t>
        </is>
      </c>
      <c r="N86" t="inlineStr">
        <is>
          <t>B</t>
        </is>
      </c>
      <c r="O86" t="inlineStr">
        <is>
          <t>20230824</t>
        </is>
      </c>
      <c r="P86" t="inlineStr">
        <is>
          <t>DKI Jakarta</t>
        </is>
      </c>
      <c r="Q86" t="inlineStr"/>
    </row>
    <row r="87">
      <c r="A87" t="inlineStr">
        <is>
          <t>JASA RIMBA</t>
        </is>
      </c>
      <c r="B87" t="inlineStr">
        <is>
          <t>Kab. Ogan Komering Ulu</t>
        </is>
      </c>
      <c r="C87" t="inlineStr">
        <is>
          <t>08236840168</t>
        </is>
      </c>
      <c r="D87" t="inlineStr">
        <is>
          <t>rimbacvjasa@gmail.com</t>
        </is>
      </c>
      <c r="E87" t="inlineStr">
        <is>
          <t>https://lpjk.pu.go.id/search-badan-usaha-detail/SUZ4WEpFT0JZM0E0UHNodWQxTjNKQT09</t>
        </is>
      </c>
      <c r="F87" t="n">
        <v>2</v>
      </c>
      <c r="G87" t="inlineStr">
        <is>
          <t>BG005, BS001</t>
        </is>
      </c>
      <c r="H87" t="inlineStr">
        <is>
          <t>5 Januari 2011</t>
        </is>
      </c>
      <c r="I87" s="2" t="n">
        <v>46258</v>
      </c>
      <c r="J87" t="inlineStr">
        <is>
          <t>Disetujui</t>
        </is>
      </c>
      <c r="K87" t="n">
        <v>60</v>
      </c>
      <c r="L87" t="inlineStr">
        <is>
          <t>24 Agustus 2026</t>
        </is>
      </c>
      <c r="M87" t="inlineStr">
        <is>
          <t>Konstruksi Bangunan Sipil Jalan, Konstruksi Gedung Kesehatan</t>
        </is>
      </c>
      <c r="N87" t="inlineStr">
        <is>
          <t>K</t>
        </is>
      </c>
      <c r="O87" t="inlineStr">
        <is>
          <t>20230808</t>
        </is>
      </c>
      <c r="P87" t="inlineStr">
        <is>
          <t>Sumatera Selatan</t>
        </is>
      </c>
      <c r="Q87" t="inlineStr"/>
    </row>
    <row r="88">
      <c r="A88" t="inlineStr">
        <is>
          <t>JAYA BAYA GROUP</t>
        </is>
      </c>
      <c r="B88" t="inlineStr">
        <is>
          <t>Kab. Pidie</t>
        </is>
      </c>
      <c r="C88" t="inlineStr">
        <is>
          <t>085210572251</t>
        </is>
      </c>
      <c r="D88" t="inlineStr">
        <is>
          <t>cvjb2014@gmail.com</t>
        </is>
      </c>
      <c r="E88" t="inlineStr">
        <is>
          <t>https://lpjk.pu.go.id/search-badan-usaha-detail/RnFmSkZiekNVZ3hhRUZFWUdaMkJjdz09</t>
        </is>
      </c>
      <c r="F88" t="n">
        <v>5</v>
      </c>
      <c r="G88" t="inlineStr">
        <is>
          <t>BG001, BG002, BG005, BG006, BG009</t>
        </is>
      </c>
      <c r="H88" t="inlineStr">
        <is>
          <t>28 Oktober 2013</t>
        </is>
      </c>
      <c r="I88" s="2" t="n">
        <v>46258</v>
      </c>
      <c r="J88" t="inlineStr">
        <is>
          <t>Pencabutan</t>
        </is>
      </c>
      <c r="K88" t="n">
        <v>60</v>
      </c>
      <c r="L88" t="inlineStr">
        <is>
          <t>24 Agustus 2026</t>
        </is>
      </c>
      <c r="M88" t="inlineStr">
        <is>
          <t>Konstruksi Gedung Hunian, Konstruksi Gedung Kesehatan, Konstruksi Gedung Lainnya, Konstruksi Gedung Pendidikan, Konstruksi Gedung Perkantoran</t>
        </is>
      </c>
      <c r="N88" t="inlineStr">
        <is>
          <t>K</t>
        </is>
      </c>
      <c r="O88" t="inlineStr">
        <is>
          <t>20230815</t>
        </is>
      </c>
      <c r="P88" t="inlineStr">
        <is>
          <t>Aceh</t>
        </is>
      </c>
      <c r="Q88" t="inlineStr"/>
    </row>
    <row r="89">
      <c r="A89" t="inlineStr">
        <is>
          <t>JELITA</t>
        </is>
      </c>
      <c r="B89" t="inlineStr">
        <is>
          <t>Kab. Kubu Raya</t>
        </is>
      </c>
      <c r="C89" t="inlineStr">
        <is>
          <t>08125774466</t>
        </is>
      </c>
      <c r="D89" t="inlineStr">
        <is>
          <t>cv.jelita@hotmail.com</t>
        </is>
      </c>
      <c r="E89" t="inlineStr">
        <is>
          <t>https://lpjk.pu.go.id/search-badan-usaha-detail/WkE0eWFBekUxb1M0aEg0YklFZytiQT09</t>
        </is>
      </c>
      <c r="F89" t="n">
        <v>1</v>
      </c>
      <c r="G89" t="inlineStr">
        <is>
          <t>BS004</t>
        </is>
      </c>
      <c r="H89" t="inlineStr">
        <is>
          <t>11 Maret 2009</t>
        </is>
      </c>
      <c r="I89" s="2" t="n">
        <v>46258</v>
      </c>
      <c r="J89" t="inlineStr">
        <is>
          <t>Disetujui</t>
        </is>
      </c>
      <c r="K89" t="n">
        <v>60</v>
      </c>
      <c r="L89" t="inlineStr">
        <is>
          <t>24 Agustus 2026</t>
        </is>
      </c>
      <c r="M89" t="inlineStr">
        <is>
          <t>Konstruksi Jaringan Irigasi dan Drainase</t>
        </is>
      </c>
      <c r="N89" t="inlineStr">
        <is>
          <t>K</t>
        </is>
      </c>
      <c r="O89" t="inlineStr">
        <is>
          <t>20230818</t>
        </is>
      </c>
      <c r="P89" t="inlineStr">
        <is>
          <t>Kalimantan Barat</t>
        </is>
      </c>
      <c r="Q89" t="inlineStr"/>
    </row>
    <row r="90">
      <c r="A90" t="inlineStr">
        <is>
          <t>KACAPI SULING</t>
        </is>
      </c>
      <c r="B90" t="inlineStr">
        <is>
          <t>Kab. Cianjur</t>
        </is>
      </c>
      <c r="C90" t="inlineStr">
        <is>
          <t>085860316765</t>
        </is>
      </c>
      <c r="D90" t="inlineStr">
        <is>
          <t>cvkacapisuling@gmail.com</t>
        </is>
      </c>
      <c r="E90" t="inlineStr">
        <is>
          <t>https://lpjk.pu.go.id/search-badan-usaha-detail/eDUrYnZPMWJ0eXR5TDQ2WXJ1WlB5UT09</t>
        </is>
      </c>
      <c r="F90" t="n">
        <v>6</v>
      </c>
      <c r="G90" t="inlineStr">
        <is>
          <t>BG002, BG005, BG006, BG009, BS001, BS004</t>
        </is>
      </c>
      <c r="H90" t="inlineStr">
        <is>
          <t>11 Januari 2006</t>
        </is>
      </c>
      <c r="I90" s="2" t="n">
        <v>46258</v>
      </c>
      <c r="J90" t="inlineStr">
        <is>
          <t>Pencabutan</t>
        </is>
      </c>
      <c r="K90" t="n">
        <v>60</v>
      </c>
      <c r="L90" t="inlineStr">
        <is>
          <t>24 Agustus 2026</t>
        </is>
      </c>
      <c r="M90" t="inlineStr">
        <is>
          <t>Konstruksi Bangunan Sipil Jalan, Konstruksi Gedung Kesehatan, Konstruksi Gedung Lainnya, Konstruksi Gedung Pendidikan, Konstruksi Gedung Perkantoran, Konstruksi Jaringan Irigasi dan Drainase</t>
        </is>
      </c>
      <c r="N90" t="inlineStr">
        <is>
          <t>K</t>
        </is>
      </c>
      <c r="O90" t="inlineStr">
        <is>
          <t>20230818</t>
        </is>
      </c>
      <c r="P90" t="inlineStr">
        <is>
          <t>Jawa Barat</t>
        </is>
      </c>
      <c r="Q90" t="inlineStr"/>
    </row>
    <row r="91">
      <c r="A91" t="inlineStr">
        <is>
          <t>KALIRAYA SARI</t>
        </is>
      </c>
      <c r="B91" t="inlineStr">
        <is>
          <t>Kota Adm. Jakarta Barat</t>
        </is>
      </c>
      <c r="C91" t="inlineStr">
        <is>
          <t>0215363118</t>
        </is>
      </c>
      <c r="D91" t="inlineStr">
        <is>
          <t>krsjkt@kaliraya.co.id</t>
        </is>
      </c>
      <c r="E91" t="inlineStr">
        <is>
          <t>https://lpjk.pu.go.id/search-badan-usaha-detail/ZjFZZ0p4V0pZNFoyVVZTOGFrSDdkZz09</t>
        </is>
      </c>
      <c r="F91" t="n">
        <v>1</v>
      </c>
      <c r="G91" t="inlineStr">
        <is>
          <t>BS001</t>
        </is>
      </c>
      <c r="H91" t="inlineStr">
        <is>
          <t>3 Maret 1971</t>
        </is>
      </c>
      <c r="I91" s="2" t="n">
        <v>46258</v>
      </c>
      <c r="J91" t="inlineStr">
        <is>
          <t>Disetujui</t>
        </is>
      </c>
      <c r="K91" t="n">
        <v>60</v>
      </c>
      <c r="L91" t="inlineStr">
        <is>
          <t>24 Agustus 2026</t>
        </is>
      </c>
      <c r="M91" t="inlineStr">
        <is>
          <t>Konstruksi Bangunan Sipil Jalan</t>
        </is>
      </c>
      <c r="N91" t="inlineStr">
        <is>
          <t>B</t>
        </is>
      </c>
      <c r="O91" t="inlineStr">
        <is>
          <t>20230712</t>
        </is>
      </c>
      <c r="P91" t="inlineStr">
        <is>
          <t>DKI Jakarta</t>
        </is>
      </c>
      <c r="Q91" t="inlineStr"/>
    </row>
    <row r="92">
      <c r="A92" t="inlineStr">
        <is>
          <t>KARYA AGUNG GUMILAR</t>
        </is>
      </c>
      <c r="B92" t="inlineStr">
        <is>
          <t>Kab. Indramayu</t>
        </is>
      </c>
      <c r="C92" t="inlineStr">
        <is>
          <t>02345744905</t>
        </is>
      </c>
      <c r="D92" t="inlineStr">
        <is>
          <t>cv.kag72@gmail.com</t>
        </is>
      </c>
      <c r="E92" t="inlineStr">
        <is>
          <t>https://lpjk.pu.go.id/search-badan-usaha-detail/QzhoTXJIUjdOOTNwSUVDdExsU1hqdz09</t>
        </is>
      </c>
      <c r="F92" t="n">
        <v>1</v>
      </c>
      <c r="G92" t="inlineStr">
        <is>
          <t>BS004</t>
        </is>
      </c>
      <c r="H92" t="inlineStr">
        <is>
          <t>4 April 2006</t>
        </is>
      </c>
      <c r="I92" s="2" t="n">
        <v>46258</v>
      </c>
      <c r="J92" t="inlineStr">
        <is>
          <t>Disetujui</t>
        </is>
      </c>
      <c r="K92" t="n">
        <v>60</v>
      </c>
      <c r="L92" t="inlineStr">
        <is>
          <t>24 Agustus 2026</t>
        </is>
      </c>
      <c r="M92" t="inlineStr">
        <is>
          <t>Konstruksi Jaringan Irigasi dan Drainase</t>
        </is>
      </c>
      <c r="N92" t="inlineStr">
        <is>
          <t>K</t>
        </is>
      </c>
      <c r="O92" t="inlineStr">
        <is>
          <t>20230815</t>
        </is>
      </c>
      <c r="P92" t="inlineStr">
        <is>
          <t>Jawa Barat</t>
        </is>
      </c>
      <c r="Q92" t="inlineStr"/>
    </row>
    <row r="93">
      <c r="A93" t="inlineStr">
        <is>
          <t>KARYA DUA PITUE</t>
        </is>
      </c>
      <c r="B93" t="inlineStr">
        <is>
          <t>Kab. Penajam Paser Utara</t>
        </is>
      </c>
      <c r="C93" t="inlineStr">
        <is>
          <t>082146747898</t>
        </is>
      </c>
      <c r="D93" t="inlineStr">
        <is>
          <t>karya27e@yahoo.com</t>
        </is>
      </c>
      <c r="E93" t="inlineStr">
        <is>
          <t>https://lpjk.pu.go.id/search-badan-usaha-detail/d1hLSXdFRzZmRFl3ci85VGszVlNBZz09</t>
        </is>
      </c>
      <c r="F93" t="n">
        <v>5</v>
      </c>
      <c r="G93" t="inlineStr">
        <is>
          <t>BG002, BG004, BG005, BG006, BG009</t>
        </is>
      </c>
      <c r="H93" t="inlineStr">
        <is>
          <t>8 Agustus 2016</t>
        </is>
      </c>
      <c r="I93" s="2" t="n">
        <v>46258</v>
      </c>
      <c r="J93" t="inlineStr">
        <is>
          <t>Pencabutan</t>
        </is>
      </c>
      <c r="K93" t="n">
        <v>60</v>
      </c>
      <c r="L93" t="inlineStr">
        <is>
          <t>24 Agustus 2026</t>
        </is>
      </c>
      <c r="M93" t="inlineStr">
        <is>
          <t>Konstruksi Gedung Kesehatan, Konstruksi Gedung Lainnya, Konstruksi Gedung Pendidikan, Konstruksi Gedung Perbelanjaan, Konstruksi Gedung Perkantoran</t>
        </is>
      </c>
      <c r="N93" t="inlineStr">
        <is>
          <t>K</t>
        </is>
      </c>
      <c r="O93" t="inlineStr">
        <is>
          <t>20230823, 20230824</t>
        </is>
      </c>
      <c r="P93" t="inlineStr">
        <is>
          <t>Kalimantan Timur</t>
        </is>
      </c>
      <c r="Q93" t="inlineStr"/>
    </row>
    <row r="94">
      <c r="A94" t="inlineStr">
        <is>
          <t>KARYA KAWAN</t>
        </is>
      </c>
      <c r="B94" t="inlineStr">
        <is>
          <t>Kab. Kepulauan Sangihe</t>
        </is>
      </c>
      <c r="C94" t="inlineStr">
        <is>
          <t>085394375262</t>
        </is>
      </c>
      <c r="D94" t="inlineStr">
        <is>
          <t>cv.karyakawan@yahoo.com</t>
        </is>
      </c>
      <c r="E94" t="inlineStr">
        <is>
          <t>https://lpjk.pu.go.id/search-badan-usaha-detail/N0R5d25OdG9yNkc0aWhWeEF6cDB0QT09</t>
        </is>
      </c>
      <c r="F94" t="n">
        <v>1</v>
      </c>
      <c r="G94" t="inlineStr">
        <is>
          <t>BG006</t>
        </is>
      </c>
      <c r="H94" t="inlineStr">
        <is>
          <t>14 Februari 1983</t>
        </is>
      </c>
      <c r="I94" s="2" t="n">
        <v>46258</v>
      </c>
      <c r="J94" t="inlineStr">
        <is>
          <t>Disetujui</t>
        </is>
      </c>
      <c r="K94" t="n">
        <v>60</v>
      </c>
      <c r="L94" t="inlineStr">
        <is>
          <t>24 Agustus 2026</t>
        </is>
      </c>
      <c r="M94" t="inlineStr">
        <is>
          <t>Konstruksi Gedung Pendidikan</t>
        </is>
      </c>
      <c r="N94" t="inlineStr">
        <is>
          <t>K</t>
        </is>
      </c>
      <c r="O94" t="inlineStr">
        <is>
          <t>20230824</t>
        </is>
      </c>
      <c r="P94" t="inlineStr">
        <is>
          <t>Sulawesi Utara</t>
        </is>
      </c>
      <c r="Q94" t="inlineStr"/>
    </row>
    <row r="95">
      <c r="A95" t="inlineStr">
        <is>
          <t>KARYA MANDIRI</t>
        </is>
      </c>
      <c r="B95" t="inlineStr">
        <is>
          <t>Kab. Sukabumi</t>
        </is>
      </c>
      <c r="C95" t="inlineStr">
        <is>
          <t>085759628054</t>
        </is>
      </c>
      <c r="D95" t="inlineStr">
        <is>
          <t>hsuherdi778@gmail.com</t>
        </is>
      </c>
      <c r="E95" t="inlineStr">
        <is>
          <t>https://lpjk.pu.go.id/search-badan-usaha-detail/VFJ4MHBobjBiRVRjaE5CVkFteGptZz09</t>
        </is>
      </c>
      <c r="F95" t="n">
        <v>1</v>
      </c>
      <c r="G95" t="inlineStr">
        <is>
          <t>BS001</t>
        </is>
      </c>
      <c r="H95" t="inlineStr">
        <is>
          <t>29 Oktober 2007</t>
        </is>
      </c>
      <c r="I95" s="2" t="n">
        <v>46258</v>
      </c>
      <c r="J95" t="inlineStr">
        <is>
          <t>Disetujui</t>
        </is>
      </c>
      <c r="K95" t="n">
        <v>60</v>
      </c>
      <c r="L95" t="inlineStr">
        <is>
          <t>24 Agustus 2026</t>
        </is>
      </c>
      <c r="M95" t="inlineStr">
        <is>
          <t>Konstruksi Bangunan Sipil Jalan</t>
        </is>
      </c>
      <c r="N95" t="inlineStr">
        <is>
          <t>K</t>
        </is>
      </c>
      <c r="O95" t="inlineStr">
        <is>
          <t>20230815</t>
        </is>
      </c>
      <c r="P95" t="inlineStr">
        <is>
          <t>Jawa Barat</t>
        </is>
      </c>
      <c r="Q95" t="inlineStr"/>
    </row>
    <row r="96">
      <c r="A96" t="inlineStr">
        <is>
          <t>KARYA MAWAR</t>
        </is>
      </c>
      <c r="B96" t="inlineStr">
        <is>
          <t>Kab. Ende</t>
        </is>
      </c>
      <c r="C96" t="inlineStr">
        <is>
          <t>082249967390</t>
        </is>
      </c>
      <c r="D96" t="inlineStr">
        <is>
          <t>karyamawar2023@gmail.com</t>
        </is>
      </c>
      <c r="E96" t="inlineStr">
        <is>
          <t>https://lpjk.pu.go.id/search-badan-usaha-detail/U0tvVHpTWk4wZHU4eUpSTUQ2Q3NvUT09</t>
        </is>
      </c>
      <c r="F96" t="n">
        <v>1</v>
      </c>
      <c r="G96" t="inlineStr">
        <is>
          <t>BS004</t>
        </is>
      </c>
      <c r="H96" t="inlineStr">
        <is>
          <t>10 Mei 1982</t>
        </is>
      </c>
      <c r="I96" s="2" t="n">
        <v>46258</v>
      </c>
      <c r="J96" t="inlineStr">
        <is>
          <t>Disetujui</t>
        </is>
      </c>
      <c r="K96" t="n">
        <v>60</v>
      </c>
      <c r="L96" t="inlineStr">
        <is>
          <t>24 Agustus 2026</t>
        </is>
      </c>
      <c r="M96" t="inlineStr">
        <is>
          <t>Konstruksi Jaringan Irigasi dan Drainase</t>
        </is>
      </c>
      <c r="N96" t="inlineStr">
        <is>
          <t>K</t>
        </is>
      </c>
      <c r="O96" t="inlineStr">
        <is>
          <t>20230824</t>
        </is>
      </c>
      <c r="P96" t="inlineStr">
        <is>
          <t>Nusa Tenggara Timur</t>
        </is>
      </c>
      <c r="Q96" t="inlineStr"/>
    </row>
    <row r="97">
      <c r="A97" t="inlineStr">
        <is>
          <t>KARYA PUTRA BUNGSU</t>
        </is>
      </c>
      <c r="B97" t="inlineStr">
        <is>
          <t>Kota Jambi</t>
        </is>
      </c>
      <c r="C97" t="inlineStr">
        <is>
          <t>082183101400</t>
        </is>
      </c>
      <c r="D97" t="inlineStr">
        <is>
          <t>karyaputrabungsu007@gmail.com</t>
        </is>
      </c>
      <c r="E97" t="inlineStr">
        <is>
          <t>https://lpjk.pu.go.id/search-badan-usaha-detail/YS9qT1FSSWJqdkJnRjU3T3NOTTRhdz09</t>
        </is>
      </c>
      <c r="F97" t="n">
        <v>1</v>
      </c>
      <c r="G97" t="inlineStr">
        <is>
          <t>BG001</t>
        </is>
      </c>
      <c r="H97" t="inlineStr">
        <is>
          <t>9 September 2021</t>
        </is>
      </c>
      <c r="I97" s="2" t="n">
        <v>46258</v>
      </c>
      <c r="J97" t="inlineStr">
        <is>
          <t>Disetujui</t>
        </is>
      </c>
      <c r="K97" t="n">
        <v>60</v>
      </c>
      <c r="L97" t="inlineStr">
        <is>
          <t>24 Agustus 2026</t>
        </is>
      </c>
      <c r="M97" t="inlineStr">
        <is>
          <t>Konstruksi Gedung Hunian</t>
        </is>
      </c>
      <c r="N97" t="inlineStr">
        <is>
          <t>K</t>
        </is>
      </c>
      <c r="O97" t="inlineStr">
        <is>
          <t>20230824</t>
        </is>
      </c>
      <c r="P97" t="inlineStr">
        <is>
          <t>Jambi</t>
        </is>
      </c>
      <c r="Q97" t="inlineStr"/>
    </row>
    <row r="98">
      <c r="A98" t="inlineStr">
        <is>
          <t>KEMBANG MULIA</t>
        </is>
      </c>
      <c r="B98" t="inlineStr">
        <is>
          <t>Kab. Seram Bagian Timur</t>
        </is>
      </c>
      <c r="C98" t="inlineStr">
        <is>
          <t>082198040691</t>
        </is>
      </c>
      <c r="D98" t="inlineStr">
        <is>
          <t>cv.kembang99@yahoo.com</t>
        </is>
      </c>
      <c r="E98" t="inlineStr">
        <is>
          <t>https://lpjk.pu.go.id/search-badan-usaha-detail/bUtndk90VUNSdlI2aWdadjJURnRjQT09</t>
        </is>
      </c>
      <c r="F98" t="n">
        <v>1</v>
      </c>
      <c r="G98" t="inlineStr">
        <is>
          <t>BG001</t>
        </is>
      </c>
      <c r="H98" t="inlineStr">
        <is>
          <t>2 Desember 2015</t>
        </is>
      </c>
      <c r="I98" s="2" t="n">
        <v>46258</v>
      </c>
      <c r="J98" t="inlineStr">
        <is>
          <t>Disetujui</t>
        </is>
      </c>
      <c r="K98" t="n">
        <v>60</v>
      </c>
      <c r="L98" t="inlineStr">
        <is>
          <t>24 Agustus 2026</t>
        </is>
      </c>
      <c r="M98" t="inlineStr">
        <is>
          <t>Konstruksi Gedung Hunian</t>
        </is>
      </c>
      <c r="N98" t="inlineStr">
        <is>
          <t>K</t>
        </is>
      </c>
      <c r="O98" t="inlineStr">
        <is>
          <t>20230825</t>
        </is>
      </c>
      <c r="P98" t="inlineStr">
        <is>
          <t>Maluku</t>
        </is>
      </c>
      <c r="Q98" t="inlineStr"/>
    </row>
    <row r="99">
      <c r="A99" t="inlineStr">
        <is>
          <t>KEZIA TRIMEGAH</t>
        </is>
      </c>
      <c r="B99" t="inlineStr">
        <is>
          <t>Kota Adm. Jakarta Pusat</t>
        </is>
      </c>
      <c r="C99" t="inlineStr">
        <is>
          <t>081295183339</t>
        </is>
      </c>
      <c r="D99" t="inlineStr">
        <is>
          <t>trimegahkezia@gmail.com</t>
        </is>
      </c>
      <c r="E99" t="inlineStr">
        <is>
          <t>https://lpjk.pu.go.id/search-badan-usaha-detail/cHV0WGdFd2U2NEoyVldkUkxQZzNYQT09</t>
        </is>
      </c>
      <c r="F99" t="n">
        <v>1</v>
      </c>
      <c r="G99" t="inlineStr">
        <is>
          <t>BG003</t>
        </is>
      </c>
      <c r="H99" t="inlineStr">
        <is>
          <t>4 Januari 2008</t>
        </is>
      </c>
      <c r="I99" s="2" t="n">
        <v>46258</v>
      </c>
      <c r="J99" t="inlineStr">
        <is>
          <t>Disetujui</t>
        </is>
      </c>
      <c r="K99" t="n">
        <v>60</v>
      </c>
      <c r="L99" t="inlineStr">
        <is>
          <t>24 Agustus 2026</t>
        </is>
      </c>
      <c r="M99" t="inlineStr">
        <is>
          <t>Konstruksi Gedung Industri</t>
        </is>
      </c>
      <c r="N99" t="inlineStr">
        <is>
          <t>K</t>
        </is>
      </c>
      <c r="O99" t="inlineStr">
        <is>
          <t>20230814</t>
        </is>
      </c>
      <c r="P99" t="inlineStr">
        <is>
          <t>DKI Jakarta</t>
        </is>
      </c>
      <c r="Q99" t="inlineStr"/>
    </row>
    <row r="100">
      <c r="A100" t="inlineStr">
        <is>
          <t>KHANARAZA</t>
        </is>
      </c>
      <c r="B100" t="inlineStr">
        <is>
          <t>Kota Binjai</t>
        </is>
      </c>
      <c r="C100" t="inlineStr">
        <is>
          <t>085360041133</t>
        </is>
      </c>
      <c r="D100" t="inlineStr">
        <is>
          <t>cvkhanaraza@gmail.com</t>
        </is>
      </c>
      <c r="E100" t="inlineStr">
        <is>
          <t>https://lpjk.pu.go.id/search-badan-usaha-detail/NFF1aDBjOHowQzlPelpBS0ZNSGtXZz09</t>
        </is>
      </c>
      <c r="F100" t="n">
        <v>1</v>
      </c>
      <c r="G100" t="inlineStr">
        <is>
          <t>BS001</t>
        </is>
      </c>
      <c r="H100" t="inlineStr">
        <is>
          <t>26 September 2016</t>
        </is>
      </c>
      <c r="I100" s="2" t="n">
        <v>46258</v>
      </c>
      <c r="J100" t="inlineStr">
        <is>
          <t>Disetujui</t>
        </is>
      </c>
      <c r="K100" t="n">
        <v>60</v>
      </c>
      <c r="L100" t="inlineStr">
        <is>
          <t>24 Agustus 2026</t>
        </is>
      </c>
      <c r="M100" t="inlineStr">
        <is>
          <t>Konstruksi Bangunan Sipil Jalan</t>
        </is>
      </c>
      <c r="N100" t="inlineStr">
        <is>
          <t>K</t>
        </is>
      </c>
      <c r="O100" t="inlineStr">
        <is>
          <t>20230823</t>
        </is>
      </c>
      <c r="P100" t="inlineStr">
        <is>
          <t>Sumatera Utara</t>
        </is>
      </c>
      <c r="Q100" t="inlineStr"/>
    </row>
    <row r="101">
      <c r="A101" t="inlineStr">
        <is>
          <t>KHARISMA ARTA NUGRAHA</t>
        </is>
      </c>
      <c r="B101" t="inlineStr">
        <is>
          <t>Kab. Landak</t>
        </is>
      </c>
      <c r="C101" t="inlineStr">
        <is>
          <t>081345508248</t>
        </is>
      </c>
      <c r="D101" t="inlineStr">
        <is>
          <t>cv.kharismaarthanugraha@yahoo.com</t>
        </is>
      </c>
      <c r="E101" t="inlineStr">
        <is>
          <t>https://lpjk.pu.go.id/search-badan-usaha-detail/Y0VScWh6d0o1V1RoZlJENmVsQkRTQT09</t>
        </is>
      </c>
      <c r="F101" t="n">
        <v>6</v>
      </c>
      <c r="G101" t="inlineStr">
        <is>
          <t>BG005, BG006, BG009</t>
        </is>
      </c>
      <c r="H101" t="inlineStr">
        <is>
          <t>21 September 1993</t>
        </is>
      </c>
      <c r="I101" s="2" t="n">
        <v>46258</v>
      </c>
      <c r="J101" t="inlineStr">
        <is>
          <t>Disetujui</t>
        </is>
      </c>
      <c r="K101" t="n">
        <v>60</v>
      </c>
      <c r="L101" t="inlineStr">
        <is>
          <t>24 Agustus 2026</t>
        </is>
      </c>
      <c r="M101" t="inlineStr">
        <is>
          <t>Konstruksi Gedung Kesehatan, Konstruksi Gedung Lainnya, Konstruksi Gedung Pendidikan</t>
        </is>
      </c>
      <c r="N101" t="inlineStr">
        <is>
          <t>K</t>
        </is>
      </c>
      <c r="O101" t="inlineStr">
        <is>
          <t>20230824</t>
        </is>
      </c>
      <c r="P101" t="inlineStr">
        <is>
          <t>Kalimantan Barat</t>
        </is>
      </c>
      <c r="Q101" t="inlineStr"/>
    </row>
    <row r="102">
      <c r="A102" t="inlineStr">
        <is>
          <t>KURNIA MITRA SOLUTION</t>
        </is>
      </c>
      <c r="B102" t="inlineStr">
        <is>
          <t>Kab. Pakpak Bharat</t>
        </is>
      </c>
      <c r="C102" t="inlineStr">
        <is>
          <t>081263758455</t>
        </is>
      </c>
      <c r="D102" t="inlineStr">
        <is>
          <t>kurniamitrasolution@gmail.com</t>
        </is>
      </c>
      <c r="E102" t="inlineStr">
        <is>
          <t>https://lpjk.pu.go.id/search-badan-usaha-detail/blRXM29PSjNjam5pTnA2endHODN6dz09</t>
        </is>
      </c>
      <c r="F102" t="n">
        <v>1</v>
      </c>
      <c r="G102" t="inlineStr">
        <is>
          <t>BS001</t>
        </is>
      </c>
      <c r="H102" t="inlineStr">
        <is>
          <t>11 Januari 2019</t>
        </is>
      </c>
      <c r="I102" s="2" t="n">
        <v>46258</v>
      </c>
      <c r="J102" t="inlineStr">
        <is>
          <t>Disetujui</t>
        </is>
      </c>
      <c r="K102" t="n">
        <v>60</v>
      </c>
      <c r="L102" t="inlineStr">
        <is>
          <t>24 Agustus 2026</t>
        </is>
      </c>
      <c r="M102" t="inlineStr">
        <is>
          <t>Konstruksi Bangunan Sipil Jalan</t>
        </is>
      </c>
      <c r="N102" t="inlineStr">
        <is>
          <t>K</t>
        </is>
      </c>
      <c r="O102" t="inlineStr">
        <is>
          <t>20230825</t>
        </is>
      </c>
      <c r="P102" t="inlineStr">
        <is>
          <t>Sumatera Utara</t>
        </is>
      </c>
      <c r="Q102" t="inlineStr"/>
    </row>
    <row r="103">
      <c r="A103" t="inlineStr">
        <is>
          <t>MAHAKARYA GEO SURVEY</t>
        </is>
      </c>
      <c r="B103" t="inlineStr">
        <is>
          <t>Kota Adm. Jakarta Selatan</t>
        </is>
      </c>
      <c r="C103" t="inlineStr">
        <is>
          <t>02183783792</t>
        </is>
      </c>
      <c r="D103" t="inlineStr">
        <is>
          <t>info@mahakarya.co.id</t>
        </is>
      </c>
      <c r="E103" t="inlineStr">
        <is>
          <t>https://lpjk.pu.go.id/search-badan-usaha-detail/dkhLc0F5MjVPV0NNYmNBa1F5cU10dz09</t>
        </is>
      </c>
      <c r="F103" t="n">
        <v>6</v>
      </c>
      <c r="G103" t="inlineStr">
        <is>
          <t>IT001, IT002</t>
        </is>
      </c>
      <c r="H103" t="inlineStr">
        <is>
          <t>14 September 2005</t>
        </is>
      </c>
      <c r="I103" s="2" t="n">
        <v>46258</v>
      </c>
      <c r="J103" t="inlineStr">
        <is>
          <t>Disetujui</t>
        </is>
      </c>
      <c r="K103" t="n">
        <v>60</v>
      </c>
      <c r="L103" t="inlineStr">
        <is>
          <t>24 Agustus 2026</t>
        </is>
      </c>
      <c r="M103" t="inlineStr">
        <is>
          <t>Jasa Konsultansi Ilmiah dan Teknis Bawah Tanah, Jasa Pembuatan Prospektus Geologi dan Geofisika</t>
        </is>
      </c>
      <c r="N103" t="inlineStr">
        <is>
          <t>Spesialis</t>
        </is>
      </c>
      <c r="O103" t="inlineStr">
        <is>
          <t>20230811, 20230816</t>
        </is>
      </c>
      <c r="P103" t="inlineStr">
        <is>
          <t>DKI Jakarta</t>
        </is>
      </c>
      <c r="Q103" t="inlineStr"/>
    </row>
    <row r="104">
      <c r="A104" t="inlineStr">
        <is>
          <t>MARGO MULYO MAKMUR</t>
        </is>
      </c>
      <c r="B104" t="inlineStr">
        <is>
          <t>Kab. Tuban</t>
        </is>
      </c>
      <c r="C104" t="inlineStr">
        <is>
          <t>085204852523</t>
        </is>
      </c>
      <c r="D104" t="inlineStr">
        <is>
          <t>ptmargomulyomakmur@yahoo.co.id</t>
        </is>
      </c>
      <c r="E104" t="inlineStr">
        <is>
          <t>https://lpjk.pu.go.id/search-badan-usaha-detail/b2NuR3BUUDBRZzVqU1Q4K0tya21LQT09</t>
        </is>
      </c>
      <c r="F104" t="n">
        <v>1</v>
      </c>
      <c r="G104" t="inlineStr">
        <is>
          <t>BG003</t>
        </is>
      </c>
      <c r="H104" t="inlineStr">
        <is>
          <t>14 Juli 2014</t>
        </is>
      </c>
      <c r="I104" s="2" t="n">
        <v>46258</v>
      </c>
      <c r="J104" t="inlineStr">
        <is>
          <t>Disetujui</t>
        </is>
      </c>
      <c r="K104" t="n">
        <v>60</v>
      </c>
      <c r="L104" t="inlineStr">
        <is>
          <t>24 Agustus 2026</t>
        </is>
      </c>
      <c r="M104" t="inlineStr">
        <is>
          <t>Konstruksi Gedung Industri</t>
        </is>
      </c>
      <c r="N104" t="inlineStr">
        <is>
          <t>K</t>
        </is>
      </c>
      <c r="O104" t="inlineStr">
        <is>
          <t>20230824</t>
        </is>
      </c>
      <c r="P104" t="inlineStr">
        <is>
          <t>Jawa Timur</t>
        </is>
      </c>
      <c r="Q104" t="inlineStr"/>
    </row>
    <row r="105">
      <c r="A105" t="inlineStr">
        <is>
          <t>MAX KARYA BANGUN</t>
        </is>
      </c>
      <c r="B105" t="inlineStr">
        <is>
          <t>Kab. Balangan</t>
        </is>
      </c>
      <c r="C105" t="inlineStr">
        <is>
          <t>085347626948</t>
        </is>
      </c>
      <c r="D105" t="inlineStr">
        <is>
          <t>maxkaryabangun@gmail.com</t>
        </is>
      </c>
      <c r="E105" t="inlineStr">
        <is>
          <t>https://lpjk.pu.go.id/search-badan-usaha-detail/dUdEcjkyZVhlNEVsbGIwS29YWlNUZz09</t>
        </is>
      </c>
      <c r="F105" t="n">
        <v>2</v>
      </c>
      <c r="G105" t="inlineStr">
        <is>
          <t>BG005, BS001</t>
        </is>
      </c>
      <c r="H105" t="inlineStr">
        <is>
          <t>28 Juli 2023</t>
        </is>
      </c>
      <c r="I105" s="2" t="n">
        <v>46258</v>
      </c>
      <c r="J105" t="inlineStr">
        <is>
          <t>Disetujui</t>
        </is>
      </c>
      <c r="K105" t="n">
        <v>60</v>
      </c>
      <c r="L105" t="inlineStr">
        <is>
          <t>24 Agustus 2026</t>
        </is>
      </c>
      <c r="M105" t="inlineStr">
        <is>
          <t>Konstruksi Bangunan Sipil Jalan, Konstruksi Gedung Kesehatan</t>
        </is>
      </c>
      <c r="N105" t="inlineStr">
        <is>
          <t>K</t>
        </is>
      </c>
      <c r="O105" t="inlineStr">
        <is>
          <t>20230824</t>
        </is>
      </c>
      <c r="P105" t="inlineStr">
        <is>
          <t>Kalimantan Selatan</t>
        </is>
      </c>
      <c r="Q105" t="inlineStr"/>
    </row>
    <row r="106">
      <c r="A106" t="inlineStr">
        <is>
          <t>MAYA LOKA STUDIO</t>
        </is>
      </c>
      <c r="B106" t="inlineStr">
        <is>
          <t>Kota Balikpapan</t>
        </is>
      </c>
      <c r="C106" t="inlineStr">
        <is>
          <t>081347294749</t>
        </is>
      </c>
      <c r="D106" t="inlineStr">
        <is>
          <t>mayalokastudio@gmail.com</t>
        </is>
      </c>
      <c r="E106" t="inlineStr">
        <is>
          <t>https://lpjk.pu.go.id/search-badan-usaha-detail/eHU1Q0x2bmZpek01SzEzRXA3Zk1qUT09</t>
        </is>
      </c>
      <c r="F106" t="n">
        <v>6</v>
      </c>
      <c r="G106" t="inlineStr">
        <is>
          <t>AR001, AR002, AR003</t>
        </is>
      </c>
      <c r="H106" t="inlineStr">
        <is>
          <t>13 Mei 2017</t>
        </is>
      </c>
      <c r="I106" s="2" t="n">
        <v>46258</v>
      </c>
      <c r="J106" t="inlineStr">
        <is>
          <t>Disetujui</t>
        </is>
      </c>
      <c r="K106" t="n">
        <v>60</v>
      </c>
      <c r="L106" t="inlineStr">
        <is>
          <t>24 Agustus 2026</t>
        </is>
      </c>
      <c r="M106" t="inlineStr">
        <is>
          <t>Jasa Arsitektural Bangunan Gedung Hunian dan Non Hunian, Jasa Arsitektural Lainnya, Jasa Desain Interior pada Bangunan Gedung dan Bangunan Sipil</t>
        </is>
      </c>
      <c r="N106" t="inlineStr">
        <is>
          <t>K</t>
        </is>
      </c>
      <c r="O106" t="inlineStr">
        <is>
          <t>20230809</t>
        </is>
      </c>
      <c r="P106" t="inlineStr">
        <is>
          <t>Kalimantan Timur</t>
        </is>
      </c>
      <c r="Q106" t="inlineStr"/>
    </row>
    <row r="107">
      <c r="A107" t="inlineStr">
        <is>
          <t>MEGA REZKY PRATAMA</t>
        </is>
      </c>
      <c r="B107" t="inlineStr">
        <is>
          <t>Kota Makassar</t>
        </is>
      </c>
      <c r="C107" t="inlineStr">
        <is>
          <t>082187566354</t>
        </is>
      </c>
      <c r="D107" t="inlineStr">
        <is>
          <t>megarezkypratama@gmail.com</t>
        </is>
      </c>
      <c r="E107" t="inlineStr">
        <is>
          <t>https://lpjk.pu.go.id/search-badan-usaha-detail/eWpHS211enpQejFJdGljSVBlN1M0Zz09</t>
        </is>
      </c>
      <c r="F107" t="n">
        <v>1</v>
      </c>
      <c r="G107" t="inlineStr">
        <is>
          <t>BG009</t>
        </is>
      </c>
      <c r="H107" t="inlineStr">
        <is>
          <t>30 Mei 2016</t>
        </is>
      </c>
      <c r="I107" s="2" t="n">
        <v>46258</v>
      </c>
      <c r="J107" t="inlineStr">
        <is>
          <t>Disetujui</t>
        </is>
      </c>
      <c r="K107" t="n">
        <v>60</v>
      </c>
      <c r="L107" t="inlineStr">
        <is>
          <t>24 Agustus 2026</t>
        </is>
      </c>
      <c r="M107" t="inlineStr">
        <is>
          <t>Konstruksi Gedung Lainnya</t>
        </is>
      </c>
      <c r="N107" t="inlineStr">
        <is>
          <t>K</t>
        </is>
      </c>
      <c r="O107" t="inlineStr">
        <is>
          <t>20230823</t>
        </is>
      </c>
      <c r="P107" t="inlineStr">
        <is>
          <t>Sulawesi Selatan</t>
        </is>
      </c>
      <c r="Q107" t="inlineStr"/>
    </row>
    <row r="108">
      <c r="A108" t="inlineStr">
        <is>
          <t>MEKAR SARI</t>
        </is>
      </c>
      <c r="B108" t="inlineStr">
        <is>
          <t>Kab. Sidoarjo</t>
        </is>
      </c>
      <c r="C108" t="inlineStr">
        <is>
          <t>0318950345</t>
        </is>
      </c>
      <c r="D108" t="inlineStr">
        <is>
          <t>ms_grup@yahoo.com</t>
        </is>
      </c>
      <c r="E108" t="inlineStr">
        <is>
          <t>https://lpjk.pu.go.id/search-badan-usaha-detail/S3Y1VmpqbDBob2IrM2J0MlI1a0V1QT09</t>
        </is>
      </c>
      <c r="F108" t="n">
        <v>2</v>
      </c>
      <c r="G108" t="inlineStr">
        <is>
          <t>BG006</t>
        </is>
      </c>
      <c r="H108" t="inlineStr">
        <is>
          <t>28 Oktober 1987</t>
        </is>
      </c>
      <c r="I108" s="2" t="n">
        <v>46258</v>
      </c>
      <c r="J108" t="inlineStr">
        <is>
          <t>Disetujui</t>
        </is>
      </c>
      <c r="K108" t="n">
        <v>60</v>
      </c>
      <c r="L108" t="inlineStr">
        <is>
          <t>24 Agustus 2026</t>
        </is>
      </c>
      <c r="M108" t="inlineStr">
        <is>
          <t>Konstruksi Gedung Pendidikan</t>
        </is>
      </c>
      <c r="N108" t="inlineStr">
        <is>
          <t>K</t>
        </is>
      </c>
      <c r="O108" t="inlineStr">
        <is>
          <t>20230823</t>
        </is>
      </c>
      <c r="P108" t="inlineStr">
        <is>
          <t>Jawa Timur</t>
        </is>
      </c>
      <c r="Q108" t="inlineStr"/>
    </row>
    <row r="109">
      <c r="A109" t="inlineStr">
        <is>
          <t>MITRA ABADI</t>
        </is>
      </c>
      <c r="B109" t="inlineStr">
        <is>
          <t>Kab. Kutai Barat</t>
        </is>
      </c>
      <c r="C109" t="inlineStr">
        <is>
          <t>082254264001</t>
        </is>
      </c>
      <c r="D109" t="inlineStr">
        <is>
          <t>cv.mitra_abadi80@yahoo.com</t>
        </is>
      </c>
      <c r="E109" t="inlineStr">
        <is>
          <t>https://lpjk.pu.go.id/search-badan-usaha-detail/ZWNpYWZGc1llQXNrSkJGMGdqWlZEUT09</t>
        </is>
      </c>
      <c r="F109" t="n">
        <v>3</v>
      </c>
      <c r="G109" t="inlineStr">
        <is>
          <t>BG002, BG006, BG008</t>
        </is>
      </c>
      <c r="H109" t="inlineStr">
        <is>
          <t>23 Maret 2006</t>
        </is>
      </c>
      <c r="I109" s="2" t="n">
        <v>46258</v>
      </c>
      <c r="J109" t="inlineStr">
        <is>
          <t>Pencabutan</t>
        </is>
      </c>
      <c r="K109" t="n">
        <v>60</v>
      </c>
      <c r="L109" t="inlineStr">
        <is>
          <t>24 Agustus 2026</t>
        </is>
      </c>
      <c r="M109" t="inlineStr">
        <is>
          <t>Konstruksi Gedung Pendidikan, Konstruksi Gedung Perkantoran, Konstruksi Gedung Tempat Hiburan dan Olahraga</t>
        </is>
      </c>
      <c r="N109" t="inlineStr">
        <is>
          <t>K</t>
        </is>
      </c>
      <c r="O109" t="inlineStr">
        <is>
          <t>20230824</t>
        </is>
      </c>
      <c r="P109" t="inlineStr">
        <is>
          <t>Kalimantan Timur</t>
        </is>
      </c>
      <c r="Q109" t="inlineStr"/>
    </row>
    <row r="110">
      <c r="A110" t="inlineStr">
        <is>
          <t>MITRA GRATA</t>
        </is>
      </c>
      <c r="B110" t="inlineStr">
        <is>
          <t>Kota Jambi</t>
        </is>
      </c>
      <c r="C110" t="inlineStr">
        <is>
          <t>082366778869</t>
        </is>
      </c>
      <c r="D110" t="inlineStr">
        <is>
          <t>willy.darlin@milaga.co.id</t>
        </is>
      </c>
      <c r="E110" t="inlineStr">
        <is>
          <t>https://lpjk.pu.go.id/search-badan-usaha-detail/SXh6L1k5RnoxOFhQcWxhSHJ6S0t3Zz09</t>
        </is>
      </c>
      <c r="F110" t="n">
        <v>1</v>
      </c>
      <c r="G110" t="inlineStr">
        <is>
          <t>BS001</t>
        </is>
      </c>
      <c r="H110" t="inlineStr">
        <is>
          <t>2 April 2004</t>
        </is>
      </c>
      <c r="I110" s="2" t="n">
        <v>46258</v>
      </c>
      <c r="J110" t="inlineStr">
        <is>
          <t>Disetujui</t>
        </is>
      </c>
      <c r="K110" t="n">
        <v>60</v>
      </c>
      <c r="L110" t="inlineStr">
        <is>
          <t>24 Agustus 2026</t>
        </is>
      </c>
      <c r="M110" t="inlineStr">
        <is>
          <t>Konstruksi Bangunan Sipil Jalan</t>
        </is>
      </c>
      <c r="N110" t="inlineStr">
        <is>
          <t>M</t>
        </is>
      </c>
      <c r="O110" t="inlineStr">
        <is>
          <t>20230813</t>
        </is>
      </c>
      <c r="P110" t="inlineStr">
        <is>
          <t>Jambi</t>
        </is>
      </c>
      <c r="Q110" t="inlineStr"/>
    </row>
    <row r="111">
      <c r="A111" t="inlineStr">
        <is>
          <t>MITRA MINA ANDALAN</t>
        </is>
      </c>
      <c r="B111" t="inlineStr">
        <is>
          <t>Kab. Bengkalis</t>
        </is>
      </c>
      <c r="C111" t="inlineStr">
        <is>
          <t>08127626977</t>
        </is>
      </c>
      <c r="D111" t="inlineStr">
        <is>
          <t>mitraminaandalan@gmail.com</t>
        </is>
      </c>
      <c r="E111" t="inlineStr">
        <is>
          <t>https://lpjk.pu.go.id/search-badan-usaha-detail/VUxFa21ZR2JCMS9FYUNIenBjU2lndz09</t>
        </is>
      </c>
      <c r="F111" t="n">
        <v>1</v>
      </c>
      <c r="G111" t="inlineStr">
        <is>
          <t>BS001</t>
        </is>
      </c>
      <c r="H111" t="inlineStr">
        <is>
          <t>26 April 2011</t>
        </is>
      </c>
      <c r="I111" s="2" t="n">
        <v>46258</v>
      </c>
      <c r="J111" t="inlineStr">
        <is>
          <t>Disetujui</t>
        </is>
      </c>
      <c r="K111" t="n">
        <v>60</v>
      </c>
      <c r="L111" t="inlineStr">
        <is>
          <t>24 Agustus 2026</t>
        </is>
      </c>
      <c r="M111" t="inlineStr">
        <is>
          <t>Konstruksi Bangunan Sipil Jalan</t>
        </is>
      </c>
      <c r="N111" t="inlineStr">
        <is>
          <t>K</t>
        </is>
      </c>
      <c r="O111" t="inlineStr">
        <is>
          <t>20230816</t>
        </is>
      </c>
      <c r="P111" t="inlineStr">
        <is>
          <t>Riau</t>
        </is>
      </c>
      <c r="Q111" t="inlineStr"/>
    </row>
    <row r="112">
      <c r="A112" t="inlineStr">
        <is>
          <t>MITRA PRATAMA MANDIRI</t>
        </is>
      </c>
      <c r="B112" t="inlineStr">
        <is>
          <t>Kota Medan</t>
        </is>
      </c>
      <c r="C112" t="inlineStr">
        <is>
          <t>081396975635</t>
        </is>
      </c>
      <c r="D112" t="inlineStr">
        <is>
          <t>cv.mitrapratamamandiri23@gmail.com</t>
        </is>
      </c>
      <c r="E112" t="inlineStr">
        <is>
          <t>https://lpjk.pu.go.id/search-badan-usaha-detail/Y1FSVXFoSWMvTWIwamIvVU1iUVZUUT09</t>
        </is>
      </c>
      <c r="F112" t="n">
        <v>1</v>
      </c>
      <c r="G112" t="inlineStr">
        <is>
          <t>IN004</t>
        </is>
      </c>
      <c r="H112" t="inlineStr">
        <is>
          <t>11 Juli 2023</t>
        </is>
      </c>
      <c r="I112" s="2" t="n">
        <v>46258</v>
      </c>
      <c r="J112" t="inlineStr">
        <is>
          <t>Pencabutan</t>
        </is>
      </c>
      <c r="K112" t="n">
        <v>60</v>
      </c>
      <c r="L112" t="inlineStr">
        <is>
          <t>24 Agustus 2026</t>
        </is>
      </c>
      <c r="M112" t="inlineStr">
        <is>
          <t>Instalasi Minyak dan Gas</t>
        </is>
      </c>
      <c r="N112" t="inlineStr">
        <is>
          <t>Spesialis</t>
        </is>
      </c>
      <c r="O112" t="inlineStr">
        <is>
          <t>20230824</t>
        </is>
      </c>
      <c r="P112" t="inlineStr">
        <is>
          <t>Sumatera Utara</t>
        </is>
      </c>
      <c r="Q112" t="inlineStr"/>
    </row>
    <row r="113">
      <c r="A113" t="inlineStr">
        <is>
          <t>MITRA SWARI CONSULTING</t>
        </is>
      </c>
      <c r="B113" t="inlineStr">
        <is>
          <t>Kota Denpasar</t>
        </is>
      </c>
      <c r="C113" t="inlineStr">
        <is>
          <t>0361231530</t>
        </is>
      </c>
      <c r="D113" t="inlineStr">
        <is>
          <t>mitraswariconsulting18@gmail.com</t>
        </is>
      </c>
      <c r="E113" t="inlineStr">
        <is>
          <t>https://lpjk.pu.go.id/search-badan-usaha-detail/dzNNbkpKaElrZW8zR3JZUVlKRktxdz09</t>
        </is>
      </c>
      <c r="F113" t="n">
        <v>1</v>
      </c>
      <c r="G113" t="inlineStr">
        <is>
          <t>AR001</t>
        </is>
      </c>
      <c r="H113" t="inlineStr">
        <is>
          <t>4 Mei 2022</t>
        </is>
      </c>
      <c r="I113" s="2" t="n">
        <v>46258</v>
      </c>
      <c r="J113" t="inlineStr">
        <is>
          <t>Disetujui</t>
        </is>
      </c>
      <c r="K113" t="n">
        <v>60</v>
      </c>
      <c r="L113" t="inlineStr">
        <is>
          <t>24 Agustus 2026</t>
        </is>
      </c>
      <c r="M113" t="inlineStr">
        <is>
          <t>Jasa Arsitektural Bangunan Gedung Hunian dan Non Hunian</t>
        </is>
      </c>
      <c r="N113" t="inlineStr">
        <is>
          <t>K</t>
        </is>
      </c>
      <c r="O113" t="inlineStr">
        <is>
          <t>20230801</t>
        </is>
      </c>
      <c r="P113" t="inlineStr">
        <is>
          <t>Bali</t>
        </is>
      </c>
      <c r="Q113" t="inlineStr"/>
    </row>
    <row r="114">
      <c r="A114" t="inlineStr">
        <is>
          <t>MOJOPAHIT PALAPA KHATULISTIWA</t>
        </is>
      </c>
      <c r="B114" t="inlineStr">
        <is>
          <t>Kota Pontianak</t>
        </is>
      </c>
      <c r="C114" t="inlineStr">
        <is>
          <t>085386006060</t>
        </is>
      </c>
      <c r="D114" t="inlineStr">
        <is>
          <t>mojopahitpalapakhatulistiwa@gmail.com</t>
        </is>
      </c>
      <c r="E114" t="inlineStr">
        <is>
          <t>https://lpjk.pu.go.id/search-badan-usaha-detail/eXhUQjVKMm44SmFMZDVYSDlwV0dudz09</t>
        </is>
      </c>
      <c r="F114" t="n">
        <v>1</v>
      </c>
      <c r="G114" t="inlineStr">
        <is>
          <t>BG009</t>
        </is>
      </c>
      <c r="H114" t="inlineStr">
        <is>
          <t>30 Mei 2023</t>
        </is>
      </c>
      <c r="I114" s="2" t="n">
        <v>46258</v>
      </c>
      <c r="J114" t="inlineStr">
        <is>
          <t>Disetujui</t>
        </is>
      </c>
      <c r="K114" t="n">
        <v>60</v>
      </c>
      <c r="L114" t="inlineStr">
        <is>
          <t>24 Agustus 2026</t>
        </is>
      </c>
      <c r="M114" t="inlineStr">
        <is>
          <t>Konstruksi Gedung Lainnya</t>
        </is>
      </c>
      <c r="N114" t="inlineStr">
        <is>
          <t>K</t>
        </is>
      </c>
      <c r="O114" t="inlineStr">
        <is>
          <t>20230823</t>
        </is>
      </c>
      <c r="P114" t="inlineStr">
        <is>
          <t>Kalimantan Barat</t>
        </is>
      </c>
      <c r="Q114" t="inlineStr"/>
    </row>
    <row r="115">
      <c r="A115" t="inlineStr">
        <is>
          <t>NINDYA KRIDA</t>
        </is>
      </c>
      <c r="B115" t="inlineStr">
        <is>
          <t>Kab. Tulungagung</t>
        </is>
      </c>
      <c r="C115" t="inlineStr">
        <is>
          <t>0355523076</t>
        </is>
      </c>
      <c r="D115" t="inlineStr">
        <is>
          <t>dbasuki@rocketmail.com</t>
        </is>
      </c>
      <c r="E115" t="inlineStr">
        <is>
          <t>https://lpjk.pu.go.id/search-badan-usaha-detail/VEQzMEZUcm02dTRBazI5cjNGUmNzUT09</t>
        </is>
      </c>
      <c r="F115" t="n">
        <v>2</v>
      </c>
      <c r="G115" t="inlineStr">
        <is>
          <t>BS004</t>
        </is>
      </c>
      <c r="H115" t="inlineStr">
        <is>
          <t>12 Oktober 1982</t>
        </is>
      </c>
      <c r="I115" s="2" t="n">
        <v>46258</v>
      </c>
      <c r="J115" t="inlineStr">
        <is>
          <t>Disetujui</t>
        </is>
      </c>
      <c r="K115" t="n">
        <v>60</v>
      </c>
      <c r="L115" t="inlineStr">
        <is>
          <t>24 Agustus 2026</t>
        </is>
      </c>
      <c r="M115" t="inlineStr">
        <is>
          <t>Konstruksi Jaringan Irigasi dan Drainase</t>
        </is>
      </c>
      <c r="N115" t="inlineStr">
        <is>
          <t>K</t>
        </is>
      </c>
      <c r="O115" t="inlineStr">
        <is>
          <t>20230816</t>
        </is>
      </c>
      <c r="P115" t="inlineStr">
        <is>
          <t>Jawa Timur</t>
        </is>
      </c>
      <c r="Q115" t="inlineStr"/>
    </row>
    <row r="116">
      <c r="A116" t="inlineStr">
        <is>
          <t>NUANSA PURI</t>
        </is>
      </c>
      <c r="B116" t="inlineStr">
        <is>
          <t>Kab. Karangasem</t>
        </is>
      </c>
      <c r="C116" t="inlineStr">
        <is>
          <t>081338071605</t>
        </is>
      </c>
      <c r="D116" t="inlineStr">
        <is>
          <t>cv.nuansapuri@gmail.com</t>
        </is>
      </c>
      <c r="E116" t="inlineStr">
        <is>
          <t>https://lpjk.pu.go.id/search-badan-usaha-detail/OWphMmxaWks2MG5VK0xOSkpESURBdz09</t>
        </is>
      </c>
      <c r="F116" t="n">
        <v>3</v>
      </c>
      <c r="G116" t="inlineStr">
        <is>
          <t>AR001, RK001, RK003</t>
        </is>
      </c>
      <c r="H116" t="inlineStr">
        <is>
          <t>4 Februari 2010</t>
        </is>
      </c>
      <c r="I116" s="2" t="n">
        <v>46258</v>
      </c>
      <c r="J116" t="inlineStr">
        <is>
          <t>Disetujui, Pencabutan</t>
        </is>
      </c>
      <c r="K116" t="n">
        <v>60</v>
      </c>
      <c r="L116" t="inlineStr">
        <is>
          <t>24 Agustus 2026</t>
        </is>
      </c>
      <c r="M116" t="inlineStr">
        <is>
          <t>Jasa Arsitektural Bangunan Gedung Hunian dan Non Hunian, Jasa Rekayasa Konstruksi Bangunan Gedung Hunian dan Non Hunian, Jasa Rekayasa Pekerjaan Teknik Sipil Transportasi</t>
        </is>
      </c>
      <c r="N116" t="inlineStr">
        <is>
          <t>K</t>
        </is>
      </c>
      <c r="O116" t="inlineStr">
        <is>
          <t>20230818</t>
        </is>
      </c>
      <c r="P116" t="inlineStr">
        <is>
          <t>Bali</t>
        </is>
      </c>
      <c r="Q116" t="inlineStr"/>
    </row>
    <row r="117">
      <c r="A117" t="inlineStr">
        <is>
          <t>PADA PAYU</t>
        </is>
      </c>
      <c r="B117" t="inlineStr">
        <is>
          <t>Kab. Gianyar</t>
        </is>
      </c>
      <c r="C117" t="inlineStr">
        <is>
          <t>085101875126</t>
        </is>
      </c>
      <c r="D117" t="inlineStr">
        <is>
          <t>padapayu@yahoo.com</t>
        </is>
      </c>
      <c r="E117" t="inlineStr">
        <is>
          <t>https://lpjk.pu.go.id/search-badan-usaha-detail/dXZWeWtUQ0ZHcmN3VTRhaHRVV241dz09</t>
        </is>
      </c>
      <c r="F117" t="n">
        <v>3</v>
      </c>
      <c r="G117" t="inlineStr">
        <is>
          <t>BG005, BG006, BG009</t>
        </is>
      </c>
      <c r="H117" t="inlineStr">
        <is>
          <t>13 Februari 2007</t>
        </is>
      </c>
      <c r="I117" s="2" t="n">
        <v>46258</v>
      </c>
      <c r="J117" t="inlineStr">
        <is>
          <t>Disetujui</t>
        </is>
      </c>
      <c r="K117" t="n">
        <v>60</v>
      </c>
      <c r="L117" t="inlineStr">
        <is>
          <t>24 Agustus 2026</t>
        </is>
      </c>
      <c r="M117" t="inlineStr">
        <is>
          <t>Konstruksi Gedung Kesehatan, Konstruksi Gedung Lainnya, Konstruksi Gedung Pendidikan</t>
        </is>
      </c>
      <c r="N117" t="inlineStr">
        <is>
          <t>K</t>
        </is>
      </c>
      <c r="O117" t="inlineStr">
        <is>
          <t>20230819</t>
        </is>
      </c>
      <c r="P117" t="inlineStr">
        <is>
          <t>Bali</t>
        </is>
      </c>
      <c r="Q117" t="inlineStr"/>
    </row>
    <row r="118">
      <c r="A118" t="inlineStr">
        <is>
          <t>PALUNG MANDIRI</t>
        </is>
      </c>
      <c r="B118" t="inlineStr">
        <is>
          <t>Kab. Ketapang</t>
        </is>
      </c>
      <c r="C118" t="inlineStr">
        <is>
          <t>0811579963</t>
        </is>
      </c>
      <c r="D118" t="inlineStr">
        <is>
          <t>palung.mandiri9999@gmail.com</t>
        </is>
      </c>
      <c r="E118" t="inlineStr">
        <is>
          <t>https://lpjk.pu.go.id/search-badan-usaha-detail/U0loK3N0MjhKSy9nV096QnlsTTBHUT09</t>
        </is>
      </c>
      <c r="F118" t="n">
        <v>2</v>
      </c>
      <c r="G118" t="inlineStr">
        <is>
          <t>BS001, BS002</t>
        </is>
      </c>
      <c r="H118" t="inlineStr">
        <is>
          <t>20 Juni 2008</t>
        </is>
      </c>
      <c r="I118" s="2" t="n">
        <v>46258</v>
      </c>
      <c r="J118" t="inlineStr">
        <is>
          <t>Disetujui</t>
        </is>
      </c>
      <c r="K118" t="n">
        <v>60</v>
      </c>
      <c r="L118" t="inlineStr">
        <is>
          <t>24 Agustus 2026</t>
        </is>
      </c>
      <c r="M118" t="inlineStr">
        <is>
          <t>Bangunan Sipil Jembatan, Jalan Layang, Fly Over, dan Underpass, Konstruksi Bangunan Sipil Jalan</t>
        </is>
      </c>
      <c r="N118" t="inlineStr">
        <is>
          <t>K</t>
        </is>
      </c>
      <c r="O118" t="inlineStr">
        <is>
          <t>20230819</t>
        </is>
      </c>
      <c r="P118" t="inlineStr">
        <is>
          <t>Kalimantan Barat</t>
        </is>
      </c>
      <c r="Q118" t="inlineStr"/>
    </row>
    <row r="119">
      <c r="A119" t="inlineStr">
        <is>
          <t>PANDJI PRATAMA INDONESIA</t>
        </is>
      </c>
      <c r="B119" t="inlineStr">
        <is>
          <t>Kota Banjarmasin</t>
        </is>
      </c>
      <c r="C119" t="inlineStr">
        <is>
          <t>081351997721</t>
        </is>
      </c>
      <c r="D119" t="inlineStr">
        <is>
          <t>pt.pandjipratama@gmail.com</t>
        </is>
      </c>
      <c r="E119" t="inlineStr">
        <is>
          <t>https://lpjk.pu.go.id/search-badan-usaha-detail/UEVWbXJjU3Z1T3N2NkVyU0RWZTlIZz09</t>
        </is>
      </c>
      <c r="F119" t="n">
        <v>2</v>
      </c>
      <c r="G119" t="inlineStr">
        <is>
          <t>BS001, BS002</t>
        </is>
      </c>
      <c r="H119" t="inlineStr">
        <is>
          <t>2 Februari 2012</t>
        </is>
      </c>
      <c r="I119" s="2" t="n">
        <v>46258</v>
      </c>
      <c r="J119" t="inlineStr">
        <is>
          <t>Disetujui</t>
        </is>
      </c>
      <c r="K119" t="n">
        <v>60</v>
      </c>
      <c r="L119" t="inlineStr">
        <is>
          <t>24 Agustus 2026</t>
        </is>
      </c>
      <c r="M119" t="inlineStr">
        <is>
          <t>Bangunan Sipil Jembatan, Jalan Layang, Fly Over, dan Underpass, Konstruksi Bangunan Sipil Jalan</t>
        </is>
      </c>
      <c r="N119" t="inlineStr">
        <is>
          <t>M</t>
        </is>
      </c>
      <c r="O119" t="inlineStr">
        <is>
          <t>20230824</t>
        </is>
      </c>
      <c r="P119" t="inlineStr">
        <is>
          <t>Kalimantan Selatan</t>
        </is>
      </c>
      <c r="Q119" t="inlineStr"/>
    </row>
    <row r="120">
      <c r="A120" t="inlineStr">
        <is>
          <t>PELANGI DITRA PROMOSI</t>
        </is>
      </c>
      <c r="B120" t="inlineStr">
        <is>
          <t>Kota Medan</t>
        </is>
      </c>
      <c r="C120" t="inlineStr">
        <is>
          <t>08196036485</t>
        </is>
      </c>
      <c r="D120" t="inlineStr">
        <is>
          <t>pelangiditrapromosi123@yahoo.com</t>
        </is>
      </c>
      <c r="E120" t="inlineStr">
        <is>
          <t>https://lpjk.pu.go.id/search-badan-usaha-detail/enVoam1lYi93V2lEQTZaelcxdzArZz09</t>
        </is>
      </c>
      <c r="F120" t="n">
        <v>2</v>
      </c>
      <c r="G120" t="inlineStr">
        <is>
          <t>BG001, BG009</t>
        </is>
      </c>
      <c r="H120" t="inlineStr">
        <is>
          <t>26 November 2013</t>
        </is>
      </c>
      <c r="I120" s="2" t="n">
        <v>46258</v>
      </c>
      <c r="J120" t="inlineStr">
        <is>
          <t>Disetujui</t>
        </is>
      </c>
      <c r="K120" t="n">
        <v>60</v>
      </c>
      <c r="L120" t="inlineStr">
        <is>
          <t>24 Agustus 2026</t>
        </is>
      </c>
      <c r="M120" t="inlineStr">
        <is>
          <t>Konstruksi Gedung Hunian, Konstruksi Gedung Lainnya</t>
        </is>
      </c>
      <c r="N120" t="inlineStr">
        <is>
          <t>K</t>
        </is>
      </c>
      <c r="O120" t="inlineStr">
        <is>
          <t>20230805, 20230825</t>
        </is>
      </c>
      <c r="P120" t="inlineStr">
        <is>
          <t>Sumatera Utara</t>
        </is>
      </c>
      <c r="Q120" t="inlineStr"/>
    </row>
    <row r="121">
      <c r="A121" t="inlineStr">
        <is>
          <t>PERMATA GODANG</t>
        </is>
      </c>
      <c r="B121" t="inlineStr">
        <is>
          <t>Kota Medan</t>
        </is>
      </c>
      <c r="C121" t="inlineStr">
        <is>
          <t>+6282166778505</t>
        </is>
      </c>
      <c r="D121" t="inlineStr">
        <is>
          <t>cvpermatagodang2020@gmail.com</t>
        </is>
      </c>
      <c r="E121" t="inlineStr">
        <is>
          <t>https://lpjk.pu.go.id/search-badan-usaha-detail/Mk9ROUVhaHpHZWNwMytjdmNxVEFmQT09</t>
        </is>
      </c>
      <c r="F121" t="n">
        <v>1</v>
      </c>
      <c r="G121" t="inlineStr">
        <is>
          <t>BS005</t>
        </is>
      </c>
      <c r="H121" t="inlineStr">
        <is>
          <t>20 Juli 2020</t>
        </is>
      </c>
      <c r="I121" s="2" t="n">
        <v>46258</v>
      </c>
      <c r="J121" t="inlineStr">
        <is>
          <t>Disetujui</t>
        </is>
      </c>
      <c r="K121" t="n">
        <v>60</v>
      </c>
      <c r="L121" t="inlineStr">
        <is>
          <t>24 Agustus 2026</t>
        </is>
      </c>
      <c r="M121" t="inlineStr">
        <is>
          <t>Konstruksi Bangunan Sipil Pengolahan Air Bersih</t>
        </is>
      </c>
      <c r="N121" t="inlineStr">
        <is>
          <t>K</t>
        </is>
      </c>
      <c r="O121" t="inlineStr">
        <is>
          <t>20230825</t>
        </is>
      </c>
      <c r="P121" t="inlineStr">
        <is>
          <t>Sumatera Utara</t>
        </is>
      </c>
      <c r="Q121" t="inlineStr"/>
    </row>
    <row r="122">
      <c r="A122" t="inlineStr">
        <is>
          <t>PERMATA LESTARI</t>
        </is>
      </c>
      <c r="B122" t="inlineStr">
        <is>
          <t>Kab. Balangan</t>
        </is>
      </c>
      <c r="C122" t="inlineStr">
        <is>
          <t>081291731923</t>
        </is>
      </c>
      <c r="D122" t="inlineStr">
        <is>
          <t>cvpermatalestari682@gmail.com</t>
        </is>
      </c>
      <c r="E122" t="inlineStr">
        <is>
          <t>https://lpjk.pu.go.id/search-badan-usaha-detail/a3RET0VCWGU4RlRNM2lHYnk0Z2x6QT09</t>
        </is>
      </c>
      <c r="F122" t="n">
        <v>4</v>
      </c>
      <c r="G122" t="inlineStr">
        <is>
          <t>BG001, BG002, BG006, BG009</t>
        </is>
      </c>
      <c r="H122" t="inlineStr">
        <is>
          <t>30 Januari 2007</t>
        </is>
      </c>
      <c r="I122" s="2" t="n">
        <v>46258</v>
      </c>
      <c r="J122" t="inlineStr">
        <is>
          <t>Disetujui</t>
        </is>
      </c>
      <c r="K122" t="n">
        <v>60</v>
      </c>
      <c r="L122" t="inlineStr">
        <is>
          <t>24 Agustus 2026</t>
        </is>
      </c>
      <c r="M122" t="inlineStr">
        <is>
          <t>Konstruksi Gedung Hunian, Konstruksi Gedung Lainnya, Konstruksi Gedung Pendidikan, Konstruksi Gedung Perkantoran</t>
        </is>
      </c>
      <c r="N122" t="inlineStr">
        <is>
          <t>K</t>
        </is>
      </c>
      <c r="O122" t="inlineStr">
        <is>
          <t>20230824</t>
        </is>
      </c>
      <c r="P122" t="inlineStr">
        <is>
          <t>Kalimantan Selatan</t>
        </is>
      </c>
      <c r="Q122" t="inlineStr"/>
    </row>
    <row r="123">
      <c r="A123" t="inlineStr">
        <is>
          <t>PESONA DEKOR INDRAGIRI</t>
        </is>
      </c>
      <c r="B123" t="inlineStr">
        <is>
          <t>Kab. Indragiri Hulu</t>
        </is>
      </c>
      <c r="C123" t="inlineStr">
        <is>
          <t>085265716881</t>
        </is>
      </c>
      <c r="D123" t="inlineStr">
        <is>
          <t>cv.pesonadekorindragiri@gmail.com</t>
        </is>
      </c>
      <c r="E123" t="inlineStr">
        <is>
          <t>https://lpjk.pu.go.id/search-badan-usaha-detail/OW9tSTdVdXQyOWJWRWljL3pHSlQ4QT09</t>
        </is>
      </c>
      <c r="F123" t="n">
        <v>1</v>
      </c>
      <c r="G123" t="inlineStr">
        <is>
          <t>BG009</t>
        </is>
      </c>
      <c r="H123" t="inlineStr">
        <is>
          <t>15 Juni 2023</t>
        </is>
      </c>
      <c r="I123" s="2" t="n">
        <v>46258</v>
      </c>
      <c r="J123" t="inlineStr">
        <is>
          <t>Disetujui</t>
        </is>
      </c>
      <c r="K123" t="n">
        <v>60</v>
      </c>
      <c r="L123" t="inlineStr">
        <is>
          <t>24 Agustus 2026</t>
        </is>
      </c>
      <c r="M123" t="inlineStr">
        <is>
          <t>Konstruksi Gedung Lainnya</t>
        </is>
      </c>
      <c r="N123" t="inlineStr">
        <is>
          <t>K</t>
        </is>
      </c>
      <c r="O123" t="inlineStr">
        <is>
          <t>20230824</t>
        </is>
      </c>
      <c r="P123" t="inlineStr">
        <is>
          <t>Riau</t>
        </is>
      </c>
      <c r="Q123" t="inlineStr"/>
    </row>
    <row r="124">
      <c r="A124" t="inlineStr">
        <is>
          <t>POLARINDO MAHKOTA SEKAWAN</t>
        </is>
      </c>
      <c r="B124" t="inlineStr">
        <is>
          <t>Kab. Pesawaran</t>
        </is>
      </c>
      <c r="C124" t="inlineStr">
        <is>
          <t>085269443835</t>
        </is>
      </c>
      <c r="D124" t="inlineStr">
        <is>
          <t>polarindo805@gmail.com</t>
        </is>
      </c>
      <c r="E124" t="inlineStr">
        <is>
          <t>https://lpjk.pu.go.id/search-badan-usaha-detail/bk85d3dQeWdmLzlFZFJnTU9MNU9GUT09</t>
        </is>
      </c>
      <c r="F124" t="n">
        <v>1</v>
      </c>
      <c r="G124" t="inlineStr">
        <is>
          <t>BG003</t>
        </is>
      </c>
      <c r="H124" t="inlineStr">
        <is>
          <t>30 Juni 2023</t>
        </is>
      </c>
      <c r="I124" s="2" t="n">
        <v>46258</v>
      </c>
      <c r="J124" t="inlineStr">
        <is>
          <t>Disetujui</t>
        </is>
      </c>
      <c r="K124" t="n">
        <v>60</v>
      </c>
      <c r="L124" t="inlineStr">
        <is>
          <t>24 Agustus 2026</t>
        </is>
      </c>
      <c r="M124" t="inlineStr">
        <is>
          <t>Konstruksi Gedung Industri</t>
        </is>
      </c>
      <c r="N124" t="inlineStr">
        <is>
          <t>K</t>
        </is>
      </c>
      <c r="O124" t="inlineStr">
        <is>
          <t>20230820</t>
        </is>
      </c>
      <c r="P124" t="inlineStr">
        <is>
          <t>Lampung</t>
        </is>
      </c>
      <c r="Q124" t="inlineStr"/>
    </row>
    <row r="125">
      <c r="A125" t="inlineStr">
        <is>
          <t>PRIMA KARYA UTAMA</t>
        </is>
      </c>
      <c r="B125" t="inlineStr">
        <is>
          <t>Kota Solok</t>
        </is>
      </c>
      <c r="C125" t="inlineStr">
        <is>
          <t>085263804893</t>
        </is>
      </c>
      <c r="D125" t="inlineStr">
        <is>
          <t>primautamaslk@gmail.com</t>
        </is>
      </c>
      <c r="E125" t="inlineStr">
        <is>
          <t>https://lpjk.pu.go.id/search-badan-usaha-detail/MmxvR05LNUZVdjdUalFoRmVHOVlwUT09</t>
        </is>
      </c>
      <c r="F125" t="n">
        <v>1</v>
      </c>
      <c r="G125" t="inlineStr">
        <is>
          <t>BS004</t>
        </is>
      </c>
      <c r="H125" t="inlineStr">
        <is>
          <t>10 Februari 2006</t>
        </is>
      </c>
      <c r="I125" s="2" t="n">
        <v>46258</v>
      </c>
      <c r="J125" t="inlineStr">
        <is>
          <t>Disetujui</t>
        </is>
      </c>
      <c r="K125" t="n">
        <v>60</v>
      </c>
      <c r="L125" t="inlineStr">
        <is>
          <t>24 Agustus 2026</t>
        </is>
      </c>
      <c r="M125" t="inlineStr">
        <is>
          <t>Konstruksi Jaringan Irigasi dan Drainase</t>
        </is>
      </c>
      <c r="N125" t="inlineStr">
        <is>
          <t>K</t>
        </is>
      </c>
      <c r="O125" t="inlineStr">
        <is>
          <t>20230805</t>
        </is>
      </c>
      <c r="P125" t="inlineStr">
        <is>
          <t>Sumatera Barat</t>
        </is>
      </c>
      <c r="Q125" t="inlineStr"/>
    </row>
    <row r="126">
      <c r="A126" t="inlineStr">
        <is>
          <t>PRIMA PONDASI PERKASA</t>
        </is>
      </c>
      <c r="B126" t="inlineStr">
        <is>
          <t>Kota Adm. Jakarta Barat</t>
        </is>
      </c>
      <c r="C126" t="inlineStr">
        <is>
          <t>0216293496</t>
        </is>
      </c>
      <c r="D126" t="inlineStr">
        <is>
          <t>ppp.pondasi@yahoo.com</t>
        </is>
      </c>
      <c r="E126" t="inlineStr">
        <is>
          <t>https://lpjk.pu.go.id/search-badan-usaha-detail/Y2dTcFlZZkM3RXJJSGFlV3E3a0M5dz09</t>
        </is>
      </c>
      <c r="F126" t="n">
        <v>1</v>
      </c>
      <c r="G126" t="inlineStr">
        <is>
          <t>KK001</t>
        </is>
      </c>
      <c r="H126" t="inlineStr">
        <is>
          <t>5 September 2022</t>
        </is>
      </c>
      <c r="I126" s="2" t="n">
        <v>46258</v>
      </c>
      <c r="J126" t="inlineStr">
        <is>
          <t>Pembekuan</t>
        </is>
      </c>
      <c r="K126" t="n">
        <v>60</v>
      </c>
      <c r="L126" t="inlineStr">
        <is>
          <t>24 Agustus 2026</t>
        </is>
      </c>
      <c r="M126" t="inlineStr">
        <is>
          <t>Pondasi Konstruksi</t>
        </is>
      </c>
      <c r="N126" t="inlineStr">
        <is>
          <t>Spesialis</t>
        </is>
      </c>
      <c r="O126" t="inlineStr">
        <is>
          <t>20230816</t>
        </is>
      </c>
      <c r="P126" t="inlineStr">
        <is>
          <t>DKI Jakarta</t>
        </is>
      </c>
      <c r="Q126" t="inlineStr"/>
    </row>
    <row r="127">
      <c r="A127" t="inlineStr">
        <is>
          <t>PUNCAK RIMBA RAYA</t>
        </is>
      </c>
      <c r="B127" t="inlineStr">
        <is>
          <t>Kab. Mamuju</t>
        </is>
      </c>
      <c r="C127" t="inlineStr">
        <is>
          <t>081242874287</t>
        </is>
      </c>
      <c r="D127" t="inlineStr">
        <is>
          <t>cvpuncakrimbaraya@gmail.com</t>
        </is>
      </c>
      <c r="E127" t="inlineStr">
        <is>
          <t>https://lpjk.pu.go.id/search-badan-usaha-detail/L24rNTQyNkZiSGgxUUdDR0o3bkI4Zz09</t>
        </is>
      </c>
      <c r="F127" t="n">
        <v>1</v>
      </c>
      <c r="G127" t="inlineStr">
        <is>
          <t>BG008</t>
        </is>
      </c>
      <c r="H127" t="inlineStr">
        <is>
          <t>13 Januari 2023</t>
        </is>
      </c>
      <c r="I127" s="2" t="n">
        <v>46258</v>
      </c>
      <c r="J127" t="inlineStr">
        <is>
          <t>Pencabutan</t>
        </is>
      </c>
      <c r="K127" t="n">
        <v>60</v>
      </c>
      <c r="L127" t="inlineStr">
        <is>
          <t>24 Agustus 2026</t>
        </is>
      </c>
      <c r="M127" t="inlineStr">
        <is>
          <t>Konstruksi Gedung Tempat Hiburan dan Olahraga</t>
        </is>
      </c>
      <c r="N127" t="inlineStr">
        <is>
          <t>K</t>
        </is>
      </c>
      <c r="O127" t="inlineStr">
        <is>
          <t>20230824</t>
        </is>
      </c>
      <c r="P127" t="inlineStr">
        <is>
          <t>Sulawesi Barat</t>
        </is>
      </c>
      <c r="Q127" t="inlineStr"/>
    </row>
    <row r="128">
      <c r="A128" t="inlineStr">
        <is>
          <t>PUTRA CHANDRA KARYA</t>
        </is>
      </c>
      <c r="B128" t="inlineStr">
        <is>
          <t>Kab. Sidoarjo</t>
        </is>
      </c>
      <c r="C128" t="inlineStr">
        <is>
          <t>0318918240</t>
        </is>
      </c>
      <c r="D128" t="inlineStr">
        <is>
          <t>putra.chandra650@gmail.com</t>
        </is>
      </c>
      <c r="E128" t="inlineStr">
        <is>
          <t>https://lpjk.pu.go.id/search-badan-usaha-detail/TDhJM0ZPNnlVMVdiOE1oR1ZSS1ErZz09</t>
        </is>
      </c>
      <c r="F128" t="n">
        <v>1</v>
      </c>
      <c r="G128" t="inlineStr">
        <is>
          <t>IN004</t>
        </is>
      </c>
      <c r="H128" t="inlineStr">
        <is>
          <t>4 Agustus 2012</t>
        </is>
      </c>
      <c r="I128" s="2" t="n">
        <v>46258</v>
      </c>
      <c r="J128" t="inlineStr">
        <is>
          <t>Disetujui</t>
        </is>
      </c>
      <c r="K128" t="n">
        <v>60</v>
      </c>
      <c r="L128" t="inlineStr">
        <is>
          <t>24 Agustus 2026</t>
        </is>
      </c>
      <c r="M128" t="inlineStr">
        <is>
          <t>Instalasi Minyak dan Gas</t>
        </is>
      </c>
      <c r="N128" t="inlineStr">
        <is>
          <t>Spesialis</t>
        </is>
      </c>
      <c r="O128" t="inlineStr">
        <is>
          <t>20230809</t>
        </is>
      </c>
      <c r="P128" t="inlineStr">
        <is>
          <t>Jawa Timur</t>
        </is>
      </c>
      <c r="Q128" t="inlineStr"/>
    </row>
    <row r="129">
      <c r="A129" t="inlineStr">
        <is>
          <t>PUTRA GILANG</t>
        </is>
      </c>
      <c r="B129" t="inlineStr">
        <is>
          <t>Kab. Sumenep</t>
        </is>
      </c>
      <c r="C129" t="inlineStr">
        <is>
          <t>082338194886</t>
        </is>
      </c>
      <c r="D129" t="inlineStr">
        <is>
          <t>putra.gilang76@yahoo.co.id</t>
        </is>
      </c>
      <c r="E129" t="inlineStr">
        <is>
          <t>https://lpjk.pu.go.id/search-badan-usaha-detail/c0VPN1BFdFBPQ29HelFQVXVrbGJPUT09</t>
        </is>
      </c>
      <c r="F129" t="n">
        <v>5</v>
      </c>
      <c r="G129" t="inlineStr">
        <is>
          <t>BG006, BG009, BS001, BS004, BS010</t>
        </is>
      </c>
      <c r="H129" t="inlineStr">
        <is>
          <t>24 Januari 2011</t>
        </is>
      </c>
      <c r="I129" s="2" t="n">
        <v>46258</v>
      </c>
      <c r="J129" t="inlineStr">
        <is>
          <t>Disetujui</t>
        </is>
      </c>
      <c r="K129" t="n">
        <v>60</v>
      </c>
      <c r="L129" t="inlineStr">
        <is>
          <t>24 Agustus 2026</t>
        </is>
      </c>
      <c r="M129" t="inlineStr">
        <is>
          <t>Konstruksi Bangunan Prasarana Sumber Daya Air, Konstruksi Bangunan Sipil Jalan, Konstruksi Gedung Lainnya, Konstruksi Gedung Pendidikan, Konstruksi Jaringan Irigasi dan Drainase</t>
        </is>
      </c>
      <c r="N129" t="inlineStr">
        <is>
          <t>K</t>
        </is>
      </c>
      <c r="O129" t="inlineStr">
        <is>
          <t>20230821, 20230824</t>
        </is>
      </c>
      <c r="P129" t="inlineStr">
        <is>
          <t>Jawa Timur</t>
        </is>
      </c>
      <c r="Q129" t="inlineStr"/>
    </row>
    <row r="130">
      <c r="A130" t="inlineStr">
        <is>
          <t>PUTRA MAKMUR 37</t>
        </is>
      </c>
      <c r="B130" t="inlineStr">
        <is>
          <t>Kab. Tanah Bumbu</t>
        </is>
      </c>
      <c r="C130" t="inlineStr">
        <is>
          <t>082152919293</t>
        </is>
      </c>
      <c r="D130" t="inlineStr">
        <is>
          <t>cvputramakmur37@gmail.com</t>
        </is>
      </c>
      <c r="E130" t="inlineStr">
        <is>
          <t>https://lpjk.pu.go.id/search-badan-usaha-detail/Y2J1YVRmMWhpaHFHTUkxV3VadExmdz09</t>
        </is>
      </c>
      <c r="F130" t="n">
        <v>2</v>
      </c>
      <c r="G130" t="inlineStr">
        <is>
          <t>BS001, BS004</t>
        </is>
      </c>
      <c r="H130" t="inlineStr">
        <is>
          <t>15 Juni 2023</t>
        </is>
      </c>
      <c r="I130" s="2" t="n">
        <v>46258</v>
      </c>
      <c r="J130" t="inlineStr">
        <is>
          <t>Disetujui</t>
        </is>
      </c>
      <c r="K130" t="n">
        <v>60</v>
      </c>
      <c r="L130" t="inlineStr">
        <is>
          <t>24 Agustus 2026</t>
        </is>
      </c>
      <c r="M130" t="inlineStr">
        <is>
          <t>Konstruksi Bangunan Sipil Jalan, Konstruksi Jaringan Irigasi dan Drainase</t>
        </is>
      </c>
      <c r="N130" t="inlineStr">
        <is>
          <t>K</t>
        </is>
      </c>
      <c r="O130" t="inlineStr">
        <is>
          <t>20230823</t>
        </is>
      </c>
      <c r="P130" t="inlineStr">
        <is>
          <t>Kalimantan Selatan</t>
        </is>
      </c>
      <c r="Q130" t="inlineStr"/>
    </row>
    <row r="131">
      <c r="A131" t="inlineStr">
        <is>
          <t>PUTRA PAPUA SEJAHTERA</t>
        </is>
      </c>
      <c r="B131" t="inlineStr">
        <is>
          <t>Kab. Biak Numfor</t>
        </is>
      </c>
      <c r="C131" t="inlineStr">
        <is>
          <t>0811497517</t>
        </is>
      </c>
      <c r="D131" t="inlineStr">
        <is>
          <t>mmgroupefin18@gmail.com</t>
        </is>
      </c>
      <c r="E131" t="inlineStr">
        <is>
          <t>https://lpjk.pu.go.id/search-badan-usaha-detail/OFNZV29iYTV0aEhYMktGR3NUMUhLUT09</t>
        </is>
      </c>
      <c r="F131" t="n">
        <v>2</v>
      </c>
      <c r="G131" t="inlineStr">
        <is>
          <t>BG007, BG008</t>
        </is>
      </c>
      <c r="H131" t="inlineStr">
        <is>
          <t>29 Januari 2014</t>
        </is>
      </c>
      <c r="I131" s="2" t="n">
        <v>46258</v>
      </c>
      <c r="J131" t="inlineStr">
        <is>
          <t>Pembekuan</t>
        </is>
      </c>
      <c r="K131" t="n">
        <v>60</v>
      </c>
      <c r="L131" t="inlineStr">
        <is>
          <t>24 Agustus 2026</t>
        </is>
      </c>
      <c r="M131" t="inlineStr">
        <is>
          <t>Konstruksi Gedung Penginapan, Konstruksi Gedung Tempat Hiburan dan Olahraga</t>
        </is>
      </c>
      <c r="N131" t="inlineStr">
        <is>
          <t>M</t>
        </is>
      </c>
      <c r="O131" t="inlineStr">
        <is>
          <t>20230816, 20230821</t>
        </is>
      </c>
      <c r="P131" t="inlineStr">
        <is>
          <t>Papua</t>
        </is>
      </c>
      <c r="Q131" t="inlineStr"/>
    </row>
    <row r="132">
      <c r="A132" t="inlineStr">
        <is>
          <t>PUTRA PAPUA TENGAH</t>
        </is>
      </c>
      <c r="B132" t="inlineStr">
        <is>
          <t>Kab. Nabire</t>
        </is>
      </c>
      <c r="C132" t="inlineStr">
        <is>
          <t>082248958702</t>
        </is>
      </c>
      <c r="D132" t="inlineStr">
        <is>
          <t>cvputrapapuatengahoss@gmail.com</t>
        </is>
      </c>
      <c r="E132" t="inlineStr">
        <is>
          <t>https://lpjk.pu.go.id/search-badan-usaha-detail/cktFZzRIN1NIMEh0OHFEY0NDZG5NQT09</t>
        </is>
      </c>
      <c r="F132" t="n">
        <v>1</v>
      </c>
      <c r="G132" t="inlineStr">
        <is>
          <t>BS001</t>
        </is>
      </c>
      <c r="H132" t="inlineStr">
        <is>
          <t>10 Juli 2023</t>
        </is>
      </c>
      <c r="I132" s="2" t="n">
        <v>46258</v>
      </c>
      <c r="J132" t="inlineStr">
        <is>
          <t>Pencabutan</t>
        </is>
      </c>
      <c r="K132" t="n">
        <v>60</v>
      </c>
      <c r="L132" t="inlineStr">
        <is>
          <t>24 Agustus 2026</t>
        </is>
      </c>
      <c r="M132" t="inlineStr">
        <is>
          <t>Konstruksi Bangunan Sipil Jalan</t>
        </is>
      </c>
      <c r="N132" t="inlineStr">
        <is>
          <t>K</t>
        </is>
      </c>
      <c r="O132" t="inlineStr">
        <is>
          <t>20230823</t>
        </is>
      </c>
      <c r="P132" t="inlineStr">
        <is>
          <t>Papua</t>
        </is>
      </c>
      <c r="Q132" t="inlineStr"/>
    </row>
    <row r="133">
      <c r="A133" t="inlineStr">
        <is>
          <t>PUTRA PRAJA GEMILANG</t>
        </is>
      </c>
      <c r="B133" t="inlineStr">
        <is>
          <t>Kota Salatiga</t>
        </is>
      </c>
      <c r="C133" t="inlineStr">
        <is>
          <t>085640023400</t>
        </is>
      </c>
      <c r="D133" t="inlineStr">
        <is>
          <t>putraprajagemilang@gmail.com</t>
        </is>
      </c>
      <c r="E133" t="inlineStr">
        <is>
          <t>https://lpjk.pu.go.id/search-badan-usaha-detail/bVhKUWgrKzlpSC9BYUNZTEhpNWl6QT09</t>
        </is>
      </c>
      <c r="F133" t="n">
        <v>1</v>
      </c>
      <c r="G133" t="inlineStr">
        <is>
          <t>BG002</t>
        </is>
      </c>
      <c r="H133" t="inlineStr">
        <is>
          <t>31 Juli 2023</t>
        </is>
      </c>
      <c r="I133" s="2" t="n">
        <v>46258</v>
      </c>
      <c r="J133" t="inlineStr">
        <is>
          <t>Disetujui</t>
        </is>
      </c>
      <c r="K133" t="n">
        <v>60</v>
      </c>
      <c r="L133" t="inlineStr">
        <is>
          <t>24 Agustus 2026</t>
        </is>
      </c>
      <c r="M133" t="inlineStr">
        <is>
          <t>Konstruksi Gedung Perkantoran</t>
        </is>
      </c>
      <c r="N133" t="inlineStr">
        <is>
          <t>K</t>
        </is>
      </c>
      <c r="O133" t="inlineStr">
        <is>
          <t>20230815</t>
        </is>
      </c>
      <c r="P133" t="inlineStr">
        <is>
          <t>Jawa Tengah</t>
        </is>
      </c>
      <c r="Q133" t="inlineStr"/>
    </row>
    <row r="134">
      <c r="A134" t="inlineStr">
        <is>
          <t>PUTRA PRATAMA</t>
        </is>
      </c>
      <c r="B134" t="inlineStr">
        <is>
          <t>Kab. Mandailing Natal</t>
        </is>
      </c>
      <c r="C134" t="inlineStr">
        <is>
          <t>081265116222</t>
        </is>
      </c>
      <c r="D134" t="inlineStr">
        <is>
          <t>cv.putra_pratama23@yahoo.com</t>
        </is>
      </c>
      <c r="E134" t="inlineStr">
        <is>
          <t>https://lpjk.pu.go.id/search-badan-usaha-detail/MGYyZHdnTmFmbmRuUTBDWkZCMFlXUT09</t>
        </is>
      </c>
      <c r="F134" t="n">
        <v>1</v>
      </c>
      <c r="G134" t="inlineStr">
        <is>
          <t>BS004</t>
        </is>
      </c>
      <c r="H134" t="inlineStr">
        <is>
          <t>18 Juli 2016</t>
        </is>
      </c>
      <c r="I134" s="2" t="n">
        <v>46258</v>
      </c>
      <c r="J134" t="inlineStr">
        <is>
          <t>Disetujui</t>
        </is>
      </c>
      <c r="K134" t="n">
        <v>60</v>
      </c>
      <c r="L134" t="inlineStr">
        <is>
          <t>24 Agustus 2026</t>
        </is>
      </c>
      <c r="M134" t="inlineStr">
        <is>
          <t>Konstruksi Jaringan Irigasi dan Drainase</t>
        </is>
      </c>
      <c r="N134" t="inlineStr">
        <is>
          <t>K</t>
        </is>
      </c>
      <c r="O134" t="inlineStr">
        <is>
          <t>20230816</t>
        </is>
      </c>
      <c r="P134" t="inlineStr">
        <is>
          <t>Sumatera Utara</t>
        </is>
      </c>
      <c r="Q134" t="inlineStr"/>
    </row>
    <row r="135">
      <c r="A135" t="inlineStr">
        <is>
          <t>PUTRA SEMBADA</t>
        </is>
      </c>
      <c r="B135" t="inlineStr">
        <is>
          <t>Kab. Demak</t>
        </is>
      </c>
      <c r="C135" t="inlineStr">
        <is>
          <t>085325354797</t>
        </is>
      </c>
      <c r="D135" t="inlineStr">
        <is>
          <t>putrasembada45@gmail.com</t>
        </is>
      </c>
      <c r="E135" t="inlineStr">
        <is>
          <t>https://lpjk.pu.go.id/search-badan-usaha-detail/dkttYTRlRGtVeUhpVmczN2NRbWR4QT09</t>
        </is>
      </c>
      <c r="F135" t="n">
        <v>1</v>
      </c>
      <c r="G135" t="inlineStr">
        <is>
          <t>BG006</t>
        </is>
      </c>
      <c r="H135" t="inlineStr">
        <is>
          <t>19 Januari 2010</t>
        </is>
      </c>
      <c r="I135" s="2" t="n">
        <v>46258</v>
      </c>
      <c r="J135" t="inlineStr">
        <is>
          <t>Disetujui</t>
        </is>
      </c>
      <c r="K135" t="n">
        <v>60</v>
      </c>
      <c r="L135" t="inlineStr">
        <is>
          <t>24 Agustus 2026</t>
        </is>
      </c>
      <c r="M135" t="inlineStr">
        <is>
          <t>Konstruksi Gedung Pendidikan</t>
        </is>
      </c>
      <c r="N135" t="inlineStr">
        <is>
          <t>K</t>
        </is>
      </c>
      <c r="O135" t="inlineStr">
        <is>
          <t>20230823</t>
        </is>
      </c>
      <c r="P135" t="inlineStr">
        <is>
          <t>Jawa Tengah</t>
        </is>
      </c>
      <c r="Q135" t="inlineStr"/>
    </row>
    <row r="136">
      <c r="A136" t="inlineStr">
        <is>
          <t>RAFA BERKAH MANDIRI</t>
        </is>
      </c>
      <c r="B136" t="inlineStr">
        <is>
          <t>Kota Kendari</t>
        </is>
      </c>
      <c r="C136" t="inlineStr">
        <is>
          <t>0811405163</t>
        </is>
      </c>
      <c r="D136" t="inlineStr">
        <is>
          <t>rafaberkahmandirikdi@gmail.com</t>
        </is>
      </c>
      <c r="E136" t="inlineStr">
        <is>
          <t>https://lpjk.pu.go.id/search-badan-usaha-detail/NU9XS1JtanU3UmRsSlMrZWxLZE9XZz09</t>
        </is>
      </c>
      <c r="F136" t="n">
        <v>3</v>
      </c>
      <c r="G136" t="inlineStr">
        <is>
          <t>BG005, BG006, BG009</t>
        </is>
      </c>
      <c r="H136" t="inlineStr">
        <is>
          <t>12 Oktober 2015</t>
        </is>
      </c>
      <c r="I136" s="2" t="n">
        <v>46258</v>
      </c>
      <c r="J136" t="inlineStr">
        <is>
          <t>Disetujui</t>
        </is>
      </c>
      <c r="K136" t="n">
        <v>60</v>
      </c>
      <c r="L136" t="inlineStr">
        <is>
          <t>24 Agustus 2026</t>
        </is>
      </c>
      <c r="M136" t="inlineStr">
        <is>
          <t>Konstruksi Gedung Kesehatan, Konstruksi Gedung Lainnya, Konstruksi Gedung Pendidikan</t>
        </is>
      </c>
      <c r="N136" t="inlineStr">
        <is>
          <t>K</t>
        </is>
      </c>
      <c r="O136" t="inlineStr">
        <is>
          <t>20230819</t>
        </is>
      </c>
      <c r="P136" t="inlineStr">
        <is>
          <t>Sulawesi Tenggara</t>
        </is>
      </c>
      <c r="Q136" t="inlineStr"/>
    </row>
    <row r="137">
      <c r="A137" t="inlineStr">
        <is>
          <t>RAFFASYA PUTRA</t>
        </is>
      </c>
      <c r="B137" t="inlineStr">
        <is>
          <t>Kab. Kendal</t>
        </is>
      </c>
      <c r="C137" t="inlineStr">
        <is>
          <t>082138627801</t>
        </is>
      </c>
      <c r="D137" t="inlineStr">
        <is>
          <t>raffasyaputra12345@gmail.com</t>
        </is>
      </c>
      <c r="E137" t="inlineStr">
        <is>
          <t>https://lpjk.pu.go.id/search-badan-usaha-detail/d2JtVDhJRHhCbDRZSDJaeXV6bUNudz09</t>
        </is>
      </c>
      <c r="F137" t="n">
        <v>2</v>
      </c>
      <c r="G137" t="inlineStr">
        <is>
          <t>BG008</t>
        </is>
      </c>
      <c r="H137" t="inlineStr">
        <is>
          <t>14 Februari 2018</t>
        </is>
      </c>
      <c r="I137" s="2" t="n">
        <v>46258</v>
      </c>
      <c r="J137" t="inlineStr">
        <is>
          <t>Disetujui</t>
        </is>
      </c>
      <c r="K137" t="n">
        <v>60</v>
      </c>
      <c r="L137" t="inlineStr">
        <is>
          <t>24 Agustus 2026</t>
        </is>
      </c>
      <c r="M137" t="inlineStr">
        <is>
          <t>Konstruksi Gedung Tempat Hiburan dan Olahraga</t>
        </is>
      </c>
      <c r="N137" t="inlineStr">
        <is>
          <t>K</t>
        </is>
      </c>
      <c r="O137" t="inlineStr">
        <is>
          <t>20230824</t>
        </is>
      </c>
      <c r="P137" t="inlineStr">
        <is>
          <t>Jawa Tengah</t>
        </is>
      </c>
      <c r="Q137" t="inlineStr"/>
    </row>
    <row r="138">
      <c r="A138" t="inlineStr">
        <is>
          <t>RAHMAT UTAMA</t>
        </is>
      </c>
      <c r="B138" t="inlineStr">
        <is>
          <t>Kab. Sidenreng Rappang</t>
        </is>
      </c>
      <c r="C138" t="inlineStr">
        <is>
          <t>082371117271</t>
        </is>
      </c>
      <c r="D138" t="inlineStr">
        <is>
          <t>cherihaeruddin@gmail.com</t>
        </is>
      </c>
      <c r="E138" t="inlineStr">
        <is>
          <t>https://lpjk.pu.go.id/search-badan-usaha-detail/d05xcTUxVUJYYW96V0dQZThCVlRxZz09</t>
        </is>
      </c>
      <c r="F138" t="n">
        <v>8</v>
      </c>
      <c r="G138" t="inlineStr">
        <is>
          <t>BG001, BG006, BS001, BS004</t>
        </is>
      </c>
      <c r="H138" t="inlineStr">
        <is>
          <t>15 Juli 1999</t>
        </is>
      </c>
      <c r="I138" s="2" t="n">
        <v>46258</v>
      </c>
      <c r="J138" t="inlineStr">
        <is>
          <t>Disetujui</t>
        </is>
      </c>
      <c r="K138" t="n">
        <v>60</v>
      </c>
      <c r="L138" t="inlineStr">
        <is>
          <t>24 Agustus 2026</t>
        </is>
      </c>
      <c r="M138" t="inlineStr">
        <is>
          <t>Konstruksi Bangunan Sipil Jalan, Konstruksi Gedung Hunian, Konstruksi Gedung Pendidikan, Konstruksi Jaringan Irigasi dan Drainase</t>
        </is>
      </c>
      <c r="N138" t="inlineStr">
        <is>
          <t>K</t>
        </is>
      </c>
      <c r="O138" t="inlineStr">
        <is>
          <t>20230824</t>
        </is>
      </c>
      <c r="P138" t="inlineStr">
        <is>
          <t>Sulawesi Selatan</t>
        </is>
      </c>
      <c r="Q138" t="inlineStr"/>
    </row>
    <row r="139">
      <c r="A139" t="inlineStr">
        <is>
          <t>RAJAWALI COMPANY</t>
        </is>
      </c>
      <c r="B139" t="inlineStr">
        <is>
          <t>Kab. Bengkalis</t>
        </is>
      </c>
      <c r="C139" t="inlineStr">
        <is>
          <t>085262795740</t>
        </is>
      </c>
      <c r="D139" t="inlineStr">
        <is>
          <t>adechandra050580@gmail.com</t>
        </is>
      </c>
      <c r="E139" t="inlineStr">
        <is>
          <t>https://lpjk.pu.go.id/search-badan-usaha-detail/UDhvMVNBdlNGQ1ZFUStneXBhZE9LQT09</t>
        </is>
      </c>
      <c r="F139" t="n">
        <v>2</v>
      </c>
      <c r="G139" t="inlineStr">
        <is>
          <t>BG009</t>
        </is>
      </c>
      <c r="H139" t="inlineStr">
        <is>
          <t>22 Juni 2012</t>
        </is>
      </c>
      <c r="I139" s="2" t="n">
        <v>46258</v>
      </c>
      <c r="J139" t="inlineStr">
        <is>
          <t>Disetujui</t>
        </is>
      </c>
      <c r="K139" t="n">
        <v>60</v>
      </c>
      <c r="L139" t="inlineStr">
        <is>
          <t>24 Agustus 2026</t>
        </is>
      </c>
      <c r="M139" t="inlineStr">
        <is>
          <t>Konstruksi Gedung Lainnya</t>
        </is>
      </c>
      <c r="N139" t="inlineStr">
        <is>
          <t>K</t>
        </is>
      </c>
      <c r="O139" t="inlineStr">
        <is>
          <t>20230819</t>
        </is>
      </c>
      <c r="P139" t="inlineStr">
        <is>
          <t>Riau</t>
        </is>
      </c>
      <c r="Q139" t="inlineStr"/>
    </row>
    <row r="140">
      <c r="A140" t="inlineStr">
        <is>
          <t>RAYYAN KHAIRAN PRATAMA</t>
        </is>
      </c>
      <c r="B140" t="inlineStr">
        <is>
          <t>Kota Makassar</t>
        </is>
      </c>
      <c r="C140" t="inlineStr">
        <is>
          <t>082293381009</t>
        </is>
      </c>
      <c r="D140" t="inlineStr">
        <is>
          <t>ptrayyankhairanpratama2022@gmail.com</t>
        </is>
      </c>
      <c r="E140" t="inlineStr">
        <is>
          <t>https://lpjk.pu.go.id/search-badan-usaha-detail/V2NpTnc2ZHYrbEtqMFJkNXpOT1Fidz09</t>
        </is>
      </c>
      <c r="F140" t="n">
        <v>2</v>
      </c>
      <c r="G140" t="inlineStr">
        <is>
          <t>BS011</t>
        </is>
      </c>
      <c r="H140" t="inlineStr">
        <is>
          <t>2 Februari 2013</t>
        </is>
      </c>
      <c r="I140" s="2" t="n">
        <v>46258</v>
      </c>
      <c r="J140" t="inlineStr">
        <is>
          <t>Pencabutan</t>
        </is>
      </c>
      <c r="K140" t="n">
        <v>60</v>
      </c>
      <c r="L140" t="inlineStr">
        <is>
          <t>24 Agustus 2026</t>
        </is>
      </c>
      <c r="M140" t="inlineStr">
        <is>
          <t>Konstruksi Bangunan Pelabuhan Bukan Perikanan</t>
        </is>
      </c>
      <c r="N140" t="inlineStr">
        <is>
          <t>M</t>
        </is>
      </c>
      <c r="O140" t="inlineStr">
        <is>
          <t>20230819</t>
        </is>
      </c>
      <c r="P140" t="inlineStr">
        <is>
          <t>Sulawesi Selatan</t>
        </is>
      </c>
      <c r="Q140" t="inlineStr"/>
    </row>
    <row r="141">
      <c r="A141" t="inlineStr">
        <is>
          <t>RAZAKTHA</t>
        </is>
      </c>
      <c r="B141" t="inlineStr">
        <is>
          <t>Kota Bandar Lampung</t>
        </is>
      </c>
      <c r="C141" t="inlineStr">
        <is>
          <t>081285053642</t>
        </is>
      </c>
      <c r="D141" t="inlineStr">
        <is>
          <t>cv.razaktha@gmail.com</t>
        </is>
      </c>
      <c r="E141" t="inlineStr">
        <is>
          <t>https://lpjk.pu.go.id/search-badan-usaha-detail/Q2V3Yk81cG1HRUVyb1U4Y0NjMzV5Zz09</t>
        </is>
      </c>
      <c r="F141" t="n">
        <v>1</v>
      </c>
      <c r="G141" t="inlineStr">
        <is>
          <t>RK003</t>
        </is>
      </c>
      <c r="H141" t="inlineStr">
        <is>
          <t>28 Agustus 2013</t>
        </is>
      </c>
      <c r="I141" s="2" t="n">
        <v>46258</v>
      </c>
      <c r="J141" t="inlineStr">
        <is>
          <t>Disetujui</t>
        </is>
      </c>
      <c r="K141" t="n">
        <v>60</v>
      </c>
      <c r="L141" t="inlineStr">
        <is>
          <t>24 Agustus 2026</t>
        </is>
      </c>
      <c r="M141" t="inlineStr">
        <is>
          <t>Jasa Rekayasa Pekerjaan Teknik Sipil Transportasi</t>
        </is>
      </c>
      <c r="N141" t="inlineStr">
        <is>
          <t>K</t>
        </is>
      </c>
      <c r="O141" t="inlineStr">
        <is>
          <t>20230811</t>
        </is>
      </c>
      <c r="P141" t="inlineStr">
        <is>
          <t>Lampung</t>
        </is>
      </c>
      <c r="Q141" t="inlineStr"/>
    </row>
    <row r="142">
      <c r="A142" t="inlineStr">
        <is>
          <t>REKA BUMI TOHLANGKIR</t>
        </is>
      </c>
      <c r="B142" t="inlineStr">
        <is>
          <t>Kab. Karangasem</t>
        </is>
      </c>
      <c r="C142" t="inlineStr">
        <is>
          <t>081236752995</t>
        </is>
      </c>
      <c r="D142" t="inlineStr">
        <is>
          <t>rekabumitohlangkir1@gmail.com</t>
        </is>
      </c>
      <c r="E142" t="inlineStr">
        <is>
          <t>https://lpjk.pu.go.id/search-badan-usaha-detail/a1VTRGM4MldMRmovV0RHM0dLb0t4QT09</t>
        </is>
      </c>
      <c r="F142" t="n">
        <v>1</v>
      </c>
      <c r="G142" t="inlineStr">
        <is>
          <t>BS007</t>
        </is>
      </c>
      <c r="H142" t="inlineStr">
        <is>
          <t>8 Desember 2022</t>
        </is>
      </c>
      <c r="I142" s="2" t="n">
        <v>46258</v>
      </c>
      <c r="J142" t="inlineStr">
        <is>
          <t>Disetujui</t>
        </is>
      </c>
      <c r="K142" t="n">
        <v>60</v>
      </c>
      <c r="L142" t="inlineStr">
        <is>
          <t>24 Agustus 2026</t>
        </is>
      </c>
      <c r="M142" t="inlineStr">
        <is>
          <t>Konstruksi Bangunan Sipil Elektrikal</t>
        </is>
      </c>
      <c r="N142" t="inlineStr">
        <is>
          <t>K</t>
        </is>
      </c>
      <c r="O142" t="inlineStr">
        <is>
          <t>20230823</t>
        </is>
      </c>
      <c r="P142" t="inlineStr">
        <is>
          <t>Bali</t>
        </is>
      </c>
      <c r="Q142" t="inlineStr"/>
    </row>
    <row r="143">
      <c r="A143" t="inlineStr">
        <is>
          <t>REZA PRATAMA</t>
        </is>
      </c>
      <c r="B143" t="inlineStr">
        <is>
          <t>Kab. Kutai Timur</t>
        </is>
      </c>
      <c r="C143" t="inlineStr">
        <is>
          <t>082255997597</t>
        </is>
      </c>
      <c r="D143" t="inlineStr">
        <is>
          <t>cv.reza_p@yahoo.com</t>
        </is>
      </c>
      <c r="E143" t="inlineStr">
        <is>
          <t>https://lpjk.pu.go.id/search-badan-usaha-detail/UlFmVlkyeGEzQmJPdWtZbCsxZHlCdz09</t>
        </is>
      </c>
      <c r="F143" t="n">
        <v>1</v>
      </c>
      <c r="G143" t="inlineStr">
        <is>
          <t>BG009</t>
        </is>
      </c>
      <c r="H143" t="inlineStr">
        <is>
          <t>4 Januari 2006</t>
        </is>
      </c>
      <c r="I143" s="2" t="n">
        <v>46258</v>
      </c>
      <c r="J143" t="inlineStr">
        <is>
          <t>Disetujui</t>
        </is>
      </c>
      <c r="K143" t="n">
        <v>60</v>
      </c>
      <c r="L143" t="inlineStr">
        <is>
          <t>24 Agustus 2026</t>
        </is>
      </c>
      <c r="M143" t="inlineStr">
        <is>
          <t>Konstruksi Gedung Lainnya</t>
        </is>
      </c>
      <c r="N143" t="inlineStr">
        <is>
          <t>K</t>
        </is>
      </c>
      <c r="O143" t="inlineStr">
        <is>
          <t>20230824</t>
        </is>
      </c>
      <c r="P143" t="inlineStr">
        <is>
          <t>Kalimantan Timur</t>
        </is>
      </c>
      <c r="Q143" t="inlineStr"/>
    </row>
    <row r="144">
      <c r="A144" t="inlineStr">
        <is>
          <t>REZKY AMELIA MANDIRI</t>
        </is>
      </c>
      <c r="B144" t="inlineStr">
        <is>
          <t>Kab. Kutai Timur</t>
        </is>
      </c>
      <c r="C144" t="inlineStr">
        <is>
          <t>081346292211</t>
        </is>
      </c>
      <c r="D144" t="inlineStr">
        <is>
          <t>isuha3203@gmail.com</t>
        </is>
      </c>
      <c r="E144" t="inlineStr">
        <is>
          <t>https://lpjk.pu.go.id/search-badan-usaha-detail/eDBjTTdqMmxqWHhiQ3RzL2FmSUltUT09</t>
        </is>
      </c>
      <c r="F144" t="n">
        <v>1</v>
      </c>
      <c r="G144" t="inlineStr">
        <is>
          <t>BS001</t>
        </is>
      </c>
      <c r="H144" t="inlineStr">
        <is>
          <t>11 Desember 2020</t>
        </is>
      </c>
      <c r="I144" s="2" t="n">
        <v>46258</v>
      </c>
      <c r="J144" t="inlineStr">
        <is>
          <t>Disetujui</t>
        </is>
      </c>
      <c r="K144" t="n">
        <v>60</v>
      </c>
      <c r="L144" t="inlineStr">
        <is>
          <t>24 Agustus 2026</t>
        </is>
      </c>
      <c r="M144" t="inlineStr">
        <is>
          <t>Konstruksi Bangunan Sipil Jalan</t>
        </is>
      </c>
      <c r="N144" t="inlineStr">
        <is>
          <t>K</t>
        </is>
      </c>
      <c r="O144" t="inlineStr">
        <is>
          <t>20230824</t>
        </is>
      </c>
      <c r="P144" t="inlineStr">
        <is>
          <t>Kalimantan Timur</t>
        </is>
      </c>
      <c r="Q144" t="inlineStr"/>
    </row>
    <row r="145">
      <c r="A145" t="inlineStr">
        <is>
          <t>RIFAL MUNCUL JAYA</t>
        </is>
      </c>
      <c r="B145" t="inlineStr">
        <is>
          <t>Kab. Takalar</t>
        </is>
      </c>
      <c r="C145" t="inlineStr">
        <is>
          <t>085343659801</t>
        </is>
      </c>
      <c r="D145" t="inlineStr">
        <is>
          <t>cvrifalmunculjaya@gmail.com</t>
        </is>
      </c>
      <c r="E145" t="inlineStr">
        <is>
          <t>https://lpjk.pu.go.id/search-badan-usaha-detail/NlhUTkdGQkRDMTFsdG11dFBKcG5rdz09</t>
        </is>
      </c>
      <c r="F145" t="n">
        <v>1</v>
      </c>
      <c r="G145" t="inlineStr">
        <is>
          <t>BG001</t>
        </is>
      </c>
      <c r="H145" t="inlineStr">
        <is>
          <t>25 Juli 2017</t>
        </is>
      </c>
      <c r="I145" s="2" t="n">
        <v>46258</v>
      </c>
      <c r="J145" t="inlineStr">
        <is>
          <t>Disetujui</t>
        </is>
      </c>
      <c r="K145" t="n">
        <v>60</v>
      </c>
      <c r="L145" t="inlineStr">
        <is>
          <t>24 Agustus 2026</t>
        </is>
      </c>
      <c r="M145" t="inlineStr">
        <is>
          <t>Konstruksi Gedung Hunian</t>
        </is>
      </c>
      <c r="N145" t="inlineStr">
        <is>
          <t>K</t>
        </is>
      </c>
      <c r="O145" t="inlineStr">
        <is>
          <t>20230722</t>
        </is>
      </c>
      <c r="P145" t="inlineStr">
        <is>
          <t>Sulawesi Selatan</t>
        </is>
      </c>
      <c r="Q145" t="inlineStr"/>
    </row>
    <row r="146">
      <c r="A146" t="inlineStr">
        <is>
          <t>RIFKI DWI PUTRA</t>
        </is>
      </c>
      <c r="B146" t="inlineStr">
        <is>
          <t>Kab. Bone Bolango</t>
        </is>
      </c>
      <c r="C146" t="inlineStr">
        <is>
          <t>085342650533</t>
        </is>
      </c>
      <c r="D146" t="inlineStr">
        <is>
          <t>buyuagus@gmail.com</t>
        </is>
      </c>
      <c r="E146" t="inlineStr">
        <is>
          <t>https://lpjk.pu.go.id/search-badan-usaha-detail/Y1dKTTdPeGZFVm5rRXc4ditqcEtvdz09</t>
        </is>
      </c>
      <c r="F146" t="n">
        <v>1</v>
      </c>
      <c r="G146" t="inlineStr">
        <is>
          <t>BG002</t>
        </is>
      </c>
      <c r="H146" t="inlineStr">
        <is>
          <t>26 Maret 2007</t>
        </is>
      </c>
      <c r="I146" s="2" t="n">
        <v>46258</v>
      </c>
      <c r="J146" t="inlineStr">
        <is>
          <t>Disetujui</t>
        </is>
      </c>
      <c r="K146" t="n">
        <v>60</v>
      </c>
      <c r="L146" t="inlineStr">
        <is>
          <t>24 Agustus 2026</t>
        </is>
      </c>
      <c r="M146" t="inlineStr">
        <is>
          <t>Konstruksi Gedung Perkantoran</t>
        </is>
      </c>
      <c r="N146" t="inlineStr">
        <is>
          <t>K</t>
        </is>
      </c>
      <c r="O146" t="inlineStr">
        <is>
          <t>20230820</t>
        </is>
      </c>
      <c r="P146" t="inlineStr">
        <is>
          <t>Gorontalo</t>
        </is>
      </c>
      <c r="Q146" t="inlineStr"/>
    </row>
    <row r="147">
      <c r="A147" t="inlineStr">
        <is>
          <t>RIZKI KARYA</t>
        </is>
      </c>
      <c r="B147" t="inlineStr">
        <is>
          <t>Kab. Mandailing Natal</t>
        </is>
      </c>
      <c r="C147" t="inlineStr">
        <is>
          <t>082164575757</t>
        </is>
      </c>
      <c r="D147" t="inlineStr">
        <is>
          <t>rizkikaryacv@gmail.com</t>
        </is>
      </c>
      <c r="E147" t="inlineStr">
        <is>
          <t>https://lpjk.pu.go.id/search-badan-usaha-detail/STgrU1BkTE1CMVZHa1d1ei9IODlSQT09</t>
        </is>
      </c>
      <c r="F147" t="n">
        <v>2</v>
      </c>
      <c r="G147" t="inlineStr">
        <is>
          <t>BS001, BS004</t>
        </is>
      </c>
      <c r="H147" t="inlineStr">
        <is>
          <t>15 September 2014</t>
        </is>
      </c>
      <c r="I147" s="2" t="n">
        <v>46258</v>
      </c>
      <c r="J147" t="inlineStr">
        <is>
          <t>Disetujui, Pencabutan</t>
        </is>
      </c>
      <c r="K147" t="n">
        <v>60</v>
      </c>
      <c r="L147" t="inlineStr">
        <is>
          <t>24 Agustus 2026</t>
        </is>
      </c>
      <c r="M147" t="inlineStr">
        <is>
          <t>Konstruksi Bangunan Sipil Jalan, Konstruksi Jaringan Irigasi dan Drainase</t>
        </is>
      </c>
      <c r="N147" t="inlineStr">
        <is>
          <t>K</t>
        </is>
      </c>
      <c r="O147" t="inlineStr">
        <is>
          <t>20230817</t>
        </is>
      </c>
      <c r="P147" t="inlineStr">
        <is>
          <t>Sumatera Utara</t>
        </is>
      </c>
      <c r="Q147" t="inlineStr"/>
    </row>
    <row r="148">
      <c r="A148" t="inlineStr">
        <is>
          <t>RONA LESTARI</t>
        </is>
      </c>
      <c r="B148" t="inlineStr">
        <is>
          <t>Kab. Minahasa Tenggara</t>
        </is>
      </c>
      <c r="C148" t="inlineStr">
        <is>
          <t>08114317171</t>
        </is>
      </c>
      <c r="D148" t="inlineStr">
        <is>
          <t>ronalestari.cv@gmail.com</t>
        </is>
      </c>
      <c r="E148" t="inlineStr">
        <is>
          <t>https://lpjk.pu.go.id/search-badan-usaha-detail/MVExZEJzRHBoQUt4RTJ0Q0s5bnFBZz09</t>
        </is>
      </c>
      <c r="F148" t="n">
        <v>1</v>
      </c>
      <c r="G148" t="inlineStr">
        <is>
          <t>BG002</t>
        </is>
      </c>
      <c r="H148" t="inlineStr">
        <is>
          <t>15 September 2009</t>
        </is>
      </c>
      <c r="I148" s="2" t="n">
        <v>46258</v>
      </c>
      <c r="J148" t="inlineStr">
        <is>
          <t>Pencabutan</t>
        </is>
      </c>
      <c r="K148" t="n">
        <v>60</v>
      </c>
      <c r="L148" t="inlineStr">
        <is>
          <t>24 Agustus 2026</t>
        </is>
      </c>
      <c r="M148" t="inlineStr">
        <is>
          <t>Konstruksi Gedung Perkantoran</t>
        </is>
      </c>
      <c r="N148" t="inlineStr">
        <is>
          <t>K</t>
        </is>
      </c>
      <c r="O148" t="inlineStr">
        <is>
          <t>20230823</t>
        </is>
      </c>
      <c r="P148" t="inlineStr">
        <is>
          <t>Sulawesi Utara</t>
        </is>
      </c>
      <c r="Q148" t="inlineStr"/>
    </row>
    <row r="149">
      <c r="A149" t="inlineStr">
        <is>
          <t>SADAR INSAN BERKAH</t>
        </is>
      </c>
      <c r="B149" t="inlineStr">
        <is>
          <t>Kota Surabaya</t>
        </is>
      </c>
      <c r="C149" t="inlineStr">
        <is>
          <t>081554539992</t>
        </is>
      </c>
      <c r="D149" t="inlineStr">
        <is>
          <t>sadarinsanberkah99@gmail.com</t>
        </is>
      </c>
      <c r="E149" t="inlineStr">
        <is>
          <t>https://lpjk.pu.go.id/search-badan-usaha-detail/RmlhM0JGZUc1MWdLb0ZraGRsa2NBUT09</t>
        </is>
      </c>
      <c r="F149" t="n">
        <v>2</v>
      </c>
      <c r="G149" t="inlineStr">
        <is>
          <t>BS001</t>
        </is>
      </c>
      <c r="H149" t="inlineStr">
        <is>
          <t>8 Januari 2018</t>
        </is>
      </c>
      <c r="I149" s="2" t="n">
        <v>46258</v>
      </c>
      <c r="J149" t="inlineStr">
        <is>
          <t>Disetujui</t>
        </is>
      </c>
      <c r="K149" t="n">
        <v>60</v>
      </c>
      <c r="L149" t="inlineStr">
        <is>
          <t>24 Agustus 2026</t>
        </is>
      </c>
      <c r="M149" t="inlineStr">
        <is>
          <t>Konstruksi Bangunan Sipil Jalan</t>
        </is>
      </c>
      <c r="N149" t="inlineStr">
        <is>
          <t>K</t>
        </is>
      </c>
      <c r="O149" t="inlineStr">
        <is>
          <t>20230824</t>
        </is>
      </c>
      <c r="P149" t="inlineStr">
        <is>
          <t>Jawa Timur</t>
        </is>
      </c>
      <c r="Q149" t="inlineStr"/>
    </row>
    <row r="150">
      <c r="A150" t="inlineStr">
        <is>
          <t>SAR GEDE</t>
        </is>
      </c>
      <c r="B150" t="inlineStr">
        <is>
          <t>Kab. Jepara</t>
        </is>
      </c>
      <c r="C150" t="inlineStr">
        <is>
          <t>081326212739</t>
        </is>
      </c>
      <c r="D150" t="inlineStr">
        <is>
          <t>sargedecv@gmail.com</t>
        </is>
      </c>
      <c r="E150" t="inlineStr">
        <is>
          <t>https://lpjk.pu.go.id/search-badan-usaha-detail/ZkpkNk9ndUJySmZvMVF1dFVMTE55UT09</t>
        </is>
      </c>
      <c r="F150" t="n">
        <v>2</v>
      </c>
      <c r="G150" t="inlineStr">
        <is>
          <t>BS001, BS005</t>
        </is>
      </c>
      <c r="H150" t="inlineStr">
        <is>
          <t>17 Desember 2007</t>
        </is>
      </c>
      <c r="I150" s="2" t="n">
        <v>46258</v>
      </c>
      <c r="J150" t="inlineStr">
        <is>
          <t>Disetujui</t>
        </is>
      </c>
      <c r="K150" t="n">
        <v>60</v>
      </c>
      <c r="L150" t="inlineStr">
        <is>
          <t>24 Agustus 2026</t>
        </is>
      </c>
      <c r="M150" t="inlineStr">
        <is>
          <t>Konstruksi Bangunan Sipil Jalan, Konstruksi Bangunan Sipil Pengolahan Air Bersih</t>
        </is>
      </c>
      <c r="N150" t="inlineStr">
        <is>
          <t>K</t>
        </is>
      </c>
      <c r="O150" t="inlineStr">
        <is>
          <t>20230817</t>
        </is>
      </c>
      <c r="P150" t="inlineStr">
        <is>
          <t>Jawa Tengah</t>
        </is>
      </c>
      <c r="Q150" t="inlineStr"/>
    </row>
    <row r="151">
      <c r="A151" t="inlineStr">
        <is>
          <t>SARAH PRIMA KENCANA</t>
        </is>
      </c>
      <c r="B151" t="inlineStr">
        <is>
          <t>Kab. Garut</t>
        </is>
      </c>
      <c r="C151" t="inlineStr">
        <is>
          <t>08122226395</t>
        </is>
      </c>
      <c r="D151" t="inlineStr">
        <is>
          <t>ptsarahprimakencana@gmail.com</t>
        </is>
      </c>
      <c r="E151" t="inlineStr">
        <is>
          <t>https://lpjk.pu.go.id/search-badan-usaha-detail/WU5IcUxzRXZjNWJzbXM3MFBjMVFodz09</t>
        </is>
      </c>
      <c r="F151" t="n">
        <v>5</v>
      </c>
      <c r="G151" t="inlineStr">
        <is>
          <t>BG002, BG004, BG005, BG006, BG009</t>
        </is>
      </c>
      <c r="H151" t="inlineStr">
        <is>
          <t>14 Agustus 2023</t>
        </is>
      </c>
      <c r="I151" s="2" t="n">
        <v>46258</v>
      </c>
      <c r="J151" t="inlineStr">
        <is>
          <t>Disetujui</t>
        </is>
      </c>
      <c r="K151" t="n">
        <v>60</v>
      </c>
      <c r="L151" t="inlineStr">
        <is>
          <t>24 Agustus 2026</t>
        </is>
      </c>
      <c r="M151" t="inlineStr">
        <is>
          <t>Konstruksi Gedung Kesehatan, Konstruksi Gedung Lainnya, Konstruksi Gedung Pendidikan, Konstruksi Gedung Perbelanjaan, Konstruksi Gedung Perkantoran</t>
        </is>
      </c>
      <c r="N151" t="inlineStr">
        <is>
          <t>K</t>
        </is>
      </c>
      <c r="O151" t="inlineStr">
        <is>
          <t>20230824</t>
        </is>
      </c>
      <c r="P151" t="inlineStr">
        <is>
          <t>Jawa Barat</t>
        </is>
      </c>
      <c r="Q151" t="inlineStr"/>
    </row>
    <row r="152">
      <c r="A152" t="inlineStr">
        <is>
          <t>SARANA ABADI JAYA RAYA</t>
        </is>
      </c>
      <c r="B152" t="inlineStr">
        <is>
          <t>Kab. Karawang</t>
        </is>
      </c>
      <c r="C152" t="inlineStr">
        <is>
          <t>082213858951</t>
        </is>
      </c>
      <c r="D152" t="inlineStr">
        <is>
          <t>abadi_sarana@yahoo.com</t>
        </is>
      </c>
      <c r="E152" t="inlineStr">
        <is>
          <t>https://lpjk.pu.go.id/search-badan-usaha-detail/eVpIOFBsQkxySWhqREd4d1liY1MrUT09</t>
        </is>
      </c>
      <c r="F152" t="n">
        <v>1</v>
      </c>
      <c r="G152" t="inlineStr">
        <is>
          <t>IN001</t>
        </is>
      </c>
      <c r="H152" t="inlineStr">
        <is>
          <t>3 September 2014</t>
        </is>
      </c>
      <c r="I152" s="2" t="n">
        <v>46258</v>
      </c>
      <c r="J152" t="inlineStr">
        <is>
          <t>Disetujui</t>
        </is>
      </c>
      <c r="K152" t="n">
        <v>60</v>
      </c>
      <c r="L152" t="inlineStr">
        <is>
          <t>24 Agustus 2026</t>
        </is>
      </c>
      <c r="M152" t="inlineStr">
        <is>
          <t>Instalasi Mekanikal</t>
        </is>
      </c>
      <c r="N152" t="inlineStr">
        <is>
          <t>Spesialis</t>
        </is>
      </c>
      <c r="O152" t="inlineStr">
        <is>
          <t>20230823</t>
        </is>
      </c>
      <c r="P152" t="inlineStr">
        <is>
          <t>Jawa Barat</t>
        </is>
      </c>
      <c r="Q152" t="inlineStr"/>
    </row>
    <row r="153">
      <c r="A153" t="inlineStr">
        <is>
          <t>SEMERU SAKTI PRATAMA</t>
        </is>
      </c>
      <c r="B153" t="inlineStr">
        <is>
          <t>Kab. Jember</t>
        </is>
      </c>
      <c r="C153" t="inlineStr">
        <is>
          <t>089652258487</t>
        </is>
      </c>
      <c r="D153" t="inlineStr">
        <is>
          <t>Joni.supardianto@gmail.com</t>
        </is>
      </c>
      <c r="E153" t="inlineStr">
        <is>
          <t>https://lpjk.pu.go.id/search-badan-usaha-detail/dmY3VjEreUtnNUpDZ2hqdnNwOVFEZz09</t>
        </is>
      </c>
      <c r="F153" t="n">
        <v>1</v>
      </c>
      <c r="G153" t="inlineStr">
        <is>
          <t>BS001</t>
        </is>
      </c>
      <c r="H153" t="inlineStr">
        <is>
          <t>13 April 2022</t>
        </is>
      </c>
      <c r="I153" s="2" t="n">
        <v>46258</v>
      </c>
      <c r="J153" t="inlineStr">
        <is>
          <t>Pencabutan</t>
        </is>
      </c>
      <c r="K153" t="n">
        <v>60</v>
      </c>
      <c r="L153" t="inlineStr">
        <is>
          <t>24 Agustus 2026</t>
        </is>
      </c>
      <c r="M153" t="inlineStr">
        <is>
          <t>Konstruksi Bangunan Sipil Jalan</t>
        </is>
      </c>
      <c r="N153" t="inlineStr">
        <is>
          <t>K</t>
        </is>
      </c>
      <c r="O153" t="inlineStr">
        <is>
          <t>20230824</t>
        </is>
      </c>
      <c r="P153" t="inlineStr">
        <is>
          <t>Jawa Timur</t>
        </is>
      </c>
      <c r="Q153" t="inlineStr"/>
    </row>
    <row r="154">
      <c r="A154" t="inlineStr">
        <is>
          <t>SINERGI JAYA MANDIRI</t>
        </is>
      </c>
      <c r="B154" t="inlineStr">
        <is>
          <t>Kab. Magelang</t>
        </is>
      </c>
      <c r="C154" t="inlineStr">
        <is>
          <t>087834490050</t>
        </is>
      </c>
      <c r="D154" t="inlineStr">
        <is>
          <t>cv.sijaman@gmail.com</t>
        </is>
      </c>
      <c r="E154" t="inlineStr">
        <is>
          <t>https://lpjk.pu.go.id/search-badan-usaha-detail/MXp2OTAzQmVOY3NSMzdNaFdXSmtmQT09</t>
        </is>
      </c>
      <c r="F154" t="n">
        <v>3</v>
      </c>
      <c r="G154" t="inlineStr">
        <is>
          <t>BG002, BG005, BS001</t>
        </is>
      </c>
      <c r="H154" t="inlineStr">
        <is>
          <t>6 Januari 2021</t>
        </is>
      </c>
      <c r="I154" s="2" t="n">
        <v>46258</v>
      </c>
      <c r="J154" t="inlineStr">
        <is>
          <t>Disetujui</t>
        </is>
      </c>
      <c r="K154" t="n">
        <v>60</v>
      </c>
      <c r="L154" t="inlineStr">
        <is>
          <t>24 Agustus 2026</t>
        </is>
      </c>
      <c r="M154" t="inlineStr">
        <is>
          <t>Konstruksi Bangunan Sipil Jalan, Konstruksi Gedung Kesehatan, Konstruksi Gedung Perkantoran</t>
        </is>
      </c>
      <c r="N154" t="inlineStr">
        <is>
          <t>K</t>
        </is>
      </c>
      <c r="O154" t="inlineStr">
        <is>
          <t>20230824</t>
        </is>
      </c>
      <c r="P154" t="inlineStr">
        <is>
          <t>Jawa Tengah</t>
        </is>
      </c>
      <c r="Q154" t="inlineStr"/>
    </row>
    <row r="155">
      <c r="A155" t="inlineStr">
        <is>
          <t>SIPAKKO JAYA ABADI</t>
        </is>
      </c>
      <c r="B155" t="inlineStr">
        <is>
          <t>Kota Pekanbaru</t>
        </is>
      </c>
      <c r="C155" t="inlineStr">
        <is>
          <t>081257789081</t>
        </is>
      </c>
      <c r="D155" t="inlineStr">
        <is>
          <t>pt.sipakkojayaabadi@gmail.com</t>
        </is>
      </c>
      <c r="E155" t="inlineStr">
        <is>
          <t>https://lpjk.pu.go.id/search-badan-usaha-detail/M3lpYjJUZnFGTGlRZnJZWDVIK3dSZz09</t>
        </is>
      </c>
      <c r="F155" t="n">
        <v>1</v>
      </c>
      <c r="G155" t="inlineStr">
        <is>
          <t>IN003</t>
        </is>
      </c>
      <c r="H155" t="inlineStr">
        <is>
          <t>1 Januari 2018</t>
        </is>
      </c>
      <c r="I155" s="2" t="n">
        <v>46258</v>
      </c>
      <c r="J155" t="inlineStr">
        <is>
          <t>Pencabutan</t>
        </is>
      </c>
      <c r="K155" t="n">
        <v>60</v>
      </c>
      <c r="L155" t="inlineStr">
        <is>
          <t>24 Agustus 2026</t>
        </is>
      </c>
      <c r="M155" t="inlineStr">
        <is>
          <t>Instalasi Peralatan Infrastruktur Pertambangan dan Manufaktur</t>
        </is>
      </c>
      <c r="N155" t="inlineStr">
        <is>
          <t>Spesialis</t>
        </is>
      </c>
      <c r="O155" t="inlineStr">
        <is>
          <t>20230825</t>
        </is>
      </c>
      <c r="P155" t="inlineStr">
        <is>
          <t>Riau</t>
        </is>
      </c>
      <c r="Q155" t="inlineStr"/>
    </row>
    <row r="156">
      <c r="A156" t="inlineStr">
        <is>
          <t>SUMBER WADI</t>
        </is>
      </c>
      <c r="B156" t="inlineStr">
        <is>
          <t>Kota Medan</t>
        </is>
      </c>
      <c r="C156" t="inlineStr">
        <is>
          <t>085261666601</t>
        </is>
      </c>
      <c r="D156" t="inlineStr">
        <is>
          <t>sumber_wadi.cv@yahoo.com</t>
        </is>
      </c>
      <c r="E156" t="inlineStr">
        <is>
          <t>https://lpjk.pu.go.id/search-badan-usaha-detail/emZpMDFRVlc0N2wwSTlXaEg5eTlzdz09</t>
        </is>
      </c>
      <c r="F156" t="n">
        <v>1</v>
      </c>
      <c r="G156" t="inlineStr">
        <is>
          <t>BS002</t>
        </is>
      </c>
      <c r="H156" t="inlineStr">
        <is>
          <t>7 November 2012</t>
        </is>
      </c>
      <c r="I156" s="2" t="n">
        <v>46258</v>
      </c>
      <c r="J156" t="inlineStr">
        <is>
          <t>Pencabutan</t>
        </is>
      </c>
      <c r="K156" t="n">
        <v>60</v>
      </c>
      <c r="L156" t="inlineStr">
        <is>
          <t>24 Agustus 2026</t>
        </is>
      </c>
      <c r="M156" t="inlineStr">
        <is>
          <t>Bangunan Sipil Jembatan, Jalan Layang, Fly Over, dan Underpass</t>
        </is>
      </c>
      <c r="N156" t="inlineStr">
        <is>
          <t>K</t>
        </is>
      </c>
      <c r="O156" t="inlineStr">
        <is>
          <t>20230824</t>
        </is>
      </c>
      <c r="P156" t="inlineStr">
        <is>
          <t>Sumatera Utara</t>
        </is>
      </c>
      <c r="Q156" t="inlineStr"/>
    </row>
    <row r="157">
      <c r="A157" t="inlineStr">
        <is>
          <t>SURYA PUTRA MANDIRI</t>
        </is>
      </c>
      <c r="B157" t="inlineStr">
        <is>
          <t>Kota Serang</t>
        </is>
      </c>
      <c r="C157" t="inlineStr">
        <is>
          <t>08111232313</t>
        </is>
      </c>
      <c r="D157" t="inlineStr">
        <is>
          <t>suryaputramandiri03@gmail.com</t>
        </is>
      </c>
      <c r="E157" t="inlineStr">
        <is>
          <t>https://lpjk.pu.go.id/search-badan-usaha-detail/UmZaNGdNY00wMzF2elowSGRhcWMvdz09</t>
        </is>
      </c>
      <c r="F157" t="n">
        <v>2</v>
      </c>
      <c r="G157" t="inlineStr">
        <is>
          <t>BG001, BG006</t>
        </is>
      </c>
      <c r="H157" t="inlineStr">
        <is>
          <t>6 Februari 2014</t>
        </is>
      </c>
      <c r="I157" s="2" t="n">
        <v>46258</v>
      </c>
      <c r="J157" t="inlineStr">
        <is>
          <t>Disetujui</t>
        </is>
      </c>
      <c r="K157" t="n">
        <v>60</v>
      </c>
      <c r="L157" t="inlineStr">
        <is>
          <t>24 Agustus 2026</t>
        </is>
      </c>
      <c r="M157" t="inlineStr">
        <is>
          <t>Konstruksi Gedung Hunian, Konstruksi Gedung Pendidikan</t>
        </is>
      </c>
      <c r="N157" t="inlineStr">
        <is>
          <t>K</t>
        </is>
      </c>
      <c r="O157" t="inlineStr">
        <is>
          <t>20230815</t>
        </is>
      </c>
      <c r="P157" t="inlineStr">
        <is>
          <t>Banten</t>
        </is>
      </c>
      <c r="Q157" t="inlineStr"/>
    </row>
    <row r="158">
      <c r="A158" t="inlineStr">
        <is>
          <t>TATA BUMI NUSANTARA CONSULTANT</t>
        </is>
      </c>
      <c r="B158" t="inlineStr">
        <is>
          <t>Kab. Buton Utara</t>
        </is>
      </c>
      <c r="C158" t="inlineStr">
        <is>
          <t>085256987956</t>
        </is>
      </c>
      <c r="D158" t="inlineStr">
        <is>
          <t>consultanttatabuminusantara@gmail.com</t>
        </is>
      </c>
      <c r="E158" t="inlineStr">
        <is>
          <t>https://lpjk.pu.go.id/search-badan-usaha-detail/ZDhJbkhPcHhmenRZYTBWZTByQlNNQT09</t>
        </is>
      </c>
      <c r="F158" t="n">
        <v>3</v>
      </c>
      <c r="G158" t="inlineStr">
        <is>
          <t>RK001, RK002, RK003</t>
        </is>
      </c>
      <c r="H158" t="inlineStr">
        <is>
          <t>20 Maret 2021</t>
        </is>
      </c>
      <c r="I158" s="2" t="n">
        <v>46258</v>
      </c>
      <c r="J158" t="inlineStr">
        <is>
          <t>Disetujui</t>
        </is>
      </c>
      <c r="K158" t="n">
        <v>60</v>
      </c>
      <c r="L158" t="inlineStr">
        <is>
          <t>24 Agustus 2026</t>
        </is>
      </c>
      <c r="M158" t="inlineStr">
        <is>
          <t>Jasa Rekayasa Konstruksi Bangunan Gedung Hunian dan Non Hunian, Jasa Rekayasa Pekerjaan Teknik Sipil Sumber Daya Air, Jasa Rekayasa Pekerjaan Teknik Sipil Transportasi</t>
        </is>
      </c>
      <c r="N158" t="inlineStr">
        <is>
          <t>K</t>
        </is>
      </c>
      <c r="O158" t="inlineStr">
        <is>
          <t>20230801</t>
        </is>
      </c>
      <c r="P158" t="inlineStr">
        <is>
          <t>Sulawesi Tenggara</t>
        </is>
      </c>
      <c r="Q158" t="inlineStr"/>
    </row>
    <row r="159">
      <c r="A159" t="inlineStr">
        <is>
          <t>TEKNIKA ENJINIRING SERVIS</t>
        </is>
      </c>
      <c r="B159" t="inlineStr">
        <is>
          <t>Kota Bandung</t>
        </is>
      </c>
      <c r="C159" t="inlineStr">
        <is>
          <t>082321572917</t>
        </is>
      </c>
      <c r="D159" t="inlineStr">
        <is>
          <t>teknikaenjineringservis@gmail.com</t>
        </is>
      </c>
      <c r="E159" t="inlineStr">
        <is>
          <t>https://lpjk.pu.go.id/search-badan-usaha-detail/dXZ6LzVMZVNFQnpuYzZwZ2V1ZWZsdz09</t>
        </is>
      </c>
      <c r="F159" t="n">
        <v>2</v>
      </c>
      <c r="G159" t="inlineStr">
        <is>
          <t>IN001</t>
        </is>
      </c>
      <c r="H159" t="inlineStr">
        <is>
          <t>1 Februari 2021</t>
        </is>
      </c>
      <c r="I159" s="2" t="n">
        <v>46258</v>
      </c>
      <c r="J159" t="inlineStr">
        <is>
          <t>Pembekuan</t>
        </is>
      </c>
      <c r="K159" t="n">
        <v>60</v>
      </c>
      <c r="L159" t="inlineStr">
        <is>
          <t>24 Agustus 2026</t>
        </is>
      </c>
      <c r="M159" t="inlineStr">
        <is>
          <t>Instalasi Mekanikal</t>
        </is>
      </c>
      <c r="N159" t="inlineStr">
        <is>
          <t>Spesialis</t>
        </is>
      </c>
      <c r="O159" t="inlineStr">
        <is>
          <t>20230531</t>
        </is>
      </c>
      <c r="P159" t="inlineStr">
        <is>
          <t>Jawa Barat</t>
        </is>
      </c>
      <c r="Q159" t="inlineStr"/>
    </row>
    <row r="160">
      <c r="A160" t="inlineStr">
        <is>
          <t>TIGA BERSAUDARA</t>
        </is>
      </c>
      <c r="B160" t="inlineStr">
        <is>
          <t>Kota Tangerang</t>
        </is>
      </c>
      <c r="C160" t="inlineStr">
        <is>
          <t>081296127778</t>
        </is>
      </c>
      <c r="D160" t="inlineStr">
        <is>
          <t>tiga_bersaudara01@yahoo.com</t>
        </is>
      </c>
      <c r="E160" t="inlineStr">
        <is>
          <t>https://lpjk.pu.go.id/search-badan-usaha-detail/cEFpN1NjOWdqN3RVSzFETjV3RmJMdz09</t>
        </is>
      </c>
      <c r="F160" t="n">
        <v>3</v>
      </c>
      <c r="G160" t="inlineStr">
        <is>
          <t>BG009, BS001, BS004</t>
        </is>
      </c>
      <c r="H160" t="inlineStr">
        <is>
          <t>9 Maret 2018</t>
        </is>
      </c>
      <c r="I160" s="2" t="n">
        <v>46258</v>
      </c>
      <c r="J160" t="inlineStr">
        <is>
          <t>Disetujui</t>
        </is>
      </c>
      <c r="K160" t="n">
        <v>60</v>
      </c>
      <c r="L160" t="inlineStr">
        <is>
          <t>24 Agustus 2026</t>
        </is>
      </c>
      <c r="M160" t="inlineStr">
        <is>
          <t>Konstruksi Bangunan Sipil Jalan, Konstruksi Gedung Lainnya, Konstruksi Jaringan Irigasi dan Drainase</t>
        </is>
      </c>
      <c r="N160" t="inlineStr">
        <is>
          <t>K</t>
        </is>
      </c>
      <c r="O160" t="inlineStr">
        <is>
          <t>20230722, 20230823</t>
        </is>
      </c>
      <c r="P160" t="inlineStr">
        <is>
          <t>Banten</t>
        </is>
      </c>
      <c r="Q160" t="inlineStr"/>
    </row>
    <row r="161">
      <c r="A161" t="inlineStr">
        <is>
          <t>TIGA DZ BERSAUDARA</t>
        </is>
      </c>
      <c r="B161" t="inlineStr">
        <is>
          <t>Kab. Kampar</t>
        </is>
      </c>
      <c r="C161" t="inlineStr">
        <is>
          <t>082172737146</t>
        </is>
      </c>
      <c r="D161" t="inlineStr">
        <is>
          <t>cvtigadzbersaudara@gmail.com</t>
        </is>
      </c>
      <c r="E161" t="inlineStr">
        <is>
          <t>https://lpjk.pu.go.id/search-badan-usaha-detail/bnFZVFV1QkdlampPbXM2Zkw2WENjQT09</t>
        </is>
      </c>
      <c r="F161" t="n">
        <v>1</v>
      </c>
      <c r="G161" t="inlineStr">
        <is>
          <t>BG006</t>
        </is>
      </c>
      <c r="H161" t="inlineStr">
        <is>
          <t>16 Januari 2024</t>
        </is>
      </c>
      <c r="I161" s="2" t="n">
        <v>46258</v>
      </c>
      <c r="J161" t="inlineStr">
        <is>
          <t>Disetujui</t>
        </is>
      </c>
      <c r="K161" t="n">
        <v>60</v>
      </c>
      <c r="L161" t="inlineStr">
        <is>
          <t>24 Agustus 2026</t>
        </is>
      </c>
      <c r="M161" t="inlineStr">
        <is>
          <t>Konstruksi Gedung Pendidikan</t>
        </is>
      </c>
      <c r="N161" t="inlineStr">
        <is>
          <t>K</t>
        </is>
      </c>
      <c r="O161" t="inlineStr">
        <is>
          <t>20230812</t>
        </is>
      </c>
      <c r="P161" t="inlineStr">
        <is>
          <t>Riau</t>
        </is>
      </c>
      <c r="Q161" t="inlineStr"/>
    </row>
    <row r="162">
      <c r="A162" t="inlineStr">
        <is>
          <t>TIGA PUTRI</t>
        </is>
      </c>
      <c r="B162" t="inlineStr">
        <is>
          <t>Kota Solok</t>
        </is>
      </c>
      <c r="C162" t="inlineStr">
        <is>
          <t>08126712750</t>
        </is>
      </c>
      <c r="D162" t="inlineStr">
        <is>
          <t>cvtigaputri10@gmail.com</t>
        </is>
      </c>
      <c r="E162" t="inlineStr">
        <is>
          <t>https://lpjk.pu.go.id/search-badan-usaha-detail/OFhlYlZDWmJLVzRsVjhhc05ESTRoZz09</t>
        </is>
      </c>
      <c r="F162" t="n">
        <v>1</v>
      </c>
      <c r="G162" t="inlineStr">
        <is>
          <t>BS001</t>
        </is>
      </c>
      <c r="H162" t="inlineStr">
        <is>
          <t>27 Mei 2016</t>
        </is>
      </c>
      <c r="I162" s="2" t="n">
        <v>46258</v>
      </c>
      <c r="J162" t="inlineStr">
        <is>
          <t>Disetujui</t>
        </is>
      </c>
      <c r="K162" t="n">
        <v>60</v>
      </c>
      <c r="L162" t="inlineStr">
        <is>
          <t>24 Agustus 2026</t>
        </is>
      </c>
      <c r="M162" t="inlineStr">
        <is>
          <t>Konstruksi Bangunan Sipil Jalan</t>
        </is>
      </c>
      <c r="N162" t="inlineStr">
        <is>
          <t>K</t>
        </is>
      </c>
      <c r="O162" t="inlineStr">
        <is>
          <t>20230824</t>
        </is>
      </c>
      <c r="P162" t="inlineStr">
        <is>
          <t>Sumatera Barat</t>
        </is>
      </c>
      <c r="Q162" t="inlineStr"/>
    </row>
    <row r="163">
      <c r="A163" t="inlineStr">
        <is>
          <t>TRI JAYA SAKTI</t>
        </is>
      </c>
      <c r="B163" t="inlineStr">
        <is>
          <t>Kab. Labuhanbatu</t>
        </is>
      </c>
      <c r="C163" t="inlineStr">
        <is>
          <t>082385655478</t>
        </is>
      </c>
      <c r="D163" t="inlineStr">
        <is>
          <t>cvtrijayasakti01@gmail.com</t>
        </is>
      </c>
      <c r="E163" t="inlineStr">
        <is>
          <t>https://lpjk.pu.go.id/search-badan-usaha-detail/ZENSL0VpeWVHZ2YwN2VSK3ZSVTYxZz09</t>
        </is>
      </c>
      <c r="F163" t="n">
        <v>1</v>
      </c>
      <c r="G163" t="inlineStr">
        <is>
          <t>BS004</t>
        </is>
      </c>
      <c r="H163" t="inlineStr">
        <is>
          <t>27 Oktober 2009</t>
        </is>
      </c>
      <c r="I163" s="2" t="n">
        <v>46258</v>
      </c>
      <c r="J163" t="inlineStr">
        <is>
          <t>Disetujui</t>
        </is>
      </c>
      <c r="K163" t="n">
        <v>60</v>
      </c>
      <c r="L163" t="inlineStr">
        <is>
          <t>24 Agustus 2026</t>
        </is>
      </c>
      <c r="M163" t="inlineStr">
        <is>
          <t>Konstruksi Jaringan Irigasi dan Drainase</t>
        </is>
      </c>
      <c r="N163" t="inlineStr">
        <is>
          <t>K</t>
        </is>
      </c>
      <c r="O163" t="inlineStr">
        <is>
          <t>20230825</t>
        </is>
      </c>
      <c r="P163" t="inlineStr">
        <is>
          <t>Sumatera Utara</t>
        </is>
      </c>
      <c r="Q163" t="inlineStr"/>
    </row>
    <row r="164">
      <c r="A164" t="inlineStr">
        <is>
          <t>TRIMULIA PRIMA PERKASA</t>
        </is>
      </c>
      <c r="B164" t="inlineStr">
        <is>
          <t>Kab. Wonogiri</t>
        </is>
      </c>
      <c r="C164" t="inlineStr">
        <is>
          <t>081210287777</t>
        </is>
      </c>
      <c r="D164" t="inlineStr">
        <is>
          <t>triy4tno@gmail.com</t>
        </is>
      </c>
      <c r="E164" t="inlineStr">
        <is>
          <t>https://lpjk.pu.go.id/search-badan-usaha-detail/ZGxKdDVDd1BDUzFjLzM5Ymplbm4xZz09</t>
        </is>
      </c>
      <c r="F164" t="n">
        <v>4</v>
      </c>
      <c r="G164" t="inlineStr">
        <is>
          <t>BG009, BS001</t>
        </is>
      </c>
      <c r="H164" t="inlineStr">
        <is>
          <t>26 Desember 2018</t>
        </is>
      </c>
      <c r="I164" s="2" t="n">
        <v>46258</v>
      </c>
      <c r="J164" t="inlineStr">
        <is>
          <t>Disetujui</t>
        </is>
      </c>
      <c r="K164" t="n">
        <v>60</v>
      </c>
      <c r="L164" t="inlineStr">
        <is>
          <t>24 Agustus 2026</t>
        </is>
      </c>
      <c r="M164" t="inlineStr">
        <is>
          <t>Konstruksi Bangunan Sipil Jalan, Konstruksi Gedung Lainnya</t>
        </is>
      </c>
      <c r="N164" t="inlineStr">
        <is>
          <t>K</t>
        </is>
      </c>
      <c r="O164" t="inlineStr">
        <is>
          <t>20230809, 20230818</t>
        </is>
      </c>
      <c r="P164" t="inlineStr">
        <is>
          <t>Jawa Tengah</t>
        </is>
      </c>
      <c r="Q164" t="inlineStr"/>
    </row>
    <row r="165">
      <c r="A165" t="inlineStr">
        <is>
          <t>TRIPLE ANTANG PERKASA</t>
        </is>
      </c>
      <c r="B165" t="inlineStr">
        <is>
          <t>Kota Palangkaraya</t>
        </is>
      </c>
      <c r="C165" t="inlineStr">
        <is>
          <t>082251222586</t>
        </is>
      </c>
      <c r="D165" t="inlineStr">
        <is>
          <t>cvtripleantangperkasa@gmail.com</t>
        </is>
      </c>
      <c r="E165" t="inlineStr">
        <is>
          <t>https://lpjk.pu.go.id/search-badan-usaha-detail/TDdzZlJJRk1ySVJ2VUI0ZmE4c2hWUT09</t>
        </is>
      </c>
      <c r="F165" t="n">
        <v>1</v>
      </c>
      <c r="G165" t="inlineStr">
        <is>
          <t>BG001</t>
        </is>
      </c>
      <c r="H165" t="inlineStr">
        <is>
          <t>12 Juni 2023</t>
        </is>
      </c>
      <c r="I165" s="2" t="n">
        <v>46258</v>
      </c>
      <c r="J165" t="inlineStr">
        <is>
          <t>Disetujui</t>
        </is>
      </c>
      <c r="K165" t="n">
        <v>60</v>
      </c>
      <c r="L165" t="inlineStr">
        <is>
          <t>24 Agustus 2026</t>
        </is>
      </c>
      <c r="M165" t="inlineStr">
        <is>
          <t>Konstruksi Gedung Hunian</t>
        </is>
      </c>
      <c r="N165" t="inlineStr">
        <is>
          <t>K</t>
        </is>
      </c>
      <c r="O165" t="inlineStr">
        <is>
          <t>20230825</t>
        </is>
      </c>
      <c r="P165" t="inlineStr">
        <is>
          <t>Kalimantan Tengah</t>
        </is>
      </c>
      <c r="Q165" t="inlineStr"/>
    </row>
    <row r="166">
      <c r="A166" t="inlineStr">
        <is>
          <t>TUAI SEJAHTERA</t>
        </is>
      </c>
      <c r="B166" t="inlineStr">
        <is>
          <t>Kab. Bandung</t>
        </is>
      </c>
      <c r="C166" t="inlineStr">
        <is>
          <t>0811201605</t>
        </is>
      </c>
      <c r="D166" t="inlineStr">
        <is>
          <t>cvtuaisejahtera@gmail.com</t>
        </is>
      </c>
      <c r="E166" t="inlineStr">
        <is>
          <t>https://lpjk.pu.go.id/search-badan-usaha-detail/MTdYeWxtRUxINGJwKzl5b1JFdE1QQT09</t>
        </is>
      </c>
      <c r="F166" t="n">
        <v>1</v>
      </c>
      <c r="G166" t="inlineStr">
        <is>
          <t>BG006</t>
        </is>
      </c>
      <c r="H166" t="inlineStr">
        <is>
          <t>20 Desember 2011</t>
        </is>
      </c>
      <c r="I166" s="2" t="n">
        <v>46258</v>
      </c>
      <c r="J166" t="inlineStr">
        <is>
          <t>Disetujui</t>
        </is>
      </c>
      <c r="K166" t="n">
        <v>60</v>
      </c>
      <c r="L166" t="inlineStr">
        <is>
          <t>24 Agustus 2026</t>
        </is>
      </c>
      <c r="M166" t="inlineStr">
        <is>
          <t>Konstruksi Gedung Pendidikan</t>
        </is>
      </c>
      <c r="N166" t="inlineStr">
        <is>
          <t>K</t>
        </is>
      </c>
      <c r="O166" t="inlineStr">
        <is>
          <t>20230813</t>
        </is>
      </c>
      <c r="P166" t="inlineStr">
        <is>
          <t>Jawa Barat</t>
        </is>
      </c>
      <c r="Q166" t="inlineStr"/>
    </row>
    <row r="167">
      <c r="A167" t="inlineStr">
        <is>
          <t>TUGU DUA TUJUH</t>
        </is>
      </c>
      <c r="B167" t="inlineStr">
        <is>
          <t>Kota Makassar</t>
        </is>
      </c>
      <c r="C167" t="inlineStr">
        <is>
          <t>08114104279</t>
        </is>
      </c>
      <c r="D167" t="inlineStr">
        <is>
          <t>Tuguduatujuh.27@gmail.com</t>
        </is>
      </c>
      <c r="E167" t="inlineStr">
        <is>
          <t>https://lpjk.pu.go.id/search-badan-usaha-detail/SDZMWko5V29OekNTb0FlT2lBVklGQT09</t>
        </is>
      </c>
      <c r="F167" t="n">
        <v>1</v>
      </c>
      <c r="G167" t="inlineStr">
        <is>
          <t>BG006</t>
        </is>
      </c>
      <c r="H167" t="inlineStr">
        <is>
          <t>28 Juli 2004</t>
        </is>
      </c>
      <c r="I167" s="2" t="n">
        <v>46258</v>
      </c>
      <c r="J167" t="inlineStr">
        <is>
          <t>Disetujui</t>
        </is>
      </c>
      <c r="K167" t="n">
        <v>60</v>
      </c>
      <c r="L167" t="inlineStr">
        <is>
          <t>24 Agustus 2026</t>
        </is>
      </c>
      <c r="M167" t="inlineStr">
        <is>
          <t>Konstruksi Gedung Pendidikan</t>
        </is>
      </c>
      <c r="N167" t="inlineStr">
        <is>
          <t>K</t>
        </is>
      </c>
      <c r="O167" t="inlineStr">
        <is>
          <t>20230810</t>
        </is>
      </c>
      <c r="P167" t="inlineStr">
        <is>
          <t>Sulawesi Selatan</t>
        </is>
      </c>
      <c r="Q167" t="inlineStr"/>
    </row>
    <row r="168">
      <c r="A168" t="inlineStr">
        <is>
          <t>TUGU RAKSA MANDIRI</t>
        </is>
      </c>
      <c r="B168" t="inlineStr">
        <is>
          <t>Kab. Tangerang</t>
        </is>
      </c>
      <c r="C168" t="inlineStr">
        <is>
          <t>081218391246</t>
        </is>
      </c>
      <c r="D168" t="inlineStr">
        <is>
          <t>tuguraksamandiricv@gmail.com</t>
        </is>
      </c>
      <c r="E168" t="inlineStr">
        <is>
          <t>https://lpjk.pu.go.id/search-badan-usaha-detail/MmV5eEM4OWtOaHY3dlpjTU1XNE1EUT09</t>
        </is>
      </c>
      <c r="F168" t="n">
        <v>3</v>
      </c>
      <c r="G168" t="inlineStr">
        <is>
          <t>BG001, BG009, BS004</t>
        </is>
      </c>
      <c r="H168" t="inlineStr">
        <is>
          <t>22 April 2022</t>
        </is>
      </c>
      <c r="I168" s="2" t="n">
        <v>46258</v>
      </c>
      <c r="J168" t="inlineStr">
        <is>
          <t>Pencabutan</t>
        </is>
      </c>
      <c r="K168" t="n">
        <v>60</v>
      </c>
      <c r="L168" t="inlineStr">
        <is>
          <t>24 Agustus 2026</t>
        </is>
      </c>
      <c r="M168" t="inlineStr">
        <is>
          <t>Konstruksi Gedung Hunian, Konstruksi Gedung Lainnya, Konstruksi Jaringan Irigasi dan Drainase</t>
        </is>
      </c>
      <c r="N168" t="inlineStr">
        <is>
          <t>K</t>
        </is>
      </c>
      <c r="O168" t="inlineStr">
        <is>
          <t>20230819, 20230821, 20230824</t>
        </is>
      </c>
      <c r="P168" t="inlineStr">
        <is>
          <t>Banten</t>
        </is>
      </c>
      <c r="Q168" t="inlineStr"/>
    </row>
    <row r="169">
      <c r="A169" t="inlineStr">
        <is>
          <t>WAHANA MITRA ABADI</t>
        </is>
      </c>
      <c r="B169" t="inlineStr">
        <is>
          <t>Kab. Muaro Jambi</t>
        </is>
      </c>
      <c r="C169" t="inlineStr">
        <is>
          <t>085268509536</t>
        </is>
      </c>
      <c r="D169" t="inlineStr">
        <is>
          <t>wmajambi@yahoo.com</t>
        </is>
      </c>
      <c r="E169" t="inlineStr">
        <is>
          <t>https://lpjk.pu.go.id/search-badan-usaha-detail/ZnovZ2MxMm1yTmNVOVJ4UXZQME0zdz09</t>
        </is>
      </c>
      <c r="F169" t="n">
        <v>3</v>
      </c>
      <c r="G169" t="inlineStr">
        <is>
          <t>BG005, BG006, BS001</t>
        </is>
      </c>
      <c r="H169" t="inlineStr">
        <is>
          <t>14 Agustus 2019</t>
        </is>
      </c>
      <c r="I169" s="2" t="n">
        <v>46258</v>
      </c>
      <c r="J169" t="inlineStr">
        <is>
          <t>Disetujui</t>
        </is>
      </c>
      <c r="K169" t="n">
        <v>60</v>
      </c>
      <c r="L169" t="inlineStr">
        <is>
          <t>24 Agustus 2026</t>
        </is>
      </c>
      <c r="M169" t="inlineStr">
        <is>
          <t>Konstruksi Bangunan Sipil Jalan, Konstruksi Gedung Kesehatan, Konstruksi Gedung Pendidikan</t>
        </is>
      </c>
      <c r="N169" t="inlineStr">
        <is>
          <t>K</t>
        </is>
      </c>
      <c r="O169" t="inlineStr">
        <is>
          <t>20230728</t>
        </is>
      </c>
      <c r="P169" t="inlineStr">
        <is>
          <t>Jambi</t>
        </is>
      </c>
      <c r="Q169" t="inlineStr"/>
    </row>
    <row r="170">
      <c r="A170" t="inlineStr">
        <is>
          <t>WAHANA SARANA TEKNIK</t>
        </is>
      </c>
      <c r="B170" t="inlineStr">
        <is>
          <t>Kab. Nganjuk</t>
        </is>
      </c>
      <c r="C170" t="inlineStr">
        <is>
          <t>08113650688</t>
        </is>
      </c>
      <c r="D170" t="inlineStr">
        <is>
          <t>wastek@hotmail.com</t>
        </is>
      </c>
      <c r="E170" t="inlineStr">
        <is>
          <t>https://lpjk.pu.go.id/search-badan-usaha-detail/OTdjMWRJa1N2Z1pDc2xtUERkTnJPUT09</t>
        </is>
      </c>
      <c r="F170" t="n">
        <v>3</v>
      </c>
      <c r="G170" t="inlineStr">
        <is>
          <t>RK001, RK003, RK005</t>
        </is>
      </c>
      <c r="H170" t="inlineStr">
        <is>
          <t>24 Agustus 2000</t>
        </is>
      </c>
      <c r="I170" s="2" t="n">
        <v>46258</v>
      </c>
      <c r="J170" t="inlineStr">
        <is>
          <t>Disetujui</t>
        </is>
      </c>
      <c r="K170" t="n">
        <v>60</v>
      </c>
      <c r="L170" t="inlineStr">
        <is>
          <t>24 Agustus 2026</t>
        </is>
      </c>
      <c r="M170" t="inlineStr">
        <is>
          <t>Jasa Rekayasa Konstruksi Bangunan Gedung Hunian dan Non Hunian, Jasa Rekayasa Lainnya, Jasa Rekayasa Pekerjaan Teknik Sipil Transportasi</t>
        </is>
      </c>
      <c r="N170" t="inlineStr">
        <is>
          <t>K</t>
        </is>
      </c>
      <c r="O170" t="inlineStr">
        <is>
          <t>20230818</t>
        </is>
      </c>
      <c r="P170" t="inlineStr">
        <is>
          <t>Jawa Timur</t>
        </is>
      </c>
      <c r="Q170" t="inlineStr"/>
    </row>
    <row r="171">
      <c r="A171" t="inlineStr">
        <is>
          <t>WAHYU KARYA ABADI</t>
        </is>
      </c>
      <c r="B171" t="inlineStr">
        <is>
          <t>Kab. Tangerang</t>
        </is>
      </c>
      <c r="C171" t="inlineStr">
        <is>
          <t>081286546862</t>
        </is>
      </c>
      <c r="D171" t="inlineStr">
        <is>
          <t>cvwka55@gmail.com</t>
        </is>
      </c>
      <c r="E171" t="inlineStr">
        <is>
          <t>https://lpjk.pu.go.id/search-badan-usaha-detail/UlhLWmFabE9MWjFEa3BjeVZ4V3RNUT09</t>
        </is>
      </c>
      <c r="F171" t="n">
        <v>2</v>
      </c>
      <c r="G171" t="inlineStr">
        <is>
          <t>BG003, BG007</t>
        </is>
      </c>
      <c r="H171" t="inlineStr">
        <is>
          <t>21 Februari 2020</t>
        </is>
      </c>
      <c r="I171" s="2" t="n">
        <v>46258</v>
      </c>
      <c r="J171" t="inlineStr">
        <is>
          <t>Pencabutan</t>
        </is>
      </c>
      <c r="K171" t="n">
        <v>60</v>
      </c>
      <c r="L171" t="inlineStr">
        <is>
          <t>24 Agustus 2026</t>
        </is>
      </c>
      <c r="M171" t="inlineStr">
        <is>
          <t>Konstruksi Gedung Industri, Konstruksi Gedung Penginapan</t>
        </is>
      </c>
      <c r="N171" t="inlineStr">
        <is>
          <t>K</t>
        </is>
      </c>
      <c r="O171" t="inlineStr">
        <is>
          <t>20230825</t>
        </is>
      </c>
      <c r="P171" t="inlineStr">
        <is>
          <t>Banten</t>
        </is>
      </c>
      <c r="Q171" t="inlineStr"/>
    </row>
    <row r="172">
      <c r="A172" t="inlineStr">
        <is>
          <t>WIGUNA ARYA</t>
        </is>
      </c>
      <c r="B172" t="inlineStr">
        <is>
          <t>Kab. Grobogan</t>
        </is>
      </c>
      <c r="C172" t="inlineStr">
        <is>
          <t>081393100378</t>
        </is>
      </c>
      <c r="D172" t="inlineStr">
        <is>
          <t>cvwigunaarya@gmail.com</t>
        </is>
      </c>
      <c r="E172" t="inlineStr">
        <is>
          <t>https://lpjk.pu.go.id/search-badan-usaha-detail/QzFtL0dBWTY4a1BSR2d3WitCZW5xQT09</t>
        </is>
      </c>
      <c r="F172" t="n">
        <v>5</v>
      </c>
      <c r="G172" t="inlineStr">
        <is>
          <t>BG002, BG005, BG006, BG009, BS004</t>
        </is>
      </c>
      <c r="H172" t="inlineStr">
        <is>
          <t>12 Mei 2016</t>
        </is>
      </c>
      <c r="I172" s="2" t="n">
        <v>46258</v>
      </c>
      <c r="J172" t="inlineStr">
        <is>
          <t>Disetujui</t>
        </is>
      </c>
      <c r="K172" t="n">
        <v>60</v>
      </c>
      <c r="L172" t="inlineStr">
        <is>
          <t>24 Agustus 2026</t>
        </is>
      </c>
      <c r="M172" t="inlineStr">
        <is>
          <t>Konstruksi Gedung Kesehatan, Konstruksi Gedung Lainnya, Konstruksi Gedung Pendidikan, Konstruksi Gedung Perkantoran, Konstruksi Jaringan Irigasi dan Drainase</t>
        </is>
      </c>
      <c r="N172" t="inlineStr">
        <is>
          <t>K</t>
        </is>
      </c>
      <c r="O172" t="inlineStr">
        <is>
          <t>20230823</t>
        </is>
      </c>
      <c r="P172" t="inlineStr">
        <is>
          <t>Jawa Tengah</t>
        </is>
      </c>
      <c r="Q172" t="inlineStr"/>
    </row>
    <row r="173">
      <c r="A173" t="inlineStr">
        <is>
          <t>WIRA BUANA</t>
        </is>
      </c>
      <c r="B173" t="inlineStr">
        <is>
          <t>Kota Medan</t>
        </is>
      </c>
      <c r="C173" t="inlineStr">
        <is>
          <t>082167386644</t>
        </is>
      </c>
      <c r="D173" t="inlineStr">
        <is>
          <t>c.buana41@yahoo.com</t>
        </is>
      </c>
      <c r="E173" t="inlineStr">
        <is>
          <t>https://lpjk.pu.go.id/search-badan-usaha-detail/S25FdzRxeXBhU0RVWCtpQkFuV2lsUT09</t>
        </is>
      </c>
      <c r="F173" t="n">
        <v>4</v>
      </c>
      <c r="G173" t="inlineStr">
        <is>
          <t>BG002, BG003, BG004, BG009</t>
        </is>
      </c>
      <c r="H173" t="inlineStr">
        <is>
          <t>17 Februari 2015</t>
        </is>
      </c>
      <c r="I173" s="2" t="n">
        <v>46258</v>
      </c>
      <c r="J173" t="inlineStr">
        <is>
          <t>Disetujui</t>
        </is>
      </c>
      <c r="K173" t="n">
        <v>60</v>
      </c>
      <c r="L173" t="inlineStr">
        <is>
          <t>24 Agustus 2026</t>
        </is>
      </c>
      <c r="M173" t="inlineStr">
        <is>
          <t>Konstruksi Gedung Industri, Konstruksi Gedung Lainnya, Konstruksi Gedung Perbelanjaan, Konstruksi Gedung Perkantoran</t>
        </is>
      </c>
      <c r="N173" t="inlineStr">
        <is>
          <t>K</t>
        </is>
      </c>
      <c r="O173" t="inlineStr">
        <is>
          <t>20230823</t>
        </is>
      </c>
      <c r="P173" t="inlineStr">
        <is>
          <t>Sumatera Utara</t>
        </is>
      </c>
      <c r="Q173" t="inlineStr"/>
    </row>
    <row r="174">
      <c r="A174" t="inlineStr">
        <is>
          <t>WIRAKARYA INTI NUSACIPTA</t>
        </is>
      </c>
      <c r="B174" t="inlineStr">
        <is>
          <t>Kota Surabaya</t>
        </is>
      </c>
      <c r="C174" t="inlineStr">
        <is>
          <t>081356132321</t>
        </is>
      </c>
      <c r="D174" t="inlineStr">
        <is>
          <t>wirakaryaintinusacipta@gmail.com</t>
        </is>
      </c>
      <c r="E174" t="inlineStr">
        <is>
          <t>https://lpjk.pu.go.id/search-badan-usaha-detail/QW1QZUh1T1dmcmxRMlVKcE1Ja3pJZz09</t>
        </is>
      </c>
      <c r="F174" t="n">
        <v>8</v>
      </c>
      <c r="G174" t="inlineStr">
        <is>
          <t>AR001, RK001, RK002, RK004</t>
        </is>
      </c>
      <c r="H174" t="inlineStr">
        <is>
          <t>17 Maret 2023</t>
        </is>
      </c>
      <c r="I174" s="2" t="n">
        <v>46258</v>
      </c>
      <c r="J174" t="inlineStr">
        <is>
          <t>Disetujui</t>
        </is>
      </c>
      <c r="K174" t="n">
        <v>60</v>
      </c>
      <c r="L174" t="inlineStr">
        <is>
          <t>24 Agustus 2026</t>
        </is>
      </c>
      <c r="M174" t="inlineStr">
        <is>
          <t>Jasa Arsitektural Bangunan Gedung Hunian dan Non Hunian, Jasa Rekayasa Konstruksi Bangunan Gedung Hunian dan Non Hunian, Jasa Rekayasa Pekerjaan Mekanikal Dalam Bangunan, Jasa Rekayasa Pekerjaan Teknik Sipil Sumber Daya Air</t>
        </is>
      </c>
      <c r="N174" t="inlineStr">
        <is>
          <t>K</t>
        </is>
      </c>
      <c r="O174" t="inlineStr">
        <is>
          <t>20230814, 20230815</t>
        </is>
      </c>
      <c r="P174" t="inlineStr">
        <is>
          <t>Jawa Timur</t>
        </is>
      </c>
      <c r="Q174" t="inlineStr"/>
    </row>
    <row r="175">
      <c r="A175" t="inlineStr">
        <is>
          <t>WIYATA KARYA KONSULTAN</t>
        </is>
      </c>
      <c r="B175" t="inlineStr">
        <is>
          <t>Kota Bengkulu</t>
        </is>
      </c>
      <c r="C175" t="inlineStr">
        <is>
          <t>08117318611</t>
        </is>
      </c>
      <c r="D175" t="inlineStr">
        <is>
          <t>wiyata_karya08@yahoo.co.id</t>
        </is>
      </c>
      <c r="E175" t="inlineStr">
        <is>
          <t>https://lpjk.pu.go.id/search-badan-usaha-detail/SlgzVUFMZ2dsdGMyVEcrOTlLVEJLQT09</t>
        </is>
      </c>
      <c r="F175" t="n">
        <v>1</v>
      </c>
      <c r="G175" t="inlineStr">
        <is>
          <t>RK002</t>
        </is>
      </c>
      <c r="H175" t="inlineStr">
        <is>
          <t>14 Desember 2016</t>
        </is>
      </c>
      <c r="I175" s="2" t="n">
        <v>46258</v>
      </c>
      <c r="J175" t="inlineStr">
        <is>
          <t>Disetujui</t>
        </is>
      </c>
      <c r="K175" t="n">
        <v>60</v>
      </c>
      <c r="L175" t="inlineStr">
        <is>
          <t>24 Agustus 2026</t>
        </is>
      </c>
      <c r="M175" t="inlineStr">
        <is>
          <t>Jasa Rekayasa Pekerjaan Teknik Sipil Sumber Daya Air</t>
        </is>
      </c>
      <c r="N175" t="inlineStr">
        <is>
          <t>K</t>
        </is>
      </c>
      <c r="O175" t="inlineStr">
        <is>
          <t>20230805</t>
        </is>
      </c>
      <c r="P175" t="inlineStr">
        <is>
          <t>Bengkulu</t>
        </is>
      </c>
      <c r="Q175" t="inlineStr"/>
    </row>
    <row r="176">
      <c r="A176" t="inlineStr">
        <is>
          <t>ZARA ARUMI PRATAMA</t>
        </is>
      </c>
      <c r="B176" t="inlineStr">
        <is>
          <t>Kota Banjar</t>
        </is>
      </c>
      <c r="C176" t="inlineStr">
        <is>
          <t>00000</t>
        </is>
      </c>
      <c r="D176" t="inlineStr">
        <is>
          <t>zaraarumipratama@gmail.com</t>
        </is>
      </c>
      <c r="E176" t="inlineStr">
        <is>
          <t>https://lpjk.pu.go.id/search-badan-usaha-detail/VEtVSVVTbkFqb0Q3RmtyaWRXaWhNQT09</t>
        </is>
      </c>
      <c r="F176" t="n">
        <v>1</v>
      </c>
      <c r="G176" t="inlineStr">
        <is>
          <t>BS004</t>
        </is>
      </c>
      <c r="H176" t="inlineStr">
        <is>
          <t>13 April 2023</t>
        </is>
      </c>
      <c r="I176" s="2" t="n">
        <v>46258</v>
      </c>
      <c r="J176" t="inlineStr">
        <is>
          <t>Disetujui</t>
        </is>
      </c>
      <c r="K176" t="n">
        <v>60</v>
      </c>
      <c r="L176" t="inlineStr">
        <is>
          <t>24 Agustus 2026</t>
        </is>
      </c>
      <c r="M176" t="inlineStr">
        <is>
          <t>Konstruksi Jaringan Irigasi dan Drainase</t>
        </is>
      </c>
      <c r="N176" t="inlineStr">
        <is>
          <t>K</t>
        </is>
      </c>
      <c r="O176" t="inlineStr">
        <is>
          <t>20230818</t>
        </is>
      </c>
      <c r="P176" t="inlineStr">
        <is>
          <t>Jawa Barat</t>
        </is>
      </c>
      <c r="Q17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02"/>
  <sheetViews>
    <sheetView workbookViewId="0">
      <selection activeCell="A1" sqref="A1"/>
    </sheetView>
  </sheetViews>
  <sheetFormatPr baseColWidth="8" defaultRowHeight="15"/>
  <cols>
    <col width="32" customWidth="1" min="1" max="1"/>
    <col width="27" customWidth="1" min="2" max="2"/>
    <col width="16" customWidth="1" min="3" max="3"/>
    <col width="40"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ANWAR CIPTA INSANI</t>
        </is>
      </c>
      <c r="B2" t="inlineStr">
        <is>
          <t>Kota Bekasi</t>
        </is>
      </c>
      <c r="C2" t="inlineStr">
        <is>
          <t>02198711034</t>
        </is>
      </c>
      <c r="D2" t="inlineStr">
        <is>
          <t>pt.anwarciptainsani@gmail.com</t>
        </is>
      </c>
      <c r="E2" t="inlineStr">
        <is>
          <t>https://lpjk.pu.go.id/search-badan-usaha-detail/cE9tYTBVU2gyUm5hT25wRlJzdG1NUT09</t>
        </is>
      </c>
      <c r="F2" t="n">
        <v>1</v>
      </c>
      <c r="G2" t="inlineStr">
        <is>
          <t>BG005</t>
        </is>
      </c>
      <c r="H2" t="inlineStr">
        <is>
          <t>5 April 2021</t>
        </is>
      </c>
      <c r="I2" s="2" t="n">
        <v>46228</v>
      </c>
      <c r="J2" t="inlineStr">
        <is>
          <t>Disetujui</t>
        </is>
      </c>
      <c r="K2" t="n">
        <v>30</v>
      </c>
      <c r="L2" t="inlineStr">
        <is>
          <t>25 Juli 2026</t>
        </is>
      </c>
      <c r="M2" t="inlineStr">
        <is>
          <t>Konstruksi Gedung Kesehatan</t>
        </is>
      </c>
      <c r="N2" t="inlineStr">
        <is>
          <t>K</t>
        </is>
      </c>
      <c r="O2" t="inlineStr">
        <is>
          <t>20230705</t>
        </is>
      </c>
      <c r="P2" t="inlineStr">
        <is>
          <t>Jawa Barat</t>
        </is>
      </c>
      <c r="Q2" t="inlineStr"/>
    </row>
    <row r="3">
      <c r="A3" t="inlineStr">
        <is>
          <t>ARKEA WIRASTYA UTAMA</t>
        </is>
      </c>
      <c r="B3" t="inlineStr">
        <is>
          <t>Kota Depok</t>
        </is>
      </c>
      <c r="C3" t="inlineStr">
        <is>
          <t>082123231165</t>
        </is>
      </c>
      <c r="D3" t="inlineStr">
        <is>
          <t>pt.arkea15@gmail.com</t>
        </is>
      </c>
      <c r="E3" t="inlineStr">
        <is>
          <t>https://lpjk.pu.go.id/search-badan-usaha-detail/MFFJUTVqbmpHTkE4TWJ3bGdYYzh6UT09</t>
        </is>
      </c>
      <c r="F3" t="n">
        <v>1</v>
      </c>
      <c r="G3" t="inlineStr">
        <is>
          <t>BS001</t>
        </is>
      </c>
      <c r="H3" t="inlineStr">
        <is>
          <t>21 Maret 2017</t>
        </is>
      </c>
      <c r="I3" s="2" t="n">
        <v>46228</v>
      </c>
      <c r="J3" t="inlineStr">
        <is>
          <t>Pembekuan</t>
        </is>
      </c>
      <c r="K3" t="n">
        <v>30</v>
      </c>
      <c r="L3" t="inlineStr">
        <is>
          <t>25 Juli 2026</t>
        </is>
      </c>
      <c r="M3" t="inlineStr">
        <is>
          <t>Konstruksi Bangunan Sipil Jalan</t>
        </is>
      </c>
      <c r="N3" t="inlineStr">
        <is>
          <t>M</t>
        </is>
      </c>
      <c r="O3" t="inlineStr">
        <is>
          <t>20230724</t>
        </is>
      </c>
      <c r="P3" t="inlineStr">
        <is>
          <t>Jawa Barat</t>
        </is>
      </c>
      <c r="Q3" s="3">
        <f>HYPERLINK("https://wa.me/6282123231165?text=*[Pengingat Masa Berlaku SBU ARKEA WIRASTYA UTAMA]*%0A%0AYth. Pimpinan ARKEA WIRASTYA UTAMA,%0AMohon izin menginformasikan status SBU Anda:%0A%0A📄 SBU: BS001%0A📅 Expired: 25 Juli 2026 (30 Hari Lagi)%0A%0AKami tim PT. ESDEA Assistance Management siap men-support proses perpanjangan segera agar administrasi proyek tidak terhambat%0A%0AApakah boleh saya bantu siapkan estimasi biaya dan waktu pengerjaannya?.", "Hubungi")</f>
        <v/>
      </c>
    </row>
    <row r="4">
      <c r="A4" t="inlineStr">
        <is>
          <t>BANGUN BUMI WIJAYA</t>
        </is>
      </c>
      <c r="B4" t="inlineStr">
        <is>
          <t>Kota Adm. Jakarta Timur</t>
        </is>
      </c>
      <c r="C4" t="inlineStr">
        <is>
          <t>02186612104</t>
        </is>
      </c>
      <c r="D4" t="inlineStr">
        <is>
          <t>bangun_bumi_wijaya29@yahoo.co.id</t>
        </is>
      </c>
      <c r="E4" t="inlineStr">
        <is>
          <t>https://lpjk.pu.go.id/search-badan-usaha-detail/MmJyajl1SFVENlQrY1JIOXV3ZGRidz09</t>
        </is>
      </c>
      <c r="F4" t="n">
        <v>1</v>
      </c>
      <c r="G4" t="inlineStr">
        <is>
          <t>BG001</t>
        </is>
      </c>
      <c r="H4" t="inlineStr">
        <is>
          <t>11 Februari 2004</t>
        </is>
      </c>
      <c r="I4" s="2" t="n">
        <v>46228</v>
      </c>
      <c r="J4" t="inlineStr">
        <is>
          <t>Disetujui</t>
        </is>
      </c>
      <c r="K4" t="n">
        <v>30</v>
      </c>
      <c r="L4" t="inlineStr">
        <is>
          <t>25 Juli 2026</t>
        </is>
      </c>
      <c r="M4" t="inlineStr">
        <is>
          <t>Konstruksi Gedung Hunian</t>
        </is>
      </c>
      <c r="N4" t="inlineStr">
        <is>
          <t>M</t>
        </is>
      </c>
      <c r="O4" t="inlineStr">
        <is>
          <t>20230714</t>
        </is>
      </c>
      <c r="P4" t="inlineStr">
        <is>
          <t>DKI Jakarta</t>
        </is>
      </c>
      <c r="Q4" t="inlineStr"/>
    </row>
    <row r="5">
      <c r="A5" t="inlineStr">
        <is>
          <t>CATUR INTI DINAMIKA</t>
        </is>
      </c>
      <c r="B5" t="inlineStr">
        <is>
          <t>Kota Bekasi</t>
        </is>
      </c>
      <c r="C5" t="inlineStr">
        <is>
          <t>081281711960</t>
        </is>
      </c>
      <c r="D5" t="inlineStr">
        <is>
          <t>caturintidinamika@gmail.com</t>
        </is>
      </c>
      <c r="E5" t="inlineStr">
        <is>
          <t>https://lpjk.pu.go.id/search-badan-usaha-detail/OUlrVFZEU09KNXNKaWt5WUlhL0Fsdz09</t>
        </is>
      </c>
      <c r="F5" t="n">
        <v>4</v>
      </c>
      <c r="G5" t="inlineStr">
        <is>
          <t>RK001, RK002, RK003, RK005</t>
        </is>
      </c>
      <c r="H5" t="inlineStr">
        <is>
          <t>14 Juli 2010</t>
        </is>
      </c>
      <c r="I5" s="2" t="n">
        <v>46228</v>
      </c>
      <c r="J5" t="inlineStr">
        <is>
          <t>Disetujui</t>
        </is>
      </c>
      <c r="K5" t="n">
        <v>30</v>
      </c>
      <c r="L5" t="inlineStr">
        <is>
          <t>25 Juli 2026</t>
        </is>
      </c>
      <c r="M5" t="inlineStr">
        <is>
          <t>Jasa Rekayasa Konstruksi Bangunan Gedung Hunian dan Non Hunian, Jasa Rekayasa Lainnya, Jasa Rekayasa Pekerjaan Teknik Sipil Sumber Daya Air, Jasa Rekayasa Pekerjaan Teknik Sipil Transportasi</t>
        </is>
      </c>
      <c r="N5" t="inlineStr">
        <is>
          <t>K</t>
        </is>
      </c>
      <c r="O5" t="inlineStr">
        <is>
          <t>20230606</t>
        </is>
      </c>
      <c r="P5" t="inlineStr">
        <is>
          <t>Jawa Barat</t>
        </is>
      </c>
      <c r="Q5" s="3">
        <f>HYPERLINK("https://wa.me/6281281711960?text=*[Pengingat Masa Berlaku SBU CATUR INTI DINAMIKA]*%0A%0AYth. Pimpinan CATUR INTI DINAMIKA,%0AMohon izin menginformasikan status SBU Anda:%0A%0A📄 SBU: RK001, RK002, RK003, RK005%0A📅 Expired: 25 Juli 2026 (30 Hari Lagi)%0A%0AKami tim PT. ESDEA Assistance Management siap men-support proses perpanjangan segera agar administrasi proyek tidak terhambat%0A%0AApakah boleh saya bantu siapkan estimasi biaya dan waktu pengerjaannya?.", "Hubungi")</f>
        <v/>
      </c>
    </row>
    <row r="6">
      <c r="A6" t="inlineStr">
        <is>
          <t>DIAN SURYA BANGUN</t>
        </is>
      </c>
      <c r="B6" t="inlineStr">
        <is>
          <t>Kab. Bekasi</t>
        </is>
      </c>
      <c r="C6" t="inlineStr">
        <is>
          <t>087779185626</t>
        </is>
      </c>
      <c r="D6" t="inlineStr">
        <is>
          <t>diansuryabangun@yahoo.co.id</t>
        </is>
      </c>
      <c r="E6" t="inlineStr">
        <is>
          <t>https://lpjk.pu.go.id/search-badan-usaha-detail/ZUhreURNaWJQZ3JvTEFZS3NzSTIvUT09</t>
        </is>
      </c>
      <c r="F6" t="n">
        <v>1</v>
      </c>
      <c r="G6" t="inlineStr">
        <is>
          <t>BS001</t>
        </is>
      </c>
      <c r="H6" t="inlineStr">
        <is>
          <t>5 Oktober 2009</t>
        </is>
      </c>
      <c r="I6" s="2" t="n">
        <v>46228</v>
      </c>
      <c r="J6" t="inlineStr">
        <is>
          <t>Pencabutan</t>
        </is>
      </c>
      <c r="K6" t="n">
        <v>30</v>
      </c>
      <c r="L6" t="inlineStr">
        <is>
          <t>25 Juli 2026</t>
        </is>
      </c>
      <c r="M6" t="inlineStr">
        <is>
          <t>Konstruksi Bangunan Sipil Jalan</t>
        </is>
      </c>
      <c r="N6" t="inlineStr">
        <is>
          <t>K</t>
        </is>
      </c>
      <c r="O6" t="inlineStr">
        <is>
          <t>20230720</t>
        </is>
      </c>
      <c r="P6" t="inlineStr">
        <is>
          <t>Jawa Barat</t>
        </is>
      </c>
      <c r="Q6" s="3">
        <f>HYPERLINK("https://wa.me/6287779185626?text=*[Pengingat Masa Berlaku SBU DIAN SURYA BANGUN]*%0A%0AYth. Pimpinan DIAN SURYA BANGUN,%0AMohon izin menginformasikan status SBU Anda:%0A%0A📄 SBU: BS001%0A📅 Expired: 25 Juli 2026 (30 Hari Lagi)%0A%0AKami tim PT. ESDEA Assistance Management siap men-support proses perpanjangan segera agar administrasi proyek tidak terhambat%0A%0AApakah boleh saya bantu siapkan estimasi biaya dan waktu pengerjaannya?.", "Hubungi")</f>
        <v/>
      </c>
    </row>
    <row r="7">
      <c r="A7" t="inlineStr">
        <is>
          <t>ELIAZER NAHOR PRATAMA</t>
        </is>
      </c>
      <c r="B7" t="inlineStr">
        <is>
          <t>Kab. Bogor</t>
        </is>
      </c>
      <c r="C7" t="inlineStr">
        <is>
          <t>02122997959</t>
        </is>
      </c>
      <c r="D7" t="inlineStr">
        <is>
          <t>eliazerpratama21@gmail.com</t>
        </is>
      </c>
      <c r="E7" t="inlineStr">
        <is>
          <t>https://lpjk.pu.go.id/search-badan-usaha-detail/elhvWWVsSis3M2pnVjhubEdORVNQUjBPekJrNHJNcTdESndsNXhTNlovbz0</t>
        </is>
      </c>
      <c r="F7" t="n">
        <v>1</v>
      </c>
      <c r="G7" t="inlineStr">
        <is>
          <t>PL003</t>
        </is>
      </c>
      <c r="H7" t="inlineStr">
        <is>
          <t>31 Maret 2026</t>
        </is>
      </c>
      <c r="I7" s="2" t="n">
        <v>46228</v>
      </c>
      <c r="J7" t="inlineStr">
        <is>
          <t>Disetujui</t>
        </is>
      </c>
      <c r="K7" t="n">
        <v>30</v>
      </c>
      <c r="L7" t="inlineStr">
        <is>
          <t>25 Juli 2026</t>
        </is>
      </c>
      <c r="M7" t="inlineStr">
        <is>
          <t>Penyiapan Lahan Konstruksi</t>
        </is>
      </c>
      <c r="N7" t="inlineStr">
        <is>
          <t>Spesialis</t>
        </is>
      </c>
      <c r="O7" t="inlineStr">
        <is>
          <t>20230721</t>
        </is>
      </c>
      <c r="P7" t="inlineStr">
        <is>
          <t>Jawa Barat</t>
        </is>
      </c>
      <c r="Q7" t="inlineStr"/>
    </row>
    <row r="8">
      <c r="A8" t="inlineStr">
        <is>
          <t>HANA HUBERTA</t>
        </is>
      </c>
      <c r="B8" t="inlineStr">
        <is>
          <t>Kota Adm. Jakarta Timur</t>
        </is>
      </c>
      <c r="C8" t="inlineStr">
        <is>
          <t>021 - 29834494</t>
        </is>
      </c>
      <c r="D8" t="inlineStr">
        <is>
          <t>pt.hanahuberta@yahoo.com</t>
        </is>
      </c>
      <c r="E8" t="inlineStr">
        <is>
          <t>https://lpjk.pu.go.id/search-badan-usaha-detail/MW1LWkIzREx0aVF6T0FVV0dQVExjdz09</t>
        </is>
      </c>
      <c r="F8" t="n">
        <v>2</v>
      </c>
      <c r="G8" t="inlineStr">
        <is>
          <t>BG002, BG003</t>
        </is>
      </c>
      <c r="H8" t="inlineStr">
        <is>
          <t>31 Mei 1996</t>
        </is>
      </c>
      <c r="I8" s="2" t="n">
        <v>46228</v>
      </c>
      <c r="J8" t="inlineStr">
        <is>
          <t>Disetujui, Pencabutan</t>
        </is>
      </c>
      <c r="K8" t="n">
        <v>30</v>
      </c>
      <c r="L8" t="inlineStr">
        <is>
          <t>25 Juli 2026</t>
        </is>
      </c>
      <c r="M8" t="inlineStr">
        <is>
          <t>Konstruksi Gedung Industri, Konstruksi Gedung Perkantoran</t>
        </is>
      </c>
      <c r="N8" t="inlineStr">
        <is>
          <t>K, M</t>
        </is>
      </c>
      <c r="O8" t="inlineStr">
        <is>
          <t>20230725</t>
        </is>
      </c>
      <c r="P8" t="inlineStr">
        <is>
          <t>DKI Jakarta</t>
        </is>
      </c>
      <c r="Q8" t="inlineStr"/>
    </row>
    <row r="9">
      <c r="A9" t="inlineStr">
        <is>
          <t>JAYA ARTHA MANDIRI</t>
        </is>
      </c>
      <c r="B9" t="inlineStr">
        <is>
          <t>Kota Adm. Jakarta Timur</t>
        </is>
      </c>
      <c r="C9" t="inlineStr">
        <is>
          <t>081316766156</t>
        </is>
      </c>
      <c r="D9" t="inlineStr">
        <is>
          <t>cv.jayaarthamandiri@yahoo.com</t>
        </is>
      </c>
      <c r="E9" t="inlineStr">
        <is>
          <t>https://lpjk.pu.go.id/search-badan-usaha-detail/NnhaZEpyeGNydkpCMGNMajRFRzNUQT09</t>
        </is>
      </c>
      <c r="F9" t="n">
        <v>1</v>
      </c>
      <c r="G9" t="inlineStr">
        <is>
          <t>BS002</t>
        </is>
      </c>
      <c r="H9" t="inlineStr">
        <is>
          <t>22 Juni 2012</t>
        </is>
      </c>
      <c r="I9" s="2" t="n">
        <v>46228</v>
      </c>
      <c r="J9" t="inlineStr">
        <is>
          <t>Disetujui</t>
        </is>
      </c>
      <c r="K9" t="n">
        <v>30</v>
      </c>
      <c r="L9" t="inlineStr">
        <is>
          <t>25 Juli 2026</t>
        </is>
      </c>
      <c r="M9" t="inlineStr">
        <is>
          <t>Bangunan Sipil Jembatan, Jalan Layang, Fly Over, dan Underpass</t>
        </is>
      </c>
      <c r="N9" t="inlineStr">
        <is>
          <t>K</t>
        </is>
      </c>
      <c r="O9" t="inlineStr">
        <is>
          <t>20230724</t>
        </is>
      </c>
      <c r="P9" t="inlineStr">
        <is>
          <t>DKI Jakarta</t>
        </is>
      </c>
      <c r="Q9" s="3">
        <f>HYPERLINK("https://wa.me/6281316766156?text=*[Pengingat Masa Berlaku SBU JAYA ARTHA MANDIRI]*%0A%0AYth. Pimpinan JAYA ARTHA MANDIRI,%0AMohon izin menginformasikan status SBU Anda:%0A%0A📄 SBU: BS002%0A📅 Expired: 25 Juli 2026 (30 Hari Lagi)%0A%0AKami tim PT. ESDEA Assistance Management siap men-support proses perpanjangan segera agar administrasi proyek tidak terhambat%0A%0AApakah boleh saya bantu siapkan estimasi biaya dan waktu pengerjaannya?.", "Hubungi")</f>
        <v/>
      </c>
    </row>
    <row r="10">
      <c r="A10" t="inlineStr">
        <is>
          <t>MULTI LANGGENG</t>
        </is>
      </c>
      <c r="B10" t="inlineStr">
        <is>
          <t>Kota Adm. Jakarta Timur</t>
        </is>
      </c>
      <c r="C10" t="inlineStr">
        <is>
          <t>0218611576</t>
        </is>
      </c>
      <c r="D10" t="inlineStr">
        <is>
          <t>multilanggeng@ymail.com</t>
        </is>
      </c>
      <c r="E10" t="inlineStr">
        <is>
          <t>https://lpjk.pu.go.id/search-badan-usaha-detail/Nmx4SXlYU0EwTTh2UnJZTlErMkJkUT09</t>
        </is>
      </c>
      <c r="F10" t="n">
        <v>1</v>
      </c>
      <c r="G10" t="inlineStr">
        <is>
          <t>BG006</t>
        </is>
      </c>
      <c r="H10" t="inlineStr">
        <is>
          <t>27 Desember 2010</t>
        </is>
      </c>
      <c r="I10" s="2" t="n">
        <v>46228</v>
      </c>
      <c r="J10" t="inlineStr">
        <is>
          <t>Pencabutan</t>
        </is>
      </c>
      <c r="K10" t="n">
        <v>30</v>
      </c>
      <c r="L10" t="inlineStr">
        <is>
          <t>25 Juli 2026</t>
        </is>
      </c>
      <c r="M10" t="inlineStr">
        <is>
          <t>Konstruksi Gedung Pendidikan</t>
        </is>
      </c>
      <c r="N10" t="inlineStr">
        <is>
          <t>K</t>
        </is>
      </c>
      <c r="O10" t="inlineStr">
        <is>
          <t>20230720</t>
        </is>
      </c>
      <c r="P10" t="inlineStr">
        <is>
          <t>DKI Jakarta</t>
        </is>
      </c>
      <c r="Q10" t="inlineStr"/>
    </row>
    <row r="11">
      <c r="A11" t="inlineStr">
        <is>
          <t>PRISMA CONSULT</t>
        </is>
      </c>
      <c r="B11" t="inlineStr">
        <is>
          <t>Kab. Bogor</t>
        </is>
      </c>
      <c r="C11" t="inlineStr">
        <is>
          <t>082113370052</t>
        </is>
      </c>
      <c r="D11" t="inlineStr">
        <is>
          <t>prismaconsult9@gmail.com</t>
        </is>
      </c>
      <c r="E11" t="inlineStr">
        <is>
          <t>https://lpjk.pu.go.id/search-badan-usaha-detail/K2Z0ekVlVEJacE01d2R3VzRHc1Z0QT09</t>
        </is>
      </c>
      <c r="F11" t="n">
        <v>4</v>
      </c>
      <c r="G11" t="inlineStr">
        <is>
          <t>AR001, AR002, AR003, RK001</t>
        </is>
      </c>
      <c r="H11" t="inlineStr">
        <is>
          <t>17 Desember 1999</t>
        </is>
      </c>
      <c r="I11" s="2" t="n">
        <v>46228</v>
      </c>
      <c r="J11" t="inlineStr">
        <is>
          <t>Disetujui</t>
        </is>
      </c>
      <c r="K11" t="n">
        <v>30</v>
      </c>
      <c r="L11" t="inlineStr">
        <is>
          <t>25 Juli 2026</t>
        </is>
      </c>
      <c r="M11" t="inlineStr">
        <is>
          <t>Jasa Arsitektural Bangunan Gedung Hunian dan Non Hunian, Jasa Arsitektural Lainnya, Jasa Desain Interior pada Bangunan Gedung dan Bangunan Sipil, Jasa Rekayasa Konstruksi Bangunan Gedung Hunian dan Non Hunian</t>
        </is>
      </c>
      <c r="N11" t="inlineStr">
        <is>
          <t>K</t>
        </is>
      </c>
      <c r="O11" t="inlineStr">
        <is>
          <t>20230712, 20230713</t>
        </is>
      </c>
      <c r="P11" t="inlineStr">
        <is>
          <t>Jawa Barat</t>
        </is>
      </c>
      <c r="Q11" s="3">
        <f>HYPERLINK("https://wa.me/6282113370052?text=*[Pengingat Masa Berlaku SBU PRISMA CONSULT]*%0A%0AYth. Pimpinan PRISMA CONSULT,%0AMohon izin menginformasikan status SBU Anda:%0A%0A📄 SBU: AR001, AR002, AR003, RK001%0A📅 Expired: 25 Juli 2026 (30 Hari Lagi)%0A%0AKami tim PT. ESDEA Assistance Management siap men-support proses perpanjangan segera agar administrasi proyek tidak terhambat%0A%0AApakah boleh saya bantu siapkan estimasi biaya dan waktu pengerjaannya?.", "Hubungi")</f>
        <v/>
      </c>
    </row>
    <row r="12">
      <c r="A12" t="inlineStr">
        <is>
          <t>RONA BERKARYA</t>
        </is>
      </c>
      <c r="B12" t="inlineStr">
        <is>
          <t>Kota Bekasi</t>
        </is>
      </c>
      <c r="C12" t="inlineStr">
        <is>
          <t>082178859162</t>
        </is>
      </c>
      <c r="D12" t="inlineStr">
        <is>
          <t>ShbStation@gmail.com</t>
        </is>
      </c>
      <c r="E12" t="inlineStr">
        <is>
          <t>https://lpjk.pu.go.id/search-badan-usaha-detail/TTMzbFErcmozeXBHVzhYTzFzYW10UT09</t>
        </is>
      </c>
      <c r="F12" t="n">
        <v>1</v>
      </c>
      <c r="G12" t="inlineStr">
        <is>
          <t>BS001</t>
        </is>
      </c>
      <c r="H12" t="inlineStr">
        <is>
          <t>22 Mei 2023</t>
        </is>
      </c>
      <c r="I12" s="2" t="n">
        <v>46228</v>
      </c>
      <c r="J12" t="inlineStr">
        <is>
          <t>Disetujui</t>
        </is>
      </c>
      <c r="K12" t="n">
        <v>30</v>
      </c>
      <c r="L12" t="inlineStr">
        <is>
          <t>25 Juli 2026</t>
        </is>
      </c>
      <c r="M12" t="inlineStr">
        <is>
          <t>Konstruksi Bangunan Sipil Jalan</t>
        </is>
      </c>
      <c r="N12" t="inlineStr">
        <is>
          <t>K</t>
        </is>
      </c>
      <c r="O12" t="inlineStr">
        <is>
          <t>20230725</t>
        </is>
      </c>
      <c r="P12" t="inlineStr">
        <is>
          <t>Jawa Barat</t>
        </is>
      </c>
      <c r="Q12" s="3">
        <f>HYPERLINK("https://wa.me/6282178859162?text=*[Pengingat Masa Berlaku SBU RONA BERKARYA]*%0A%0AYth. Pimpinan RONA BERKARYA,%0AMohon izin menginformasikan status SBU Anda:%0A%0A📄 SBU: BS001%0A📅 Expired: 25 Juli 2026 (30 Hari Lagi)%0A%0AKami tim PT. ESDEA Assistance Management siap men-support proses perpanjangan segera agar administrasi proyek tidak terhambat%0A%0AApakah boleh saya bantu siapkan estimasi biaya dan waktu pengerjaannya?.", "Hubungi")</f>
        <v/>
      </c>
    </row>
    <row r="13">
      <c r="A13" t="inlineStr">
        <is>
          <t>SELARAS HARAPAN SEMESTA</t>
        </is>
      </c>
      <c r="B13" t="inlineStr">
        <is>
          <t>Kota Bekasi</t>
        </is>
      </c>
      <c r="C13" t="inlineStr">
        <is>
          <t>02122875926</t>
        </is>
      </c>
      <c r="D13" t="inlineStr">
        <is>
          <t>marketing@selarasharapansemesta.id</t>
        </is>
      </c>
      <c r="E13" t="inlineStr">
        <is>
          <t>https://lpjk.pu.go.id/search-badan-usaha-detail/Z3R2bEZHTzZCQ0RyQTFBZk40RzdNUT09</t>
        </is>
      </c>
      <c r="F13" t="n">
        <v>1</v>
      </c>
      <c r="G13" t="inlineStr">
        <is>
          <t>IN001</t>
        </is>
      </c>
      <c r="H13" t="inlineStr">
        <is>
          <t>22 Maret 2013</t>
        </is>
      </c>
      <c r="I13" s="2" t="n">
        <v>46228</v>
      </c>
      <c r="J13" t="inlineStr">
        <is>
          <t>Disetujui</t>
        </is>
      </c>
      <c r="K13" t="n">
        <v>30</v>
      </c>
      <c r="L13" t="inlineStr">
        <is>
          <t>25 Juli 2026</t>
        </is>
      </c>
      <c r="M13" t="inlineStr">
        <is>
          <t>Instalasi Mekanikal</t>
        </is>
      </c>
      <c r="N13" t="inlineStr">
        <is>
          <t>Spesialis</t>
        </is>
      </c>
      <c r="O13" t="inlineStr">
        <is>
          <t>20230724</t>
        </is>
      </c>
      <c r="P13" t="inlineStr">
        <is>
          <t>Jawa Barat</t>
        </is>
      </c>
      <c r="Q13" t="inlineStr"/>
    </row>
    <row r="14">
      <c r="A14" t="inlineStr">
        <is>
          <t>SIMETRIS USAHA MANDIRI</t>
        </is>
      </c>
      <c r="B14" t="inlineStr">
        <is>
          <t>Kota Adm. Jakarta Timur</t>
        </is>
      </c>
      <c r="C14" t="inlineStr">
        <is>
          <t>0218611831</t>
        </is>
      </c>
      <c r="D14" t="inlineStr">
        <is>
          <t>simetris.um@gmail.com</t>
        </is>
      </c>
      <c r="E14" t="inlineStr">
        <is>
          <t>https://lpjk.pu.go.id/search-badan-usaha-detail/ZFRqcm1mMjBuMkxobkxhZVhRMVg3UT09</t>
        </is>
      </c>
      <c r="F14" t="n">
        <v>1</v>
      </c>
      <c r="G14" t="inlineStr">
        <is>
          <t>BG002</t>
        </is>
      </c>
      <c r="H14" t="inlineStr">
        <is>
          <t>19 Januari 2022</t>
        </is>
      </c>
      <c r="I14" s="2" t="n">
        <v>46228</v>
      </c>
      <c r="J14" t="inlineStr">
        <is>
          <t>Disetujui</t>
        </is>
      </c>
      <c r="K14" t="n">
        <v>30</v>
      </c>
      <c r="L14" t="inlineStr">
        <is>
          <t>25 Juli 2026</t>
        </is>
      </c>
      <c r="M14" t="inlineStr">
        <is>
          <t>Konstruksi Gedung Perkantoran</t>
        </is>
      </c>
      <c r="N14" t="inlineStr">
        <is>
          <t>K</t>
        </is>
      </c>
      <c r="O14" t="inlineStr">
        <is>
          <t>20230717</t>
        </is>
      </c>
      <c r="P14" t="inlineStr">
        <is>
          <t>DKI Jakarta</t>
        </is>
      </c>
      <c r="Q14" t="inlineStr"/>
    </row>
    <row r="15">
      <c r="A15" t="inlineStr">
        <is>
          <t>SNIBRAHIM JAYA KONSULTAN</t>
        </is>
      </c>
      <c r="B15" t="inlineStr">
        <is>
          <t>Kota Depok</t>
        </is>
      </c>
      <c r="C15" t="inlineStr">
        <is>
          <t>02177833772</t>
        </is>
      </c>
      <c r="D15" t="inlineStr">
        <is>
          <t>sjk_ibrahim@yahoo.com</t>
        </is>
      </c>
      <c r="E15" t="inlineStr">
        <is>
          <t>https://lpjk.pu.go.id/search-badan-usaha-detail/eVJDWEV1UFc3eUhMM1ZJUCt0bGlSdz09</t>
        </is>
      </c>
      <c r="F15" t="n">
        <v>1</v>
      </c>
      <c r="G15" t="inlineStr">
        <is>
          <t>RK001</t>
        </is>
      </c>
      <c r="H15" t="inlineStr">
        <is>
          <t>21 Juni 2016</t>
        </is>
      </c>
      <c r="I15" s="2" t="n">
        <v>46228</v>
      </c>
      <c r="J15" t="inlineStr">
        <is>
          <t>Disetujui</t>
        </is>
      </c>
      <c r="K15" t="n">
        <v>30</v>
      </c>
      <c r="L15" t="inlineStr">
        <is>
          <t>25 Juli 2026</t>
        </is>
      </c>
      <c r="M15" t="inlineStr">
        <is>
          <t>Jasa Rekayasa Konstruksi Bangunan Gedung Hunian dan Non Hunian</t>
        </is>
      </c>
      <c r="N15" t="inlineStr">
        <is>
          <t>K</t>
        </is>
      </c>
      <c r="O15" t="inlineStr">
        <is>
          <t>20230711</t>
        </is>
      </c>
      <c r="P15" t="inlineStr">
        <is>
          <t>Jawa Barat</t>
        </is>
      </c>
      <c r="Q15" t="inlineStr"/>
    </row>
    <row r="16">
      <c r="A16" t="inlineStr">
        <is>
          <t>TATA CITRA PERKASA</t>
        </is>
      </c>
      <c r="B16" t="inlineStr">
        <is>
          <t>Kota Depok</t>
        </is>
      </c>
      <c r="C16" t="inlineStr">
        <is>
          <t>08128327348</t>
        </is>
      </c>
      <c r="D16" t="inlineStr">
        <is>
          <t>tatacitraperkasa@yahoo.co.id</t>
        </is>
      </c>
      <c r="E16" t="inlineStr">
        <is>
          <t>https://lpjk.pu.go.id/search-badan-usaha-detail/NFpLLzJXMjkxV2htT1o2M0RzTGxvQT09</t>
        </is>
      </c>
      <c r="F16" t="n">
        <v>1</v>
      </c>
      <c r="G16" t="inlineStr">
        <is>
          <t>IN001</t>
        </is>
      </c>
      <c r="H16" t="inlineStr">
        <is>
          <t>17 Februari 2012</t>
        </is>
      </c>
      <c r="I16" s="2" t="n">
        <v>46228</v>
      </c>
      <c r="J16" t="inlineStr">
        <is>
          <t>Disetujui</t>
        </is>
      </c>
      <c r="K16" t="n">
        <v>30</v>
      </c>
      <c r="L16" t="inlineStr">
        <is>
          <t>25 Juli 2026</t>
        </is>
      </c>
      <c r="M16" t="inlineStr">
        <is>
          <t>Instalasi Mekanikal</t>
        </is>
      </c>
      <c r="N16" t="inlineStr">
        <is>
          <t>Spesialis</t>
        </is>
      </c>
      <c r="O16" t="inlineStr">
        <is>
          <t>20230720</t>
        </is>
      </c>
      <c r="P16" t="inlineStr">
        <is>
          <t>Jawa Barat</t>
        </is>
      </c>
      <c r="Q16" s="3">
        <f>HYPERLINK("https://wa.me/628128327348?text=*[Pengingat Masa Berlaku SBU TATA CITRA PERKASA]*%0A%0AYth. Pimpinan TATA CITRA PERKASA,%0AMohon izin menginformasikan status SBU Anda:%0A%0A📄 SBU: IN001%0A📅 Expired: 25 Juli 2026 (30 Hari Lagi)%0A%0AKami tim PT. ESDEA Assistance Management siap men-support proses perpanjangan segera agar administrasi proyek tidak terhambat%0A%0AApakah boleh saya bantu siapkan estimasi biaya dan waktu pengerjaannya?.", "Hubungi")</f>
        <v/>
      </c>
    </row>
    <row r="17">
      <c r="A17" t="inlineStr">
        <is>
          <t>ABIZARD KATTA BERSAUDARA</t>
        </is>
      </c>
      <c r="B17" t="inlineStr">
        <is>
          <t>Kota Palembang</t>
        </is>
      </c>
      <c r="C17" t="inlineStr">
        <is>
          <t>082176408375</t>
        </is>
      </c>
      <c r="D17" t="inlineStr">
        <is>
          <t>cvabizardkattabersaudara@gmail.com</t>
        </is>
      </c>
      <c r="E17" t="inlineStr">
        <is>
          <t>https://lpjk.pu.go.id/search-badan-usaha-detail/Z3AxRnloMlJ1QWF4bUdxcFdQVDlFdz09</t>
        </is>
      </c>
      <c r="F17" t="n">
        <v>2</v>
      </c>
      <c r="G17" t="inlineStr">
        <is>
          <t>BS001</t>
        </is>
      </c>
      <c r="H17" t="inlineStr">
        <is>
          <t>14 Februari 2020</t>
        </is>
      </c>
      <c r="I17" s="2" t="n">
        <v>46228</v>
      </c>
      <c r="J17" t="inlineStr">
        <is>
          <t>Pencabutan</t>
        </is>
      </c>
      <c r="K17" t="n">
        <v>30</v>
      </c>
      <c r="L17" t="inlineStr">
        <is>
          <t>25 Juli 2026</t>
        </is>
      </c>
      <c r="M17" t="inlineStr">
        <is>
          <t>Konstruksi Bangunan Sipil Jalan</t>
        </is>
      </c>
      <c r="N17" t="inlineStr">
        <is>
          <t>K</t>
        </is>
      </c>
      <c r="O17" t="inlineStr">
        <is>
          <t>20230725</t>
        </is>
      </c>
      <c r="P17" t="inlineStr">
        <is>
          <t>Sumatera Selatan</t>
        </is>
      </c>
      <c r="Q17" t="inlineStr"/>
    </row>
    <row r="18">
      <c r="A18" t="inlineStr">
        <is>
          <t>ADI MITRA</t>
        </is>
      </c>
      <c r="B18" t="inlineStr">
        <is>
          <t>Kota Pangkal Pinang</t>
        </is>
      </c>
      <c r="C18" t="inlineStr">
        <is>
          <t>083161878893</t>
        </is>
      </c>
      <c r="D18" t="inlineStr">
        <is>
          <t>siddikichsan@gmail.com</t>
        </is>
      </c>
      <c r="E18" t="inlineStr">
        <is>
          <t>https://lpjk.pu.go.id/search-badan-usaha-detail/SnBDU2RJVDBoemF4SHRGT25DcGFJQT09</t>
        </is>
      </c>
      <c r="F18" t="n">
        <v>2</v>
      </c>
      <c r="G18" t="inlineStr">
        <is>
          <t>BG002, BG009</t>
        </is>
      </c>
      <c r="H18" t="inlineStr">
        <is>
          <t>11 Maret 1993</t>
        </is>
      </c>
      <c r="I18" s="2" t="n">
        <v>46228</v>
      </c>
      <c r="J18" t="inlineStr">
        <is>
          <t>Disetujui</t>
        </is>
      </c>
      <c r="K18" t="n">
        <v>30</v>
      </c>
      <c r="L18" t="inlineStr">
        <is>
          <t>25 Juli 2026</t>
        </is>
      </c>
      <c r="M18" t="inlineStr">
        <is>
          <t>Konstruksi Gedung Lainnya, Konstruksi Gedung Perkantoran</t>
        </is>
      </c>
      <c r="N18" t="inlineStr">
        <is>
          <t>K</t>
        </is>
      </c>
      <c r="O18" t="inlineStr">
        <is>
          <t>20230714</t>
        </is>
      </c>
      <c r="P18" t="inlineStr">
        <is>
          <t>Kepulauan Bangka Belitung</t>
        </is>
      </c>
      <c r="Q18" t="inlineStr"/>
    </row>
    <row r="19">
      <c r="A19" t="inlineStr">
        <is>
          <t>ADITYA KARYA SENTOSA</t>
        </is>
      </c>
      <c r="B19" t="inlineStr">
        <is>
          <t>Kota Bau Bau</t>
        </is>
      </c>
      <c r="C19" t="inlineStr">
        <is>
          <t>040228214379</t>
        </is>
      </c>
      <c r="D19" t="inlineStr">
        <is>
          <t>cv.adityakaryasentosa@gmail.com</t>
        </is>
      </c>
      <c r="E19" t="inlineStr">
        <is>
          <t>https://lpjk.pu.go.id/search-badan-usaha-detail/QXUzRlp2SFdiR1RCT21FQno5Zm1nQT09</t>
        </is>
      </c>
      <c r="F19" t="n">
        <v>2</v>
      </c>
      <c r="G19" t="inlineStr">
        <is>
          <t>BG002, BG006</t>
        </is>
      </c>
      <c r="H19" t="inlineStr">
        <is>
          <t>12 Februari 2022</t>
        </is>
      </c>
      <c r="I19" s="2" t="n">
        <v>46228</v>
      </c>
      <c r="J19" t="inlineStr">
        <is>
          <t>Disetujui</t>
        </is>
      </c>
      <c r="K19" t="n">
        <v>30</v>
      </c>
      <c r="L19" t="inlineStr">
        <is>
          <t>25 Juli 2026</t>
        </is>
      </c>
      <c r="M19" t="inlineStr">
        <is>
          <t>Konstruksi Gedung Pendidikan, Konstruksi Gedung Perkantoran</t>
        </is>
      </c>
      <c r="N19" t="inlineStr">
        <is>
          <t>K</t>
        </is>
      </c>
      <c r="O19" t="inlineStr">
        <is>
          <t>20230512</t>
        </is>
      </c>
      <c r="P19" t="inlineStr">
        <is>
          <t>Sulawesi Tenggara</t>
        </is>
      </c>
      <c r="Q19" t="inlineStr"/>
    </row>
    <row r="20">
      <c r="A20" t="inlineStr">
        <is>
          <t>ADJI PERKASA</t>
        </is>
      </c>
      <c r="B20" t="inlineStr">
        <is>
          <t>Kab. Banjar</t>
        </is>
      </c>
      <c r="C20" t="inlineStr">
        <is>
          <t>05114789444</t>
        </is>
      </c>
      <c r="D20" t="inlineStr">
        <is>
          <t>ptadjiperkasa@yahoo.com</t>
        </is>
      </c>
      <c r="E20" t="inlineStr">
        <is>
          <t>https://lpjk.pu.go.id/search-badan-usaha-detail/NS91SEk3NkttMVZnTml3TVhUeVdGZz09</t>
        </is>
      </c>
      <c r="F20" t="n">
        <v>1</v>
      </c>
      <c r="G20" t="inlineStr">
        <is>
          <t>BS002</t>
        </is>
      </c>
      <c r="H20" t="inlineStr">
        <is>
          <t>22 Desember 2009</t>
        </is>
      </c>
      <c r="I20" s="2" t="n">
        <v>46228</v>
      </c>
      <c r="J20" t="inlineStr">
        <is>
          <t>Disetujui</t>
        </is>
      </c>
      <c r="K20" t="n">
        <v>30</v>
      </c>
      <c r="L20" t="inlineStr">
        <is>
          <t>25 Juli 2026</t>
        </is>
      </c>
      <c r="M20" t="inlineStr">
        <is>
          <t>Bangunan Sipil Jembatan, Jalan Layang, Fly Over, dan Underpass</t>
        </is>
      </c>
      <c r="N20" t="inlineStr">
        <is>
          <t>M</t>
        </is>
      </c>
      <c r="O20" t="inlineStr">
        <is>
          <t>20230714</t>
        </is>
      </c>
      <c r="P20" t="inlineStr">
        <is>
          <t>Kalimantan Selatan</t>
        </is>
      </c>
      <c r="Q20" t="inlineStr"/>
    </row>
    <row r="21">
      <c r="A21" t="inlineStr">
        <is>
          <t>AKSARA CIPTA REKANUSA</t>
        </is>
      </c>
      <c r="B21" t="inlineStr">
        <is>
          <t>Kab. Pandeglang</t>
        </is>
      </c>
      <c r="C21" t="inlineStr">
        <is>
          <t>081381314304</t>
        </is>
      </c>
      <c r="D21" t="inlineStr">
        <is>
          <t>ptaksaraciptarekanusa@gmail.com</t>
        </is>
      </c>
      <c r="E21" t="inlineStr">
        <is>
          <t>https://lpjk.pu.go.id/search-badan-usaha-detail/c0FBVnVuK1VSRU43UkV0SXF1SlNKdz09</t>
        </is>
      </c>
      <c r="F21" t="n">
        <v>2</v>
      </c>
      <c r="G21" t="inlineStr">
        <is>
          <t>RK002</t>
        </is>
      </c>
      <c r="H21" t="inlineStr">
        <is>
          <t>13 Januari 2020</t>
        </is>
      </c>
      <c r="I21" s="2" t="n">
        <v>46228</v>
      </c>
      <c r="J21" t="inlineStr">
        <is>
          <t>Disetujui</t>
        </is>
      </c>
      <c r="K21" t="n">
        <v>30</v>
      </c>
      <c r="L21" t="inlineStr">
        <is>
          <t>25 Juli 2026</t>
        </is>
      </c>
      <c r="M21" t="inlineStr">
        <is>
          <t>Jasa Rekayasa Pekerjaan Teknik Sipil Sumber Daya Air</t>
        </is>
      </c>
      <c r="N21" t="inlineStr">
        <is>
          <t>K</t>
        </is>
      </c>
      <c r="O21" t="inlineStr">
        <is>
          <t>20230711</t>
        </is>
      </c>
      <c r="P21" t="inlineStr">
        <is>
          <t>Banten</t>
        </is>
      </c>
      <c r="Q21" t="inlineStr"/>
    </row>
    <row r="22">
      <c r="A22" t="inlineStr">
        <is>
          <t>ALAM RAYA</t>
        </is>
      </c>
      <c r="B22" t="inlineStr">
        <is>
          <t>Kab. Dompu</t>
        </is>
      </c>
      <c r="C22" t="inlineStr">
        <is>
          <t>085338420939</t>
        </is>
      </c>
      <c r="D22" t="inlineStr">
        <is>
          <t>alamrayadompu11@gmail.com</t>
        </is>
      </c>
      <c r="E22" t="inlineStr">
        <is>
          <t>https://lpjk.pu.go.id/search-badan-usaha-detail/emxCYkoyNG1yR0tYRHBPd0NlY0FOUT09</t>
        </is>
      </c>
      <c r="F22" t="n">
        <v>3</v>
      </c>
      <c r="G22" t="inlineStr">
        <is>
          <t>BG002, BG005, BG006</t>
        </is>
      </c>
      <c r="H22" t="inlineStr">
        <is>
          <t>5 Februari 2011</t>
        </is>
      </c>
      <c r="I22" s="2" t="n">
        <v>46228</v>
      </c>
      <c r="J22" t="inlineStr">
        <is>
          <t>Disetujui</t>
        </is>
      </c>
      <c r="K22" t="n">
        <v>30</v>
      </c>
      <c r="L22" t="inlineStr">
        <is>
          <t>25 Juli 2026</t>
        </is>
      </c>
      <c r="M22" t="inlineStr">
        <is>
          <t>Konstruksi Gedung Kesehatan, Konstruksi Gedung Pendidikan, Konstruksi Gedung Perkantoran</t>
        </is>
      </c>
      <c r="N22" t="inlineStr">
        <is>
          <t>K</t>
        </is>
      </c>
      <c r="O22" t="inlineStr">
        <is>
          <t>20230720, 20230721</t>
        </is>
      </c>
      <c r="P22" t="inlineStr">
        <is>
          <t>Nusa Tenggara Barat</t>
        </is>
      </c>
      <c r="Q22" t="inlineStr"/>
    </row>
    <row r="23">
      <c r="A23" t="inlineStr">
        <is>
          <t>ALDY PRATAMA</t>
        </is>
      </c>
      <c r="B23" t="inlineStr">
        <is>
          <t>Kab. Kolaka</t>
        </is>
      </c>
      <c r="C23" t="inlineStr">
        <is>
          <t>08134168269</t>
        </is>
      </c>
      <c r="D23" t="inlineStr">
        <is>
          <t>cvaldypratama23@gmail.com</t>
        </is>
      </c>
      <c r="E23" t="inlineStr">
        <is>
          <t>https://lpjk.pu.go.id/search-badan-usaha-detail/UGlzSXZIcVVsNmVuVkxIVmV2ekIzQT09</t>
        </is>
      </c>
      <c r="F23" t="n">
        <v>2</v>
      </c>
      <c r="G23" t="inlineStr">
        <is>
          <t>BG009, BS001</t>
        </is>
      </c>
      <c r="H23" t="inlineStr">
        <is>
          <t>11 Desember 2019</t>
        </is>
      </c>
      <c r="I23" s="2" t="n">
        <v>46228</v>
      </c>
      <c r="J23" t="inlineStr">
        <is>
          <t>Pencabutan</t>
        </is>
      </c>
      <c r="K23" t="n">
        <v>30</v>
      </c>
      <c r="L23" t="inlineStr">
        <is>
          <t>25 Juli 2026</t>
        </is>
      </c>
      <c r="M23" t="inlineStr">
        <is>
          <t>Konstruksi Bangunan Sipil Jalan, Konstruksi Gedung Lainnya</t>
        </is>
      </c>
      <c r="N23" t="inlineStr">
        <is>
          <t>K</t>
        </is>
      </c>
      <c r="O23" t="inlineStr">
        <is>
          <t>20230726</t>
        </is>
      </c>
      <c r="P23" t="inlineStr">
        <is>
          <t>Sulawesi Tenggara</t>
        </is>
      </c>
      <c r="Q23" t="inlineStr"/>
    </row>
    <row r="24">
      <c r="A24" t="inlineStr">
        <is>
          <t>ALPHA PERDANA JAYA</t>
        </is>
      </c>
      <c r="B24" t="inlineStr">
        <is>
          <t>Kab. Kutai Timur</t>
        </is>
      </c>
      <c r="C24" t="inlineStr">
        <is>
          <t>082129939948</t>
        </is>
      </c>
      <c r="D24" t="inlineStr">
        <is>
          <t>evisusantialphaaim@gmail.com</t>
        </is>
      </c>
      <c r="E24" t="inlineStr">
        <is>
          <t>https://lpjk.pu.go.id/search-badan-usaha-detail/TWVYdk9qaGZ1aysrRlhISTZoUkE3UT09</t>
        </is>
      </c>
      <c r="F24" t="n">
        <v>1</v>
      </c>
      <c r="G24" t="inlineStr">
        <is>
          <t>BS004</t>
        </is>
      </c>
      <c r="H24" t="inlineStr">
        <is>
          <t>11 Maret 2014</t>
        </is>
      </c>
      <c r="I24" s="2" t="n">
        <v>46228</v>
      </c>
      <c r="J24" t="inlineStr">
        <is>
          <t>Pencabutan</t>
        </is>
      </c>
      <c r="K24" t="n">
        <v>30</v>
      </c>
      <c r="L24" t="inlineStr">
        <is>
          <t>25 Juli 2026</t>
        </is>
      </c>
      <c r="M24" t="inlineStr">
        <is>
          <t>Konstruksi Jaringan Irigasi dan Drainase</t>
        </is>
      </c>
      <c r="N24" t="inlineStr">
        <is>
          <t>K</t>
        </is>
      </c>
      <c r="O24" t="inlineStr">
        <is>
          <t>20230706</t>
        </is>
      </c>
      <c r="P24" t="inlineStr">
        <is>
          <t>Kalimantan Timur</t>
        </is>
      </c>
      <c r="Q24" t="inlineStr"/>
    </row>
    <row r="25">
      <c r="A25" t="inlineStr">
        <is>
          <t>ALPHATECH DREDGING INDONESIA</t>
        </is>
      </c>
      <c r="B25" t="inlineStr">
        <is>
          <t>Kota Makassar</t>
        </is>
      </c>
      <c r="C25" t="inlineStr">
        <is>
          <t>0411438877</t>
        </is>
      </c>
      <c r="D25" t="inlineStr">
        <is>
          <t>adi@alphatech1.com.sg</t>
        </is>
      </c>
      <c r="E25" t="inlineStr">
        <is>
          <t>https://lpjk.pu.go.id/search-badan-usaha-detail/K052WE9QZUkyVHhUMkJ0TGplTlZoUT09</t>
        </is>
      </c>
      <c r="F25" t="n">
        <v>1</v>
      </c>
      <c r="G25" t="inlineStr">
        <is>
          <t>PL003</t>
        </is>
      </c>
      <c r="H25" t="inlineStr">
        <is>
          <t>10 Oktober 2016</t>
        </is>
      </c>
      <c r="I25" s="2" t="n">
        <v>46228</v>
      </c>
      <c r="J25" t="inlineStr">
        <is>
          <t>Pembekuan</t>
        </is>
      </c>
      <c r="K25" t="n">
        <v>30</v>
      </c>
      <c r="L25" t="inlineStr">
        <is>
          <t>25 Juli 2026</t>
        </is>
      </c>
      <c r="M25" t="inlineStr">
        <is>
          <t>Penyiapan Lahan Konstruksi</t>
        </is>
      </c>
      <c r="N25" t="inlineStr">
        <is>
          <t>Spesialis</t>
        </is>
      </c>
      <c r="O25" t="inlineStr">
        <is>
          <t>20230609</t>
        </is>
      </c>
      <c r="P25" t="inlineStr">
        <is>
          <t>Sulawesi Selatan</t>
        </is>
      </c>
      <c r="Q25" t="inlineStr"/>
    </row>
    <row r="26">
      <c r="A26" t="inlineStr">
        <is>
          <t>ALPIN ALGANI</t>
        </is>
      </c>
      <c r="B26" t="inlineStr">
        <is>
          <t>Kab. Subang</t>
        </is>
      </c>
      <c r="C26" t="inlineStr">
        <is>
          <t>85222873550</t>
        </is>
      </c>
      <c r="D26" t="inlineStr">
        <is>
          <t>alpinalghanicv@gmail.com</t>
        </is>
      </c>
      <c r="E26" t="inlineStr">
        <is>
          <t>https://lpjk.pu.go.id/search-badan-usaha-detail/d3JkWXMzY0xGVVMxVDBuZjVrQnFKQT09</t>
        </is>
      </c>
      <c r="F26" t="n">
        <v>2</v>
      </c>
      <c r="G26" t="inlineStr">
        <is>
          <t>BS001</t>
        </is>
      </c>
      <c r="H26" t="inlineStr">
        <is>
          <t>26 Oktober 2016</t>
        </is>
      </c>
      <c r="I26" s="2" t="n">
        <v>46228</v>
      </c>
      <c r="J26" t="inlineStr">
        <is>
          <t>Pencabutan</t>
        </is>
      </c>
      <c r="K26" t="n">
        <v>30</v>
      </c>
      <c r="L26" t="inlineStr">
        <is>
          <t>25 Juli 2026</t>
        </is>
      </c>
      <c r="M26" t="inlineStr">
        <is>
          <t>Konstruksi Bangunan Sipil Jalan</t>
        </is>
      </c>
      <c r="N26" t="inlineStr">
        <is>
          <t>K</t>
        </is>
      </c>
      <c r="O26" t="inlineStr">
        <is>
          <t>20230721</t>
        </is>
      </c>
      <c r="P26" t="inlineStr">
        <is>
          <t>Jawa Barat</t>
        </is>
      </c>
      <c r="Q26" t="inlineStr"/>
    </row>
    <row r="27">
      <c r="A27" t="inlineStr">
        <is>
          <t>AMANA NUSANTARA</t>
        </is>
      </c>
      <c r="B27" t="inlineStr">
        <is>
          <t>Kota Tangerang Selatan</t>
        </is>
      </c>
      <c r="C27" t="inlineStr">
        <is>
          <t>081298099633</t>
        </is>
      </c>
      <c r="D27" t="inlineStr">
        <is>
          <t>AMANANUSANTARA@GMAIL.COM</t>
        </is>
      </c>
      <c r="E27" t="inlineStr">
        <is>
          <t>https://lpjk.pu.go.id/search-badan-usaha-detail/cHhYREtYekxGWTZOdVYvMjRKMHdKUT09</t>
        </is>
      </c>
      <c r="F27" t="n">
        <v>2</v>
      </c>
      <c r="G27" t="inlineStr">
        <is>
          <t>BG008</t>
        </is>
      </c>
      <c r="H27" t="inlineStr">
        <is>
          <t>18 Desember 2014</t>
        </is>
      </c>
      <c r="I27" s="2" t="n">
        <v>46228</v>
      </c>
      <c r="J27" t="inlineStr">
        <is>
          <t>Disetujui</t>
        </is>
      </c>
      <c r="K27" t="n">
        <v>30</v>
      </c>
      <c r="L27" t="inlineStr">
        <is>
          <t>25 Juli 2026</t>
        </is>
      </c>
      <c r="M27" t="inlineStr">
        <is>
          <t>Konstruksi Gedung Tempat Hiburan dan Olahraga</t>
        </is>
      </c>
      <c r="N27" t="inlineStr">
        <is>
          <t>K</t>
        </is>
      </c>
      <c r="O27" t="inlineStr">
        <is>
          <t>20230725</t>
        </is>
      </c>
      <c r="P27" t="inlineStr">
        <is>
          <t>Banten</t>
        </is>
      </c>
      <c r="Q27" t="inlineStr"/>
    </row>
    <row r="28">
      <c r="A28" t="inlineStr">
        <is>
          <t>AMANAH KAWAN LAMA</t>
        </is>
      </c>
      <c r="B28" t="inlineStr">
        <is>
          <t>Kota Tangerang</t>
        </is>
      </c>
      <c r="C28" t="inlineStr">
        <is>
          <t>02155778449</t>
        </is>
      </c>
      <c r="D28" t="inlineStr">
        <is>
          <t>widya@amanahkawanlama.com</t>
        </is>
      </c>
      <c r="E28" t="inlineStr">
        <is>
          <t>https://lpjk.pu.go.id/search-badan-usaha-detail/N1JmS2M0TytaaHVZNmxwcW1iT2h6dz09</t>
        </is>
      </c>
      <c r="F28" t="n">
        <v>6</v>
      </c>
      <c r="G28" t="inlineStr">
        <is>
          <t>BG004, BG009</t>
        </is>
      </c>
      <c r="H28" t="inlineStr">
        <is>
          <t>12 Juli 2023</t>
        </is>
      </c>
      <c r="I28" s="2" t="n">
        <v>46228</v>
      </c>
      <c r="J28" t="inlineStr">
        <is>
          <t>Disetujui</t>
        </is>
      </c>
      <c r="K28" t="n">
        <v>30</v>
      </c>
      <c r="L28" t="inlineStr">
        <is>
          <t>25 Juli 2026</t>
        </is>
      </c>
      <c r="M28" t="inlineStr">
        <is>
          <t>Konstruksi Gedung Lainnya, Konstruksi Gedung Perbelanjaan</t>
        </is>
      </c>
      <c r="N28" t="inlineStr">
        <is>
          <t>K</t>
        </is>
      </c>
      <c r="O28" t="inlineStr">
        <is>
          <t>20230721</t>
        </is>
      </c>
      <c r="P28" t="inlineStr">
        <is>
          <t>Banten</t>
        </is>
      </c>
      <c r="Q28" t="inlineStr"/>
    </row>
    <row r="29">
      <c r="A29" t="inlineStr">
        <is>
          <t>AMANAH RIZQI BAROKAH</t>
        </is>
      </c>
      <c r="B29" t="inlineStr">
        <is>
          <t>Kab. Banyumas</t>
        </is>
      </c>
      <c r="C29" t="inlineStr">
        <is>
          <t>085642156122</t>
        </is>
      </c>
      <c r="D29" t="inlineStr">
        <is>
          <t>amanahrisqibarokah@gmail.com</t>
        </is>
      </c>
      <c r="E29" t="inlineStr">
        <is>
          <t>https://lpjk.pu.go.id/search-badan-usaha-detail/NUR3dWhRdkVjbm83Um1kVVRqTFBJZz09</t>
        </is>
      </c>
      <c r="F29" t="n">
        <v>3</v>
      </c>
      <c r="G29" t="inlineStr">
        <is>
          <t>BG005</t>
        </is>
      </c>
      <c r="H29" t="inlineStr">
        <is>
          <t>23 November 2016</t>
        </is>
      </c>
      <c r="I29" s="2" t="n">
        <v>46228</v>
      </c>
      <c r="J29" t="inlineStr">
        <is>
          <t>Disetujui</t>
        </is>
      </c>
      <c r="K29" t="n">
        <v>30</v>
      </c>
      <c r="L29" t="inlineStr">
        <is>
          <t>25 Juli 2026</t>
        </is>
      </c>
      <c r="M29" t="inlineStr">
        <is>
          <t>Konstruksi Gedung Kesehatan</t>
        </is>
      </c>
      <c r="N29" t="inlineStr">
        <is>
          <t>K</t>
        </is>
      </c>
      <c r="O29" t="inlineStr">
        <is>
          <t>20230725</t>
        </is>
      </c>
      <c r="P29" t="inlineStr">
        <is>
          <t>Jawa Tengah</t>
        </is>
      </c>
      <c r="Q29" t="inlineStr"/>
    </row>
    <row r="30">
      <c r="A30" t="inlineStr">
        <is>
          <t>AMBAR AGUNG</t>
        </is>
      </c>
      <c r="B30" t="inlineStr">
        <is>
          <t>Kab. Banyumas</t>
        </is>
      </c>
      <c r="C30" t="inlineStr">
        <is>
          <t>0281631860</t>
        </is>
      </c>
      <c r="D30" t="inlineStr">
        <is>
          <t>ambaragung_cv@yahoo.co.id</t>
        </is>
      </c>
      <c r="E30" t="inlineStr">
        <is>
          <t>https://lpjk.pu.go.id/search-badan-usaha-detail/VjVDMXNTVTVjT2t5QmVabzQ3WkhCQT09</t>
        </is>
      </c>
      <c r="F30" t="n">
        <v>1</v>
      </c>
      <c r="G30" t="inlineStr">
        <is>
          <t>BS005</t>
        </is>
      </c>
      <c r="H30" t="inlineStr">
        <is>
          <t>12 November 1985</t>
        </is>
      </c>
      <c r="I30" s="2" t="n">
        <v>46228</v>
      </c>
      <c r="J30" t="inlineStr">
        <is>
          <t>Disetujui</t>
        </is>
      </c>
      <c r="K30" t="n">
        <v>30</v>
      </c>
      <c r="L30" t="inlineStr">
        <is>
          <t>25 Juli 2026</t>
        </is>
      </c>
      <c r="M30" t="inlineStr">
        <is>
          <t>Konstruksi Bangunan Sipil Pengolahan Air Bersih</t>
        </is>
      </c>
      <c r="N30" t="inlineStr">
        <is>
          <t>K</t>
        </is>
      </c>
      <c r="O30" t="inlineStr">
        <is>
          <t>20230721</t>
        </is>
      </c>
      <c r="P30" t="inlineStr">
        <is>
          <t>Jawa Tengah</t>
        </is>
      </c>
      <c r="Q30" t="inlineStr"/>
    </row>
    <row r="31">
      <c r="A31" t="inlineStr">
        <is>
          <t>ANAK GUNUNG</t>
        </is>
      </c>
      <c r="B31" t="inlineStr">
        <is>
          <t>Kota Bandar Lampung</t>
        </is>
      </c>
      <c r="C31" t="inlineStr">
        <is>
          <t>081368912260</t>
        </is>
      </c>
      <c r="D31" t="inlineStr">
        <is>
          <t>cv.anak.gunung@gmail.com</t>
        </is>
      </c>
      <c r="E31" t="inlineStr">
        <is>
          <t>https://lpjk.pu.go.id/search-badan-usaha-detail/YjNWTmZwMUJmOE0vUG1GUG05ZmdBdz09</t>
        </is>
      </c>
      <c r="F31" t="n">
        <v>1</v>
      </c>
      <c r="G31" t="inlineStr">
        <is>
          <t>BS002</t>
        </is>
      </c>
      <c r="H31" t="inlineStr">
        <is>
          <t>10 April 2017</t>
        </is>
      </c>
      <c r="I31" s="2" t="n">
        <v>46228</v>
      </c>
      <c r="J31" t="inlineStr">
        <is>
          <t>Pencabutan</t>
        </is>
      </c>
      <c r="K31" t="n">
        <v>30</v>
      </c>
      <c r="L31" t="inlineStr">
        <is>
          <t>25 Juli 2026</t>
        </is>
      </c>
      <c r="M31" t="inlineStr">
        <is>
          <t>Bangunan Sipil Jembatan, Jalan Layang, Fly Over, dan Underpass</t>
        </is>
      </c>
      <c r="N31" t="inlineStr">
        <is>
          <t>K</t>
        </is>
      </c>
      <c r="O31" t="inlineStr">
        <is>
          <t>20230626</t>
        </is>
      </c>
      <c r="P31" t="inlineStr">
        <is>
          <t>Lampung</t>
        </is>
      </c>
      <c r="Q31" t="inlineStr"/>
    </row>
    <row r="32">
      <c r="A32" t="inlineStr">
        <is>
          <t>ANDIKA PESONA ABADI</t>
        </is>
      </c>
      <c r="B32" t="inlineStr">
        <is>
          <t>Kota Pekanbaru</t>
        </is>
      </c>
      <c r="C32" t="inlineStr">
        <is>
          <t>082386199779</t>
        </is>
      </c>
      <c r="D32" t="inlineStr">
        <is>
          <t>andikaberkah01@gmail.com</t>
        </is>
      </c>
      <c r="E32" t="inlineStr">
        <is>
          <t>https://lpjk.pu.go.id/search-badan-usaha-detail/b05NQ2lGWG9INmJZMVhEUzJXMU4vdz09</t>
        </is>
      </c>
      <c r="F32" t="n">
        <v>2</v>
      </c>
      <c r="G32" t="inlineStr">
        <is>
          <t>BS001</t>
        </is>
      </c>
      <c r="H32" t="inlineStr">
        <is>
          <t>22 Juni 2012</t>
        </is>
      </c>
      <c r="I32" s="2" t="n">
        <v>46228</v>
      </c>
      <c r="J32" t="inlineStr">
        <is>
          <t>Pencabutan</t>
        </is>
      </c>
      <c r="K32" t="n">
        <v>30</v>
      </c>
      <c r="L32" t="inlineStr">
        <is>
          <t>25 Juli 2026</t>
        </is>
      </c>
      <c r="M32" t="inlineStr">
        <is>
          <t>Konstruksi Bangunan Sipil Jalan</t>
        </is>
      </c>
      <c r="N32" t="inlineStr">
        <is>
          <t>K</t>
        </is>
      </c>
      <c r="O32" t="inlineStr">
        <is>
          <t>20230726</t>
        </is>
      </c>
      <c r="P32" t="inlineStr">
        <is>
          <t>Riau</t>
        </is>
      </c>
      <c r="Q32" t="inlineStr"/>
    </row>
    <row r="33">
      <c r="A33" t="inlineStr">
        <is>
          <t>ANEKA SENTRATAMA CAHAYA OPTIMA</t>
        </is>
      </c>
      <c r="B33" t="inlineStr">
        <is>
          <t>Kota Adm. Jakarta Utara</t>
        </is>
      </c>
      <c r="C33" t="inlineStr">
        <is>
          <t>N/A</t>
        </is>
      </c>
      <c r="D33" t="inlineStr">
        <is>
          <t>N/A</t>
        </is>
      </c>
      <c r="E33" t="inlineStr">
        <is>
          <t>https://lpjk.pu.go.id/search-badan-usaha-detail/NTh0K0l0bWVpK0JqSnUxaFhjUnJ3UT09</t>
        </is>
      </c>
      <c r="F33" t="n">
        <v>1</v>
      </c>
      <c r="G33" t="inlineStr">
        <is>
          <t>BG004</t>
        </is>
      </c>
      <c r="H33" t="inlineStr"/>
      <c r="I33" s="2" t="n">
        <v>46228</v>
      </c>
      <c r="J33" t="inlineStr">
        <is>
          <t>Pembekuan</t>
        </is>
      </c>
      <c r="K33" t="n">
        <v>30</v>
      </c>
      <c r="L33" t="inlineStr">
        <is>
          <t>25 Juli 2026</t>
        </is>
      </c>
      <c r="M33" t="inlineStr">
        <is>
          <t>Konstruksi Gedung Perbelanjaan</t>
        </is>
      </c>
      <c r="N33" t="inlineStr">
        <is>
          <t>M</t>
        </is>
      </c>
      <c r="O33" t="inlineStr">
        <is>
          <t>20230703</t>
        </is>
      </c>
      <c r="P33" t="inlineStr">
        <is>
          <t>DKI Jakarta</t>
        </is>
      </c>
      <c r="Q33" t="inlineStr"/>
    </row>
    <row r="34">
      <c r="A34" t="inlineStr">
        <is>
          <t>ANUGERAH AGUNG DAMAI</t>
        </is>
      </c>
      <c r="B34" t="inlineStr">
        <is>
          <t>Kab. Lombok Timur</t>
        </is>
      </c>
      <c r="C34" t="inlineStr">
        <is>
          <t>081997771119</t>
        </is>
      </c>
      <c r="D34" t="inlineStr">
        <is>
          <t>agungdamai58@gmail.com</t>
        </is>
      </c>
      <c r="E34" t="inlineStr">
        <is>
          <t>https://lpjk.pu.go.id/search-badan-usaha-detail/ZmdnMnl4TkNwSWlnNmlVRlFYUEh6Zz09</t>
        </is>
      </c>
      <c r="F34" t="n">
        <v>1</v>
      </c>
      <c r="G34" t="inlineStr">
        <is>
          <t>BG004</t>
        </is>
      </c>
      <c r="H34" t="inlineStr">
        <is>
          <t>12 Februari 2020</t>
        </is>
      </c>
      <c r="I34" s="2" t="n">
        <v>46228</v>
      </c>
      <c r="J34" t="inlineStr">
        <is>
          <t>Disetujui</t>
        </is>
      </c>
      <c r="K34" t="n">
        <v>30</v>
      </c>
      <c r="L34" t="inlineStr">
        <is>
          <t>25 Juli 2026</t>
        </is>
      </c>
      <c r="M34" t="inlineStr">
        <is>
          <t>Konstruksi Gedung Perbelanjaan</t>
        </is>
      </c>
      <c r="N34" t="inlineStr">
        <is>
          <t>K</t>
        </is>
      </c>
      <c r="O34" t="inlineStr">
        <is>
          <t>20230726</t>
        </is>
      </c>
      <c r="P34" t="inlineStr">
        <is>
          <t>Nusa Tenggara Barat</t>
        </is>
      </c>
      <c r="Q34" t="inlineStr"/>
    </row>
    <row r="35">
      <c r="A35" t="inlineStr">
        <is>
          <t>ANUGRAH TOMATA</t>
        </is>
      </c>
      <c r="B35" t="inlineStr">
        <is>
          <t>Kab. Morowali Utara</t>
        </is>
      </c>
      <c r="C35" t="inlineStr">
        <is>
          <t>082247425334</t>
        </is>
      </c>
      <c r="D35" t="inlineStr">
        <is>
          <t>victorsudamara@gmail.com</t>
        </is>
      </c>
      <c r="E35" t="inlineStr">
        <is>
          <t>https://lpjk.pu.go.id/search-badan-usaha-detail/TWVqNnl0R2gyT3dtbjdoM3A2OW91dz09</t>
        </is>
      </c>
      <c r="F35" t="n">
        <v>2</v>
      </c>
      <c r="G35" t="inlineStr">
        <is>
          <t>BG006</t>
        </is>
      </c>
      <c r="H35" t="inlineStr">
        <is>
          <t>10 Februari 2020</t>
        </is>
      </c>
      <c r="I35" s="2" t="n">
        <v>46228</v>
      </c>
      <c r="J35" t="inlineStr">
        <is>
          <t>Disetujui</t>
        </is>
      </c>
      <c r="K35" t="n">
        <v>30</v>
      </c>
      <c r="L35" t="inlineStr">
        <is>
          <t>25 Juli 2026</t>
        </is>
      </c>
      <c r="M35" t="inlineStr">
        <is>
          <t>Konstruksi Gedung Pendidikan</t>
        </is>
      </c>
      <c r="N35" t="inlineStr">
        <is>
          <t>K</t>
        </is>
      </c>
      <c r="O35" t="inlineStr">
        <is>
          <t>20230725</t>
        </is>
      </c>
      <c r="P35" t="inlineStr">
        <is>
          <t>Sulawesi Tengah</t>
        </is>
      </c>
      <c r="Q35" t="inlineStr"/>
    </row>
    <row r="36">
      <c r="A36" t="inlineStr">
        <is>
          <t>ARIF PRATAMA</t>
        </is>
      </c>
      <c r="B36" t="inlineStr">
        <is>
          <t>Kota Pontianak</t>
        </is>
      </c>
      <c r="C36" t="inlineStr">
        <is>
          <t>08994282692</t>
        </is>
      </c>
      <c r="D36" t="inlineStr">
        <is>
          <t>cvariefpratama@yahoo.co.id</t>
        </is>
      </c>
      <c r="E36" t="inlineStr">
        <is>
          <t>https://lpjk.pu.go.id/search-badan-usaha-detail/d0lmUHRISzZtdk5GWkpobzJaeWpQdz09</t>
        </is>
      </c>
      <c r="F36" t="n">
        <v>1</v>
      </c>
      <c r="G36" t="inlineStr">
        <is>
          <t>BS001</t>
        </is>
      </c>
      <c r="H36" t="inlineStr">
        <is>
          <t>22 Juni 2012</t>
        </is>
      </c>
      <c r="I36" s="2" t="n">
        <v>46228</v>
      </c>
      <c r="J36" t="inlineStr">
        <is>
          <t>Pencabutan</t>
        </is>
      </c>
      <c r="K36" t="n">
        <v>30</v>
      </c>
      <c r="L36" t="inlineStr">
        <is>
          <t>25 Juli 2026</t>
        </is>
      </c>
      <c r="M36" t="inlineStr">
        <is>
          <t>Konstruksi Bangunan Sipil Jalan</t>
        </is>
      </c>
      <c r="N36" t="inlineStr">
        <is>
          <t>K</t>
        </is>
      </c>
      <c r="O36" t="inlineStr">
        <is>
          <t>20230723</t>
        </is>
      </c>
      <c r="P36" t="inlineStr">
        <is>
          <t>Kalimantan Barat</t>
        </is>
      </c>
      <c r="Q36" t="inlineStr"/>
    </row>
    <row r="37">
      <c r="A37" t="inlineStr">
        <is>
          <t>ARIONMA KARYA</t>
        </is>
      </c>
      <c r="B37" t="inlineStr">
        <is>
          <t>Kota Bitung</t>
        </is>
      </c>
      <c r="C37" t="inlineStr">
        <is>
          <t>081356813333</t>
        </is>
      </c>
      <c r="D37" t="inlineStr">
        <is>
          <t>arionmakarya@gmail.com</t>
        </is>
      </c>
      <c r="E37" t="inlineStr">
        <is>
          <t>https://lpjk.pu.go.id/search-badan-usaha-detail/WXJFMWlnREpJQThNMDRMcmZhSU1MQT09</t>
        </is>
      </c>
      <c r="F37" t="n">
        <v>1</v>
      </c>
      <c r="G37" t="inlineStr">
        <is>
          <t>BG002</t>
        </is>
      </c>
      <c r="H37" t="inlineStr">
        <is>
          <t>28 Januari 2000</t>
        </is>
      </c>
      <c r="I37" s="2" t="n">
        <v>46228</v>
      </c>
      <c r="J37" t="inlineStr">
        <is>
          <t>Disetujui</t>
        </is>
      </c>
      <c r="K37" t="n">
        <v>30</v>
      </c>
      <c r="L37" t="inlineStr">
        <is>
          <t>25 Juli 2026</t>
        </is>
      </c>
      <c r="M37" t="inlineStr">
        <is>
          <t>Konstruksi Gedung Perkantoran</t>
        </is>
      </c>
      <c r="N37" t="inlineStr">
        <is>
          <t>K</t>
        </is>
      </c>
      <c r="O37" t="inlineStr">
        <is>
          <t>20230717</t>
        </is>
      </c>
      <c r="P37" t="inlineStr">
        <is>
          <t>Sulawesi Utara</t>
        </is>
      </c>
      <c r="Q37" t="inlineStr"/>
    </row>
    <row r="38">
      <c r="A38" t="inlineStr">
        <is>
          <t>ARKAAN WA TAMAAM</t>
        </is>
      </c>
      <c r="B38" t="inlineStr">
        <is>
          <t>Kab. Karawang</t>
        </is>
      </c>
      <c r="C38" t="inlineStr">
        <is>
          <t>082318479089</t>
        </is>
      </c>
      <c r="D38" t="inlineStr">
        <is>
          <t>cvarkaan@gmail.com</t>
        </is>
      </c>
      <c r="E38" t="inlineStr">
        <is>
          <t>https://lpjk.pu.go.id/search-badan-usaha-detail/eHdoQ053eUdrWW14Z3FqVWhmSFhjQT09</t>
        </is>
      </c>
      <c r="F38" t="n">
        <v>2</v>
      </c>
      <c r="G38" t="inlineStr">
        <is>
          <t>BG002</t>
        </is>
      </c>
      <c r="H38" t="inlineStr">
        <is>
          <t>3 Mei 2019</t>
        </is>
      </c>
      <c r="I38" s="2" t="n">
        <v>46228</v>
      </c>
      <c r="J38" t="inlineStr">
        <is>
          <t>Disetujui</t>
        </is>
      </c>
      <c r="K38" t="n">
        <v>30</v>
      </c>
      <c r="L38" t="inlineStr">
        <is>
          <t>25 Juli 2026</t>
        </is>
      </c>
      <c r="M38" t="inlineStr">
        <is>
          <t>Konstruksi Gedung Perkantoran</t>
        </is>
      </c>
      <c r="N38" t="inlineStr">
        <is>
          <t>K</t>
        </is>
      </c>
      <c r="O38" t="inlineStr">
        <is>
          <t>20230725</t>
        </is>
      </c>
      <c r="P38" t="inlineStr">
        <is>
          <t>Jawa Barat</t>
        </is>
      </c>
      <c r="Q38" t="inlineStr"/>
    </row>
    <row r="39">
      <c r="A39" t="inlineStr">
        <is>
          <t>ARNOLDUS</t>
        </is>
      </c>
      <c r="B39" t="inlineStr">
        <is>
          <t>Kab. Flores Timur</t>
        </is>
      </c>
      <c r="C39" t="inlineStr">
        <is>
          <t>081339203532</t>
        </is>
      </c>
      <c r="D39" t="inlineStr">
        <is>
          <t>cordasilva288@gmail.com</t>
        </is>
      </c>
      <c r="E39" t="inlineStr">
        <is>
          <t>https://lpjk.pu.go.id/search-badan-usaha-detail/QlZwbDlRSEpzSFhXaVlsZWN3REx1QT09</t>
        </is>
      </c>
      <c r="F39" t="n">
        <v>4</v>
      </c>
      <c r="G39" t="inlineStr">
        <is>
          <t>BG002, BG005, BG006, BG008</t>
        </is>
      </c>
      <c r="H39" t="inlineStr">
        <is>
          <t>9 Januari 2007</t>
        </is>
      </c>
      <c r="I39" s="2" t="n">
        <v>46228</v>
      </c>
      <c r="J39" t="inlineStr">
        <is>
          <t>Disetujui</t>
        </is>
      </c>
      <c r="K39" t="n">
        <v>30</v>
      </c>
      <c r="L39" t="inlineStr">
        <is>
          <t>25 Juli 2026</t>
        </is>
      </c>
      <c r="M39" t="inlineStr">
        <is>
          <t>Konstruksi Gedung Kesehatan, Konstruksi Gedung Pendidikan, Konstruksi Gedung Perkantoran, Konstruksi Gedung Tempat Hiburan dan Olahraga</t>
        </is>
      </c>
      <c r="N39" t="inlineStr">
        <is>
          <t>K</t>
        </is>
      </c>
      <c r="O39" t="inlineStr">
        <is>
          <t>20230516, 20230725</t>
        </is>
      </c>
      <c r="P39" t="inlineStr">
        <is>
          <t>Nusa Tenggara Timur</t>
        </is>
      </c>
      <c r="Q39" t="inlineStr"/>
    </row>
    <row r="40">
      <c r="A40" t="inlineStr">
        <is>
          <t>ARTA BANYU ALAM</t>
        </is>
      </c>
      <c r="B40" t="inlineStr">
        <is>
          <t>Kab. Kubu Raya</t>
        </is>
      </c>
      <c r="C40" t="inlineStr">
        <is>
          <t>085222893389</t>
        </is>
      </c>
      <c r="D40" t="inlineStr">
        <is>
          <t>artabanyualam@gmail.com</t>
        </is>
      </c>
      <c r="E40" t="inlineStr">
        <is>
          <t>https://lpjk.pu.go.id/search-badan-usaha-detail/MWlGMzY5RnE5dEQ2S2ZqOEYvSVRBQT09</t>
        </is>
      </c>
      <c r="F40" t="n">
        <v>2</v>
      </c>
      <c r="G40" t="inlineStr">
        <is>
          <t>BG001, BG006</t>
        </is>
      </c>
      <c r="H40" t="inlineStr">
        <is>
          <t>18 Juli 2019</t>
        </is>
      </c>
      <c r="I40" s="2" t="n">
        <v>46228</v>
      </c>
      <c r="J40" t="inlineStr">
        <is>
          <t>Pencabutan</t>
        </is>
      </c>
      <c r="K40" t="n">
        <v>30</v>
      </c>
      <c r="L40" t="inlineStr">
        <is>
          <t>25 Juli 2026</t>
        </is>
      </c>
      <c r="M40" t="inlineStr">
        <is>
          <t>Konstruksi Gedung Hunian, Konstruksi Gedung Pendidikan</t>
        </is>
      </c>
      <c r="N40" t="inlineStr">
        <is>
          <t>K</t>
        </is>
      </c>
      <c r="O40" t="inlineStr">
        <is>
          <t>20230725</t>
        </is>
      </c>
      <c r="P40" t="inlineStr">
        <is>
          <t>Kalimantan Barat</t>
        </is>
      </c>
      <c r="Q40" t="inlineStr"/>
    </row>
    <row r="41">
      <c r="A41" t="inlineStr">
        <is>
          <t>ARTHA MIARGA</t>
        </is>
      </c>
      <c r="B41" t="inlineStr">
        <is>
          <t>Kota Mataram</t>
        </is>
      </c>
      <c r="C41" t="inlineStr">
        <is>
          <t>081915650936</t>
        </is>
      </c>
      <c r="D41" t="inlineStr">
        <is>
          <t>cv.arthamiarga81@gmail.com</t>
        </is>
      </c>
      <c r="E41" t="inlineStr">
        <is>
          <t>https://lpjk.pu.go.id/search-badan-usaha-detail/YnloSU8rc2dkL0xYSVZMTVdFaWVXZz09</t>
        </is>
      </c>
      <c r="F41" t="n">
        <v>1</v>
      </c>
      <c r="G41" t="inlineStr">
        <is>
          <t>BS004</t>
        </is>
      </c>
      <c r="H41" t="inlineStr">
        <is>
          <t>5 Juni 2023</t>
        </is>
      </c>
      <c r="I41" s="2" t="n">
        <v>46228</v>
      </c>
      <c r="J41" t="inlineStr">
        <is>
          <t>Disetujui</t>
        </is>
      </c>
      <c r="K41" t="n">
        <v>30</v>
      </c>
      <c r="L41" t="inlineStr">
        <is>
          <t>25 Juli 2026</t>
        </is>
      </c>
      <c r="M41" t="inlineStr">
        <is>
          <t>Konstruksi Jaringan Irigasi dan Drainase</t>
        </is>
      </c>
      <c r="N41" t="inlineStr">
        <is>
          <t>K</t>
        </is>
      </c>
      <c r="O41" t="inlineStr">
        <is>
          <t>20230722</t>
        </is>
      </c>
      <c r="P41" t="inlineStr">
        <is>
          <t>Nusa Tenggara Barat</t>
        </is>
      </c>
      <c r="Q41" t="inlineStr"/>
    </row>
    <row r="42">
      <c r="A42" t="inlineStr">
        <is>
          <t>ASRI KARYA UTAMA</t>
        </is>
      </c>
      <c r="B42" t="inlineStr">
        <is>
          <t>Kota Bengkulu</t>
        </is>
      </c>
      <c r="C42" t="inlineStr">
        <is>
          <t>085368030513</t>
        </is>
      </c>
      <c r="D42" t="inlineStr">
        <is>
          <t>asrikaryautama@gmail.com</t>
        </is>
      </c>
      <c r="E42" t="inlineStr">
        <is>
          <t>https://lpjk.pu.go.id/search-badan-usaha-detail/V3lhWHZhNDdSZWxQVFZscTJNQm5kZz09</t>
        </is>
      </c>
      <c r="F42" t="n">
        <v>1</v>
      </c>
      <c r="G42" t="inlineStr">
        <is>
          <t>BS004</t>
        </is>
      </c>
      <c r="H42" t="inlineStr">
        <is>
          <t>6 September 2016</t>
        </is>
      </c>
      <c r="I42" s="2" t="n">
        <v>46228</v>
      </c>
      <c r="J42" t="inlineStr">
        <is>
          <t>Disetujui</t>
        </is>
      </c>
      <c r="K42" t="n">
        <v>30</v>
      </c>
      <c r="L42" t="inlineStr">
        <is>
          <t>25 Juli 2026</t>
        </is>
      </c>
      <c r="M42" t="inlineStr">
        <is>
          <t>Konstruksi Jaringan Irigasi dan Drainase</t>
        </is>
      </c>
      <c r="N42" t="inlineStr">
        <is>
          <t>K</t>
        </is>
      </c>
      <c r="O42" t="inlineStr">
        <is>
          <t>20230524</t>
        </is>
      </c>
      <c r="P42" t="inlineStr">
        <is>
          <t>Bengkulu</t>
        </is>
      </c>
      <c r="Q42" t="inlineStr"/>
    </row>
    <row r="43">
      <c r="A43" t="inlineStr">
        <is>
          <t>ASTA PRIMA LOKA</t>
        </is>
      </c>
      <c r="B43" t="inlineStr">
        <is>
          <t>Kota Semarang</t>
        </is>
      </c>
      <c r="C43" t="inlineStr">
        <is>
          <t>0811272717</t>
        </is>
      </c>
      <c r="D43" t="inlineStr">
        <is>
          <t>astaprimaloka@yahoo.com</t>
        </is>
      </c>
      <c r="E43" t="inlineStr">
        <is>
          <t>https://lpjk.pu.go.id/search-badan-usaha-detail/VWdzNnN4VHNYaFVGU1VGMW9zZ2dpdz09</t>
        </is>
      </c>
      <c r="F43" t="n">
        <v>1</v>
      </c>
      <c r="G43" t="inlineStr">
        <is>
          <t>BG002</t>
        </is>
      </c>
      <c r="H43" t="inlineStr">
        <is>
          <t>5 Oktober 2000</t>
        </is>
      </c>
      <c r="I43" s="2" t="n">
        <v>46228</v>
      </c>
      <c r="J43" t="inlineStr">
        <is>
          <t>Disetujui</t>
        </is>
      </c>
      <c r="K43" t="n">
        <v>30</v>
      </c>
      <c r="L43" t="inlineStr">
        <is>
          <t>25 Juli 2026</t>
        </is>
      </c>
      <c r="M43" t="inlineStr">
        <is>
          <t>Konstruksi Gedung Perkantoran</t>
        </is>
      </c>
      <c r="N43" t="inlineStr">
        <is>
          <t>K</t>
        </is>
      </c>
      <c r="O43" t="inlineStr">
        <is>
          <t>20230626</t>
        </is>
      </c>
      <c r="P43" t="inlineStr">
        <is>
          <t>Jawa Tengah</t>
        </is>
      </c>
      <c r="Q43" t="inlineStr"/>
    </row>
    <row r="44">
      <c r="A44" t="inlineStr">
        <is>
          <t>AXEL ANUGERAH MANDIRI</t>
        </is>
      </c>
      <c r="B44" t="inlineStr">
        <is>
          <t>Kab. Deli Serdang</t>
        </is>
      </c>
      <c r="C44" t="inlineStr">
        <is>
          <t>081360222154</t>
        </is>
      </c>
      <c r="D44" t="inlineStr">
        <is>
          <t>axelanugerahmandiri@gmail.com</t>
        </is>
      </c>
      <c r="E44" t="inlineStr">
        <is>
          <t>https://lpjk.pu.go.id/search-badan-usaha-detail/aCtOVFJTWkxmNXRlL3dXcXRTTHRXdz09</t>
        </is>
      </c>
      <c r="F44" t="n">
        <v>1</v>
      </c>
      <c r="G44" t="inlineStr">
        <is>
          <t>BG006</t>
        </is>
      </c>
      <c r="H44" t="inlineStr">
        <is>
          <t>22 Juni 2023</t>
        </is>
      </c>
      <c r="I44" s="2" t="n">
        <v>46228</v>
      </c>
      <c r="J44" t="inlineStr">
        <is>
          <t>Disetujui</t>
        </is>
      </c>
      <c r="K44" t="n">
        <v>30</v>
      </c>
      <c r="L44" t="inlineStr">
        <is>
          <t>25 Juli 2026</t>
        </is>
      </c>
      <c r="M44" t="inlineStr">
        <is>
          <t>Konstruksi Gedung Pendidikan</t>
        </is>
      </c>
      <c r="N44" t="inlineStr">
        <is>
          <t>K</t>
        </is>
      </c>
      <c r="O44" t="inlineStr">
        <is>
          <t>20230724</t>
        </is>
      </c>
      <c r="P44" t="inlineStr">
        <is>
          <t>Sumatera Utara</t>
        </is>
      </c>
      <c r="Q44" t="inlineStr"/>
    </row>
    <row r="45">
      <c r="A45" t="inlineStr">
        <is>
          <t>AZ-ZAHRA MAUDIDA</t>
        </is>
      </c>
      <c r="B45" t="inlineStr">
        <is>
          <t>Kota Tanjung Balai</t>
        </is>
      </c>
      <c r="C45" t="inlineStr">
        <is>
          <t>085262067996</t>
        </is>
      </c>
      <c r="D45" t="inlineStr">
        <is>
          <t>elfiantoni45@gmail.com</t>
        </is>
      </c>
      <c r="E45" t="inlineStr">
        <is>
          <t>https://lpjk.pu.go.id/search-badan-usaha-detail/UlRhSHViYlRxL3A4Mk5WYjN2SXdCdz09</t>
        </is>
      </c>
      <c r="F45" t="n">
        <v>1</v>
      </c>
      <c r="G45" t="inlineStr">
        <is>
          <t>BG006</t>
        </is>
      </c>
      <c r="H45" t="inlineStr">
        <is>
          <t>28 September 2014</t>
        </is>
      </c>
      <c r="I45" s="2" t="n">
        <v>46228</v>
      </c>
      <c r="J45" t="inlineStr">
        <is>
          <t>Disetujui</t>
        </is>
      </c>
      <c r="K45" t="n">
        <v>30</v>
      </c>
      <c r="L45" t="inlineStr">
        <is>
          <t>25 Juli 2026</t>
        </is>
      </c>
      <c r="M45" t="inlineStr">
        <is>
          <t>Konstruksi Gedung Pendidikan</t>
        </is>
      </c>
      <c r="N45" t="inlineStr">
        <is>
          <t>K</t>
        </is>
      </c>
      <c r="O45" t="inlineStr">
        <is>
          <t>20230725</t>
        </is>
      </c>
      <c r="P45" t="inlineStr">
        <is>
          <t>Sumatera Utara</t>
        </is>
      </c>
      <c r="Q45" t="inlineStr"/>
    </row>
    <row r="46">
      <c r="A46" t="inlineStr">
        <is>
          <t>BAHARI</t>
        </is>
      </c>
      <c r="B46" t="inlineStr">
        <is>
          <t>Kab. Jember</t>
        </is>
      </c>
      <c r="C46" t="inlineStr">
        <is>
          <t>08123464362</t>
        </is>
      </c>
      <c r="D46" t="inlineStr">
        <is>
          <t>baharijember@gmail.com</t>
        </is>
      </c>
      <c r="E46" t="inlineStr">
        <is>
          <t>https://lpjk.pu.go.id/search-badan-usaha-detail/akZ4N2w5c09hVFB1WGh0Z21zdUpLQT09</t>
        </is>
      </c>
      <c r="F46" t="n">
        <v>2</v>
      </c>
      <c r="G46" t="inlineStr">
        <is>
          <t>BG006, BS001</t>
        </is>
      </c>
      <c r="H46" t="inlineStr">
        <is>
          <t>11 Juli 2005</t>
        </is>
      </c>
      <c r="I46" s="2" t="n">
        <v>46228</v>
      </c>
      <c r="J46" t="inlineStr">
        <is>
          <t>Disetujui</t>
        </is>
      </c>
      <c r="K46" t="n">
        <v>30</v>
      </c>
      <c r="L46" t="inlineStr">
        <is>
          <t>25 Juli 2026</t>
        </is>
      </c>
      <c r="M46" t="inlineStr">
        <is>
          <t>Konstruksi Bangunan Sipil Jalan, Konstruksi Gedung Pendidikan</t>
        </is>
      </c>
      <c r="N46" t="inlineStr">
        <is>
          <t>K</t>
        </is>
      </c>
      <c r="O46" t="inlineStr">
        <is>
          <t>20230726, N/A</t>
        </is>
      </c>
      <c r="P46" t="inlineStr">
        <is>
          <t>Jawa Timur</t>
        </is>
      </c>
      <c r="Q46" t="inlineStr"/>
    </row>
    <row r="47">
      <c r="A47" t="inlineStr">
        <is>
          <t>BANGUN MITRA ANUGERAH LESTARI</t>
        </is>
      </c>
      <c r="B47" t="inlineStr">
        <is>
          <t>Kab. Sumbawa</t>
        </is>
      </c>
      <c r="C47" t="inlineStr">
        <is>
          <t>081907142990</t>
        </is>
      </c>
      <c r="D47" t="inlineStr">
        <is>
          <t>bahagiagroup11@gmail.com</t>
        </is>
      </c>
      <c r="E47" t="inlineStr">
        <is>
          <t>https://lpjk.pu.go.id/search-badan-usaha-detail/WG1mckI1dGN4MC9DZ1ZRT2dVN2tNQT09</t>
        </is>
      </c>
      <c r="F47" t="n">
        <v>2</v>
      </c>
      <c r="G47" t="inlineStr">
        <is>
          <t>BG006, BG009</t>
        </is>
      </c>
      <c r="H47" t="inlineStr">
        <is>
          <t>7 November 2007</t>
        </is>
      </c>
      <c r="I47" s="2" t="n">
        <v>46228</v>
      </c>
      <c r="J47" t="inlineStr">
        <is>
          <t>Disetujui, Pencabutan</t>
        </is>
      </c>
      <c r="K47" t="n">
        <v>30</v>
      </c>
      <c r="L47" t="inlineStr">
        <is>
          <t>25 Juli 2026</t>
        </is>
      </c>
      <c r="M47" t="inlineStr">
        <is>
          <t>Konstruksi Gedung Lainnya, Konstruksi Gedung Pendidikan</t>
        </is>
      </c>
      <c r="N47" t="inlineStr">
        <is>
          <t>K</t>
        </is>
      </c>
      <c r="O47" t="inlineStr">
        <is>
          <t>20230713, 20230715</t>
        </is>
      </c>
      <c r="P47" t="inlineStr">
        <is>
          <t>Nusa Tenggara Barat</t>
        </is>
      </c>
      <c r="Q47" t="inlineStr"/>
    </row>
    <row r="48">
      <c r="A48" t="inlineStr">
        <is>
          <t>BANGUN SELARAS</t>
        </is>
      </c>
      <c r="B48" t="inlineStr">
        <is>
          <t>Kota Kediri</t>
        </is>
      </c>
      <c r="C48" t="inlineStr">
        <is>
          <t>0354774928</t>
        </is>
      </c>
      <c r="D48" t="inlineStr">
        <is>
          <t>anis_mufarida@yahoo.com</t>
        </is>
      </c>
      <c r="E48" t="inlineStr">
        <is>
          <t>https://lpjk.pu.go.id/search-badan-usaha-detail/a3pvcW9XN0Nkc25DUklydUFKUVo4dz09</t>
        </is>
      </c>
      <c r="F48" t="n">
        <v>2</v>
      </c>
      <c r="G48" t="inlineStr">
        <is>
          <t>BS002, BS004</t>
        </is>
      </c>
      <c r="H48" t="inlineStr">
        <is>
          <t>11 Juni 2015</t>
        </is>
      </c>
      <c r="I48" s="2" t="n">
        <v>46228</v>
      </c>
      <c r="J48" t="inlineStr">
        <is>
          <t>Disetujui</t>
        </is>
      </c>
      <c r="K48" t="n">
        <v>30</v>
      </c>
      <c r="L48" t="inlineStr">
        <is>
          <t>25 Juli 2026</t>
        </is>
      </c>
      <c r="M48" t="inlineStr">
        <is>
          <t>Bangunan Sipil Jembatan, Jalan Layang, Fly Over, dan Underpass, Konstruksi Jaringan Irigasi dan Drainase</t>
        </is>
      </c>
      <c r="N48" t="inlineStr">
        <is>
          <t>K</t>
        </is>
      </c>
      <c r="O48" t="inlineStr">
        <is>
          <t>20230720, 20230724</t>
        </is>
      </c>
      <c r="P48" t="inlineStr">
        <is>
          <t>Jawa Timur</t>
        </is>
      </c>
      <c r="Q48" t="inlineStr"/>
    </row>
    <row r="49">
      <c r="A49" t="inlineStr">
        <is>
          <t>BANGUN UTAMA</t>
        </is>
      </c>
      <c r="B49" t="inlineStr">
        <is>
          <t>Kab. Pasaman</t>
        </is>
      </c>
      <c r="C49" t="inlineStr">
        <is>
          <t>082385309980</t>
        </is>
      </c>
      <c r="D49" t="inlineStr">
        <is>
          <t>cv.bangunutama@ymail.com</t>
        </is>
      </c>
      <c r="E49" t="inlineStr">
        <is>
          <t>https://lpjk.pu.go.id/search-badan-usaha-detail/aHh5SE9JVjZtSkZKcWUrZml1SytvUT09</t>
        </is>
      </c>
      <c r="F49" t="n">
        <v>1</v>
      </c>
      <c r="G49" t="inlineStr">
        <is>
          <t>BS005</t>
        </is>
      </c>
      <c r="H49" t="inlineStr">
        <is>
          <t>31 Maret 2010</t>
        </is>
      </c>
      <c r="I49" s="2" t="n">
        <v>46228</v>
      </c>
      <c r="J49" t="inlineStr">
        <is>
          <t>Pencabutan</t>
        </is>
      </c>
      <c r="K49" t="n">
        <v>30</v>
      </c>
      <c r="L49" t="inlineStr">
        <is>
          <t>25 Juli 2026</t>
        </is>
      </c>
      <c r="M49" t="inlineStr">
        <is>
          <t>Konstruksi Bangunan Sipil Pengolahan Air Bersih</t>
        </is>
      </c>
      <c r="N49" t="inlineStr">
        <is>
          <t>K</t>
        </is>
      </c>
      <c r="O49" t="inlineStr">
        <is>
          <t>20230724</t>
        </is>
      </c>
      <c r="P49" t="inlineStr">
        <is>
          <t>Sumatera Barat</t>
        </is>
      </c>
      <c r="Q49" t="inlineStr"/>
    </row>
    <row r="50">
      <c r="A50" t="inlineStr">
        <is>
          <t>BAROKAH KARYA SAHABAT</t>
        </is>
      </c>
      <c r="B50" t="inlineStr">
        <is>
          <t>Kab. Lamongan</t>
        </is>
      </c>
      <c r="C50" t="inlineStr">
        <is>
          <t>081332222281</t>
        </is>
      </c>
      <c r="D50" t="inlineStr">
        <is>
          <t>bks.la.jatim@gmail.com</t>
        </is>
      </c>
      <c r="E50" t="inlineStr">
        <is>
          <t>https://lpjk.pu.go.id/search-badan-usaha-detail/U1VzUlZBdTBrN2FjeGp6NXpIOHpHUT09</t>
        </is>
      </c>
      <c r="F50" t="n">
        <v>4</v>
      </c>
      <c r="G50" t="inlineStr">
        <is>
          <t>BS001, BS005</t>
        </is>
      </c>
      <c r="H50" t="inlineStr">
        <is>
          <t>4 Februari 2023</t>
        </is>
      </c>
      <c r="I50" s="2" t="n">
        <v>46228</v>
      </c>
      <c r="J50" t="inlineStr">
        <is>
          <t>Pencabutan</t>
        </is>
      </c>
      <c r="K50" t="n">
        <v>30</v>
      </c>
      <c r="L50" t="inlineStr">
        <is>
          <t>25 Juli 2026</t>
        </is>
      </c>
      <c r="M50" t="inlineStr">
        <is>
          <t>Konstruksi Bangunan Sipil Jalan, Konstruksi Bangunan Sipil Pengolahan Air Bersih</t>
        </is>
      </c>
      <c r="N50" t="inlineStr">
        <is>
          <t>K</t>
        </is>
      </c>
      <c r="O50" t="inlineStr">
        <is>
          <t>20230717</t>
        </is>
      </c>
      <c r="P50" t="inlineStr">
        <is>
          <t>Jawa Timur</t>
        </is>
      </c>
      <c r="Q50" t="inlineStr"/>
    </row>
    <row r="51">
      <c r="A51" t="inlineStr">
        <is>
          <t>BAYU PASUPATI</t>
        </is>
      </c>
      <c r="B51" t="inlineStr">
        <is>
          <t>Kota Denpasar</t>
        </is>
      </c>
      <c r="C51" t="inlineStr">
        <is>
          <t>0811394348</t>
        </is>
      </c>
      <c r="D51" t="inlineStr">
        <is>
          <t>sawiram@yahoo.com</t>
        </is>
      </c>
      <c r="E51" t="inlineStr">
        <is>
          <t>https://lpjk.pu.go.id/search-badan-usaha-detail/SzZMTEMrVDA2dmp4aVRUblBtUk9iQT09</t>
        </is>
      </c>
      <c r="F51" t="n">
        <v>1</v>
      </c>
      <c r="G51" t="inlineStr">
        <is>
          <t>BG002</t>
        </is>
      </c>
      <c r="H51" t="inlineStr">
        <is>
          <t>28 September 2000</t>
        </is>
      </c>
      <c r="I51" s="2" t="n">
        <v>46228</v>
      </c>
      <c r="J51" t="inlineStr">
        <is>
          <t>Disetujui</t>
        </is>
      </c>
      <c r="K51" t="n">
        <v>30</v>
      </c>
      <c r="L51" t="inlineStr">
        <is>
          <t>25 Juli 2026</t>
        </is>
      </c>
      <c r="M51" t="inlineStr">
        <is>
          <t>Konstruksi Gedung Perkantoran</t>
        </is>
      </c>
      <c r="N51" t="inlineStr">
        <is>
          <t>K</t>
        </is>
      </c>
      <c r="O51" t="inlineStr">
        <is>
          <t>20230720</t>
        </is>
      </c>
      <c r="P51" t="inlineStr">
        <is>
          <t>Bali</t>
        </is>
      </c>
      <c r="Q51" t="inlineStr"/>
    </row>
    <row r="52">
      <c r="A52" t="inlineStr">
        <is>
          <t>BERDIKARI</t>
        </is>
      </c>
      <c r="B52" t="inlineStr">
        <is>
          <t>Kab. Magetan</t>
        </is>
      </c>
      <c r="C52" t="inlineStr">
        <is>
          <t>081330209797</t>
        </is>
      </c>
      <c r="D52" t="inlineStr">
        <is>
          <t>sandiariwijaya@gmail.com</t>
        </is>
      </c>
      <c r="E52" t="inlineStr">
        <is>
          <t>https://lpjk.pu.go.id/search-badan-usaha-detail/VmM3T1MweGhpWDhHeUk2L0o2NnBkQT09</t>
        </is>
      </c>
      <c r="F52" t="n">
        <v>1</v>
      </c>
      <c r="G52" t="inlineStr">
        <is>
          <t>BG004</t>
        </is>
      </c>
      <c r="H52" t="inlineStr">
        <is>
          <t>8 Desember 2003</t>
        </is>
      </c>
      <c r="I52" s="2" t="n">
        <v>46228</v>
      </c>
      <c r="J52" t="inlineStr">
        <is>
          <t>Disetujui</t>
        </is>
      </c>
      <c r="K52" t="n">
        <v>30</v>
      </c>
      <c r="L52" t="inlineStr">
        <is>
          <t>25 Juli 2026</t>
        </is>
      </c>
      <c r="M52" t="inlineStr">
        <is>
          <t>Konstruksi Gedung Perbelanjaan</t>
        </is>
      </c>
      <c r="N52" t="inlineStr">
        <is>
          <t>K</t>
        </is>
      </c>
      <c r="O52" t="inlineStr">
        <is>
          <t>20230724</t>
        </is>
      </c>
      <c r="P52" t="inlineStr">
        <is>
          <t>Jawa Timur</t>
        </is>
      </c>
      <c r="Q52" t="inlineStr"/>
    </row>
    <row r="53">
      <c r="A53" t="inlineStr">
        <is>
          <t>BERKAH ARTO MORO</t>
        </is>
      </c>
      <c r="B53" t="inlineStr">
        <is>
          <t>Kota Tangerang Selatan</t>
        </is>
      </c>
      <c r="C53" t="inlineStr">
        <is>
          <t>081289883979</t>
        </is>
      </c>
      <c r="D53" t="inlineStr">
        <is>
          <t>berkahartomoro9@gmail.com</t>
        </is>
      </c>
      <c r="E53" t="inlineStr">
        <is>
          <t>https://lpjk.pu.go.id/search-badan-usaha-detail/NFhQaXpOTzltYmNOdkJPUVN2bTkydz09</t>
        </is>
      </c>
      <c r="F53" t="n">
        <v>4</v>
      </c>
      <c r="G53" t="inlineStr">
        <is>
          <t>BG006, BG009</t>
        </is>
      </c>
      <c r="H53" t="inlineStr">
        <is>
          <t>2 Juli 2020</t>
        </is>
      </c>
      <c r="I53" s="2" t="n">
        <v>46228</v>
      </c>
      <c r="J53" t="inlineStr">
        <is>
          <t>Disetujui</t>
        </is>
      </c>
      <c r="K53" t="n">
        <v>30</v>
      </c>
      <c r="L53" t="inlineStr">
        <is>
          <t>25 Juli 2026</t>
        </is>
      </c>
      <c r="M53" t="inlineStr">
        <is>
          <t>Konstruksi Gedung Lainnya, Konstruksi Gedung Pendidikan</t>
        </is>
      </c>
      <c r="N53" t="inlineStr">
        <is>
          <t>K</t>
        </is>
      </c>
      <c r="O53" t="inlineStr">
        <is>
          <t>20220716, 20230720</t>
        </is>
      </c>
      <c r="P53" t="inlineStr">
        <is>
          <t>Banten</t>
        </is>
      </c>
      <c r="Q53" t="inlineStr"/>
    </row>
    <row r="54">
      <c r="A54" t="inlineStr">
        <is>
          <t>BERKAH DUA PUTRI</t>
        </is>
      </c>
      <c r="B54" t="inlineStr">
        <is>
          <t>Kota Samarinda</t>
        </is>
      </c>
      <c r="C54" t="inlineStr">
        <is>
          <t>082390009944</t>
        </is>
      </c>
      <c r="D54" t="inlineStr">
        <is>
          <t>berkah.duaputri19@gmail.com</t>
        </is>
      </c>
      <c r="E54" t="inlineStr">
        <is>
          <t>https://lpjk.pu.go.id/search-badan-usaha-detail/NzE1SVNIL0tXNTlFR29vOXhSTklpUT09</t>
        </is>
      </c>
      <c r="F54" t="n">
        <v>6</v>
      </c>
      <c r="G54" t="inlineStr">
        <is>
          <t>BS004, BS005, BS006</t>
        </is>
      </c>
      <c r="H54" t="inlineStr">
        <is>
          <t>23 Januari 2019</t>
        </is>
      </c>
      <c r="I54" s="2" t="n">
        <v>46228</v>
      </c>
      <c r="J54" t="inlineStr">
        <is>
          <t>Pencabutan</t>
        </is>
      </c>
      <c r="K54" t="n">
        <v>30</v>
      </c>
      <c r="L54" t="inlineStr">
        <is>
          <t>25 Juli 2026</t>
        </is>
      </c>
      <c r="M54" t="inlineStr">
        <is>
          <t>Konstruksi Bangunan Sipil Pengolahan Air Bersih, Konstruksi Bangunan Sipil Prasarana dan Sarana Sistem Pengolahan Limbah Padat, Cair, dan Gas, Konstruksi Jaringan Irigasi dan Drainase</t>
        </is>
      </c>
      <c r="N54" t="inlineStr">
        <is>
          <t>K</t>
        </is>
      </c>
      <c r="O54" t="inlineStr">
        <is>
          <t>20230725</t>
        </is>
      </c>
      <c r="P54" t="inlineStr">
        <is>
          <t>Kalimantan Timur</t>
        </is>
      </c>
      <c r="Q54" t="inlineStr"/>
    </row>
    <row r="55">
      <c r="A55" t="inlineStr">
        <is>
          <t>BERKAT CIPTA NETWORK GLOBAL</t>
        </is>
      </c>
      <c r="B55" t="inlineStr">
        <is>
          <t>Kota Adm. Jakarta Utara</t>
        </is>
      </c>
      <c r="C55" t="inlineStr">
        <is>
          <t>089603810810</t>
        </is>
      </c>
      <c r="D55" t="inlineStr">
        <is>
          <t>berkatcipta@gmail.com</t>
        </is>
      </c>
      <c r="E55" t="inlineStr">
        <is>
          <t>https://lpjk.pu.go.id/search-badan-usaha-detail/V1o2bVoya3Q3OU44c1pmN2ppb0o2Zz09</t>
        </is>
      </c>
      <c r="F55" t="n">
        <v>6</v>
      </c>
      <c r="G55" t="inlineStr">
        <is>
          <t>BG003, BG007, BG009</t>
        </is>
      </c>
      <c r="H55" t="inlineStr">
        <is>
          <t>20 Maret 2009</t>
        </is>
      </c>
      <c r="I55" s="2" t="n">
        <v>46228</v>
      </c>
      <c r="J55" t="inlineStr">
        <is>
          <t>Pencabutan</t>
        </is>
      </c>
      <c r="K55" t="n">
        <v>30</v>
      </c>
      <c r="L55" t="inlineStr">
        <is>
          <t>25 Juli 2026</t>
        </is>
      </c>
      <c r="M55" t="inlineStr">
        <is>
          <t>Konstruksi Gedung Industri, Konstruksi Gedung Lainnya, Konstruksi Gedung Penginapan</t>
        </is>
      </c>
      <c r="N55" t="inlineStr">
        <is>
          <t>K</t>
        </is>
      </c>
      <c r="O55" t="inlineStr">
        <is>
          <t>20230725</t>
        </is>
      </c>
      <c r="P55" t="inlineStr">
        <is>
          <t>DKI Jakarta</t>
        </is>
      </c>
      <c r="Q55" t="inlineStr"/>
    </row>
    <row r="56">
      <c r="A56" t="inlineStr">
        <is>
          <t>BINA MARGA UTAMA</t>
        </is>
      </c>
      <c r="B56" t="inlineStr">
        <is>
          <t>Kab. Buton Utara</t>
        </is>
      </c>
      <c r="C56" t="inlineStr">
        <is>
          <t>085255037037</t>
        </is>
      </c>
      <c r="D56" t="inlineStr">
        <is>
          <t>cvbinamarga@gmail.com</t>
        </is>
      </c>
      <c r="E56" t="inlineStr">
        <is>
          <t>https://lpjk.pu.go.id/search-badan-usaha-detail/dWJYczFIaU5zTFlaQWhVOFVPc29qdz09</t>
        </is>
      </c>
      <c r="F56" t="n">
        <v>1</v>
      </c>
      <c r="G56" t="inlineStr">
        <is>
          <t>BS010</t>
        </is>
      </c>
      <c r="H56" t="inlineStr">
        <is>
          <t>22 Juni 2012</t>
        </is>
      </c>
      <c r="I56" s="2" t="n">
        <v>46228</v>
      </c>
      <c r="J56" t="inlineStr">
        <is>
          <t>Disetujui</t>
        </is>
      </c>
      <c r="K56" t="n">
        <v>30</v>
      </c>
      <c r="L56" t="inlineStr">
        <is>
          <t>25 Juli 2026</t>
        </is>
      </c>
      <c r="M56" t="inlineStr">
        <is>
          <t>Konstruksi Bangunan Prasarana Sumber Daya Air</t>
        </is>
      </c>
      <c r="N56" t="inlineStr">
        <is>
          <t>K</t>
        </is>
      </c>
      <c r="O56" t="inlineStr">
        <is>
          <t>20230626</t>
        </is>
      </c>
      <c r="P56" t="inlineStr">
        <is>
          <t>Sulawesi Tenggara</t>
        </is>
      </c>
      <c r="Q56" t="inlineStr"/>
    </row>
    <row r="57">
      <c r="A57" t="inlineStr">
        <is>
          <t>BINTANG MUDA KONSTRUKSI</t>
        </is>
      </c>
      <c r="B57" t="inlineStr">
        <is>
          <t>Kab. Garut</t>
        </is>
      </c>
      <c r="C57" t="inlineStr">
        <is>
          <t>081220146384</t>
        </is>
      </c>
      <c r="D57" t="inlineStr">
        <is>
          <t>cv.bintangmudakonstruksi@gmail.com</t>
        </is>
      </c>
      <c r="E57" t="inlineStr">
        <is>
          <t>https://lpjk.pu.go.id/search-badan-usaha-detail/bkM3L1l6a2NIaklHaXc5WlRJdzBWZz09</t>
        </is>
      </c>
      <c r="F57" t="n">
        <v>2</v>
      </c>
      <c r="G57" t="inlineStr">
        <is>
          <t>BG006</t>
        </is>
      </c>
      <c r="H57" t="inlineStr">
        <is>
          <t>9 Januari 2023</t>
        </is>
      </c>
      <c r="I57" s="2" t="n">
        <v>46228</v>
      </c>
      <c r="J57" t="inlineStr">
        <is>
          <t>Disetujui</t>
        </is>
      </c>
      <c r="K57" t="n">
        <v>30</v>
      </c>
      <c r="L57" t="inlineStr">
        <is>
          <t>25 Juli 2026</t>
        </is>
      </c>
      <c r="M57" t="inlineStr">
        <is>
          <t>Konstruksi Gedung Pendidikan</t>
        </is>
      </c>
      <c r="N57" t="inlineStr">
        <is>
          <t>K</t>
        </is>
      </c>
      <c r="O57" t="inlineStr">
        <is>
          <t>20230723</t>
        </is>
      </c>
      <c r="P57" t="inlineStr">
        <is>
          <t>Jawa Barat</t>
        </is>
      </c>
      <c r="Q57" t="inlineStr"/>
    </row>
    <row r="58">
      <c r="A58" t="inlineStr">
        <is>
          <t>BINTANG TERANG PERKASA</t>
        </is>
      </c>
      <c r="B58" t="inlineStr">
        <is>
          <t>Kab. Kapuas Hulu</t>
        </is>
      </c>
      <c r="C58" t="inlineStr">
        <is>
          <t>085245567116</t>
        </is>
      </c>
      <c r="D58" t="inlineStr">
        <is>
          <t>bintangterangperkasa.cv@gmail.com</t>
        </is>
      </c>
      <c r="E58" t="inlineStr">
        <is>
          <t>https://lpjk.pu.go.id/search-badan-usaha-detail/amptRHdrbzFQM2FBUWgzSno1QXZaZz09</t>
        </is>
      </c>
      <c r="F58" t="n">
        <v>4</v>
      </c>
      <c r="G58" t="inlineStr">
        <is>
          <t>BS001, BS002</t>
        </is>
      </c>
      <c r="H58" t="inlineStr">
        <is>
          <t>12 Februari 2019</t>
        </is>
      </c>
      <c r="I58" s="2" t="n">
        <v>46228</v>
      </c>
      <c r="J58" t="inlineStr">
        <is>
          <t>Pencabutan</t>
        </is>
      </c>
      <c r="K58" t="n">
        <v>30</v>
      </c>
      <c r="L58" t="inlineStr">
        <is>
          <t>25 Juli 2026</t>
        </is>
      </c>
      <c r="M58" t="inlineStr">
        <is>
          <t>Bangunan Sipil Jembatan, Jalan Layang, Fly Over, dan Underpass, Konstruksi Bangunan Sipil Jalan</t>
        </is>
      </c>
      <c r="N58" t="inlineStr">
        <is>
          <t>K</t>
        </is>
      </c>
      <c r="O58" t="inlineStr">
        <is>
          <t>20230721</t>
        </is>
      </c>
      <c r="P58" t="inlineStr">
        <is>
          <t>Kalimantan Barat</t>
        </is>
      </c>
      <c r="Q58" t="inlineStr"/>
    </row>
    <row r="59">
      <c r="A59" t="inlineStr">
        <is>
          <t>BINTANG VEGA KONSTRUKSI</t>
        </is>
      </c>
      <c r="B59" t="inlineStr">
        <is>
          <t>Kota Makassar</t>
        </is>
      </c>
      <c r="C59" t="inlineStr">
        <is>
          <t>04113666777</t>
        </is>
      </c>
      <c r="D59" t="inlineStr">
        <is>
          <t>bintangvegakonstruksi@gmail.com</t>
        </is>
      </c>
      <c r="E59" t="inlineStr">
        <is>
          <t>https://lpjk.pu.go.id/search-badan-usaha-detail/UXZjYjVYNzg2bWVkbVQ4TFFtY3RlZz09</t>
        </is>
      </c>
      <c r="F59" t="n">
        <v>2</v>
      </c>
      <c r="G59" t="inlineStr">
        <is>
          <t>BG009</t>
        </is>
      </c>
      <c r="H59" t="inlineStr">
        <is>
          <t>16 Juli 2018</t>
        </is>
      </c>
      <c r="I59" s="2" t="n">
        <v>46228</v>
      </c>
      <c r="J59" t="inlineStr">
        <is>
          <t>Disetujui</t>
        </is>
      </c>
      <c r="K59" t="n">
        <v>30</v>
      </c>
      <c r="L59" t="inlineStr">
        <is>
          <t>25 Juli 2026</t>
        </is>
      </c>
      <c r="M59" t="inlineStr">
        <is>
          <t>Konstruksi Gedung Lainnya</t>
        </is>
      </c>
      <c r="N59" t="inlineStr">
        <is>
          <t>K</t>
        </is>
      </c>
      <c r="O59" t="inlineStr">
        <is>
          <t>20230725</t>
        </is>
      </c>
      <c r="P59" t="inlineStr">
        <is>
          <t>Sulawesi Selatan</t>
        </is>
      </c>
      <c r="Q59" t="inlineStr"/>
    </row>
    <row r="60">
      <c r="A60" t="inlineStr">
        <is>
          <t>BRILLIANT</t>
        </is>
      </c>
      <c r="B60" t="inlineStr">
        <is>
          <t>Kab. Sintang</t>
        </is>
      </c>
      <c r="C60" t="inlineStr">
        <is>
          <t>081256816040</t>
        </is>
      </c>
      <c r="D60" t="inlineStr">
        <is>
          <t>cv.brilliant0504@gmail.com</t>
        </is>
      </c>
      <c r="E60" t="inlineStr">
        <is>
          <t>https://lpjk.pu.go.id/search-badan-usaha-detail/MHBHMDV3R2R6SEZBd01VWmhFc2xFZz09</t>
        </is>
      </c>
      <c r="F60" t="n">
        <v>1</v>
      </c>
      <c r="G60" t="inlineStr">
        <is>
          <t>BS002</t>
        </is>
      </c>
      <c r="H60" t="inlineStr">
        <is>
          <t>23 November 2017</t>
        </is>
      </c>
      <c r="I60" s="2" t="n">
        <v>46228</v>
      </c>
      <c r="J60" t="inlineStr">
        <is>
          <t>Disetujui</t>
        </is>
      </c>
      <c r="K60" t="n">
        <v>30</v>
      </c>
      <c r="L60" t="inlineStr">
        <is>
          <t>25 Juli 2026</t>
        </is>
      </c>
      <c r="M60" t="inlineStr">
        <is>
          <t>Bangunan Sipil Jembatan, Jalan Layang, Fly Over, dan Underpass</t>
        </is>
      </c>
      <c r="N60" t="inlineStr">
        <is>
          <t>K</t>
        </is>
      </c>
      <c r="O60" t="inlineStr">
        <is>
          <t>20230717</t>
        </is>
      </c>
      <c r="P60" t="inlineStr">
        <is>
          <t>Kalimantan Barat</t>
        </is>
      </c>
      <c r="Q60" t="inlineStr"/>
    </row>
    <row r="61">
      <c r="A61" t="inlineStr">
        <is>
          <t>BUMI CAHAYA</t>
        </is>
      </c>
      <c r="B61" t="inlineStr">
        <is>
          <t>Kab. Banyuwangi</t>
        </is>
      </c>
      <c r="C61" t="inlineStr">
        <is>
          <t>085218574572</t>
        </is>
      </c>
      <c r="D61" t="inlineStr">
        <is>
          <t>bumicahaya22@gmail.com</t>
        </is>
      </c>
      <c r="E61" t="inlineStr">
        <is>
          <t>https://lpjk.pu.go.id/search-badan-usaha-detail/bmdEME5hak5OVTVqM3ZkWFpMc3NnQT09</t>
        </is>
      </c>
      <c r="F61" t="n">
        <v>1</v>
      </c>
      <c r="G61" t="inlineStr">
        <is>
          <t>BG009</t>
        </is>
      </c>
      <c r="H61" t="inlineStr">
        <is>
          <t>18 Mei 2018</t>
        </is>
      </c>
      <c r="I61" s="2" t="n">
        <v>46228</v>
      </c>
      <c r="J61" t="inlineStr">
        <is>
          <t>Disetujui</t>
        </is>
      </c>
      <c r="K61" t="n">
        <v>30</v>
      </c>
      <c r="L61" t="inlineStr">
        <is>
          <t>25 Juli 2026</t>
        </is>
      </c>
      <c r="M61" t="inlineStr">
        <is>
          <t>Konstruksi Gedung Lainnya</t>
        </is>
      </c>
      <c r="N61" t="inlineStr">
        <is>
          <t>K</t>
        </is>
      </c>
      <c r="O61" t="inlineStr">
        <is>
          <t>20230717</t>
        </is>
      </c>
      <c r="P61" t="inlineStr">
        <is>
          <t>Jawa Timur</t>
        </is>
      </c>
      <c r="Q61" t="inlineStr"/>
    </row>
    <row r="62">
      <c r="A62" t="inlineStr">
        <is>
          <t>BUMI RAYA BERKAH</t>
        </is>
      </c>
      <c r="B62" t="inlineStr">
        <is>
          <t>Kab. Asahan</t>
        </is>
      </c>
      <c r="C62" t="inlineStr">
        <is>
          <t>081260908677</t>
        </is>
      </c>
      <c r="D62" t="inlineStr">
        <is>
          <t>cv.bumirayaberkah@gmail.com</t>
        </is>
      </c>
      <c r="E62" t="inlineStr">
        <is>
          <t>https://lpjk.pu.go.id/search-badan-usaha-detail/NTRmQXpxdHJTdm9BaFJ6eG5ySndLZz09</t>
        </is>
      </c>
      <c r="F62" t="n">
        <v>1</v>
      </c>
      <c r="G62" t="inlineStr">
        <is>
          <t>BG006</t>
        </is>
      </c>
      <c r="H62" t="inlineStr">
        <is>
          <t>17 Januari 2019</t>
        </is>
      </c>
      <c r="I62" s="2" t="n">
        <v>46228</v>
      </c>
      <c r="J62" t="inlineStr">
        <is>
          <t>Disetujui</t>
        </is>
      </c>
      <c r="K62" t="n">
        <v>30</v>
      </c>
      <c r="L62" t="inlineStr">
        <is>
          <t>25 Juli 2026</t>
        </is>
      </c>
      <c r="M62" t="inlineStr">
        <is>
          <t>Konstruksi Gedung Pendidikan</t>
        </is>
      </c>
      <c r="N62" t="inlineStr">
        <is>
          <t>K</t>
        </is>
      </c>
      <c r="O62" t="inlineStr">
        <is>
          <t>20230620</t>
        </is>
      </c>
      <c r="P62" t="inlineStr">
        <is>
          <t>Sumatera Utara</t>
        </is>
      </c>
      <c r="Q62" t="inlineStr"/>
    </row>
    <row r="63">
      <c r="A63" t="inlineStr">
        <is>
          <t>CAHAYA MALLUSETASI</t>
        </is>
      </c>
      <c r="B63" t="inlineStr">
        <is>
          <t>Kab. Asmat</t>
        </is>
      </c>
      <c r="C63" t="inlineStr">
        <is>
          <t>082188899933</t>
        </is>
      </c>
      <c r="D63" t="inlineStr">
        <is>
          <t>cahayamallusetasi99@gmail.com</t>
        </is>
      </c>
      <c r="E63" t="inlineStr">
        <is>
          <t>https://lpjk.pu.go.id/search-badan-usaha-detail/TWRCajZMdTRySUs1elh0dUxpSDdCZz09</t>
        </is>
      </c>
      <c r="F63" t="n">
        <v>2</v>
      </c>
      <c r="G63" t="inlineStr">
        <is>
          <t>BG002, BG006</t>
        </is>
      </c>
      <c r="H63" t="inlineStr">
        <is>
          <t>29 Juli 2004</t>
        </is>
      </c>
      <c r="I63" s="2" t="n">
        <v>46228</v>
      </c>
      <c r="J63" t="inlineStr">
        <is>
          <t>Disetujui</t>
        </is>
      </c>
      <c r="K63" t="n">
        <v>30</v>
      </c>
      <c r="L63" t="inlineStr">
        <is>
          <t>25 Juli 2026</t>
        </is>
      </c>
      <c r="M63" t="inlineStr">
        <is>
          <t>Konstruksi Gedung Pendidikan, Konstruksi Gedung Perkantoran</t>
        </is>
      </c>
      <c r="N63" t="inlineStr">
        <is>
          <t>K</t>
        </is>
      </c>
      <c r="O63" t="inlineStr">
        <is>
          <t>20230714</t>
        </is>
      </c>
      <c r="P63" t="inlineStr">
        <is>
          <t>Papua Selatan</t>
        </is>
      </c>
      <c r="Q63" t="inlineStr"/>
    </row>
    <row r="64">
      <c r="A64" t="inlineStr">
        <is>
          <t>CAHAYA SHEENA</t>
        </is>
      </c>
      <c r="B64" t="inlineStr">
        <is>
          <t>Kota Palembang</t>
        </is>
      </c>
      <c r="C64" t="inlineStr">
        <is>
          <t>082176244483</t>
        </is>
      </c>
      <c r="D64" t="inlineStr">
        <is>
          <t>cvcahayasheena@gmail.com</t>
        </is>
      </c>
      <c r="E64" t="inlineStr">
        <is>
          <t>https://lpjk.pu.go.id/search-badan-usaha-detail/blBQMjlJRGJrYWVoRkNzTytJbk1aUT09</t>
        </is>
      </c>
      <c r="F64" t="n">
        <v>3</v>
      </c>
      <c r="G64" t="inlineStr">
        <is>
          <t>BG005, BG006, BG009</t>
        </is>
      </c>
      <c r="H64" t="inlineStr">
        <is>
          <t>14 Februari 2023</t>
        </is>
      </c>
      <c r="I64" s="2" t="n">
        <v>46228</v>
      </c>
      <c r="J64" t="inlineStr">
        <is>
          <t>Disetujui</t>
        </is>
      </c>
      <c r="K64" t="n">
        <v>30</v>
      </c>
      <c r="L64" t="inlineStr">
        <is>
          <t>25 Juli 2026</t>
        </is>
      </c>
      <c r="M64" t="inlineStr">
        <is>
          <t>Konstruksi Gedung Kesehatan, Konstruksi Gedung Lainnya, Konstruksi Gedung Pendidikan</t>
        </is>
      </c>
      <c r="N64" t="inlineStr">
        <is>
          <t>K</t>
        </is>
      </c>
      <c r="O64" t="inlineStr">
        <is>
          <t>20230724</t>
        </is>
      </c>
      <c r="P64" t="inlineStr">
        <is>
          <t>Sumatera Selatan</t>
        </is>
      </c>
      <c r="Q64" t="inlineStr"/>
    </row>
    <row r="65">
      <c r="A65" t="inlineStr">
        <is>
          <t>CAHAYA TURATEA PERKASA</t>
        </is>
      </c>
      <c r="B65" t="inlineStr">
        <is>
          <t>Kab. Kutai Timur</t>
        </is>
      </c>
      <c r="C65" t="inlineStr">
        <is>
          <t>082395744203</t>
        </is>
      </c>
      <c r="D65" t="inlineStr">
        <is>
          <t>cvcahayaturateaperkasa@gmail.com</t>
        </is>
      </c>
      <c r="E65" t="inlineStr">
        <is>
          <t>https://lpjk.pu.go.id/search-badan-usaha-detail/NmRhOTdBam5ITGRVd2tXZmlUUWVMZz09</t>
        </is>
      </c>
      <c r="F65" t="n">
        <v>2</v>
      </c>
      <c r="G65" t="inlineStr">
        <is>
          <t>BG006, BG009</t>
        </is>
      </c>
      <c r="H65" t="inlineStr">
        <is>
          <t>2 Februari 2023</t>
        </is>
      </c>
      <c r="I65" s="2" t="n">
        <v>46228</v>
      </c>
      <c r="J65" t="inlineStr">
        <is>
          <t>Disetujui</t>
        </is>
      </c>
      <c r="K65" t="n">
        <v>30</v>
      </c>
      <c r="L65" t="inlineStr">
        <is>
          <t>25 Juli 2026</t>
        </is>
      </c>
      <c r="M65" t="inlineStr">
        <is>
          <t>Konstruksi Gedung Lainnya, Konstruksi Gedung Pendidikan</t>
        </is>
      </c>
      <c r="N65" t="inlineStr">
        <is>
          <t>K</t>
        </is>
      </c>
      <c r="O65" t="inlineStr">
        <is>
          <t>20230723</t>
        </is>
      </c>
      <c r="P65" t="inlineStr">
        <is>
          <t>Kalimantan Timur</t>
        </is>
      </c>
      <c r="Q65" t="inlineStr"/>
    </row>
    <row r="66">
      <c r="A66" t="inlineStr">
        <is>
          <t>CATUR ARTHA</t>
        </is>
      </c>
      <c r="B66" t="inlineStr">
        <is>
          <t>Kota Denpasar</t>
        </is>
      </c>
      <c r="C66" t="inlineStr">
        <is>
          <t>03614742635</t>
        </is>
      </c>
      <c r="D66" t="inlineStr">
        <is>
          <t>sujana666666@gmail.com</t>
        </is>
      </c>
      <c r="E66" t="inlineStr">
        <is>
          <t>https://lpjk.pu.go.id/search-badan-usaha-detail/N3IyVjBBOFpwTFRQb1Bwd0EzRWdEQT09</t>
        </is>
      </c>
      <c r="F66" t="n">
        <v>1</v>
      </c>
      <c r="G66" t="inlineStr">
        <is>
          <t>RK001</t>
        </is>
      </c>
      <c r="H66" t="inlineStr">
        <is>
          <t>23 Juli 2007</t>
        </is>
      </c>
      <c r="I66" s="2" t="n">
        <v>46228</v>
      </c>
      <c r="J66" t="inlineStr">
        <is>
          <t>Disetujui</t>
        </is>
      </c>
      <c r="K66" t="n">
        <v>30</v>
      </c>
      <c r="L66" t="inlineStr">
        <is>
          <t>25 Juli 2026</t>
        </is>
      </c>
      <c r="M66" t="inlineStr">
        <is>
          <t>Jasa Rekayasa Konstruksi Bangunan Gedung Hunian dan Non Hunian</t>
        </is>
      </c>
      <c r="N66" t="inlineStr">
        <is>
          <t>K</t>
        </is>
      </c>
      <c r="O66" t="inlineStr">
        <is>
          <t>20230717</t>
        </is>
      </c>
      <c r="P66" t="inlineStr">
        <is>
          <t>Bali</t>
        </is>
      </c>
      <c r="Q66" t="inlineStr"/>
    </row>
    <row r="67">
      <c r="A67" t="inlineStr">
        <is>
          <t>CIKAL CITRA MAPAN</t>
        </is>
      </c>
      <c r="B67" t="inlineStr">
        <is>
          <t>Kota Adm. Jakarta Barat</t>
        </is>
      </c>
      <c r="C67" t="inlineStr">
        <is>
          <t>58302970</t>
        </is>
      </c>
      <c r="D67" t="inlineStr">
        <is>
          <t>mapankeu@gmail.com</t>
        </is>
      </c>
      <c r="E67" t="inlineStr">
        <is>
          <t>https://lpjk.pu.go.id/search-badan-usaha-detail/VlYreUVLUjFSVSt4Z1NockFrTndtdz09</t>
        </is>
      </c>
      <c r="F67" t="n">
        <v>1</v>
      </c>
      <c r="G67" t="inlineStr">
        <is>
          <t>PB007</t>
        </is>
      </c>
      <c r="H67" t="inlineStr">
        <is>
          <t>1 Januari 2018</t>
        </is>
      </c>
      <c r="I67" s="2" t="n">
        <v>46228</v>
      </c>
      <c r="J67" t="inlineStr">
        <is>
          <t>Pembekuan</t>
        </is>
      </c>
      <c r="K67" t="n">
        <v>30</v>
      </c>
      <c r="L67" t="inlineStr">
        <is>
          <t>25 Juli 2026</t>
        </is>
      </c>
      <c r="M67" t="inlineStr">
        <is>
          <t>Pengecatan</t>
        </is>
      </c>
      <c r="N67" t="inlineStr">
        <is>
          <t>Spesialis</t>
        </is>
      </c>
      <c r="O67" t="inlineStr">
        <is>
          <t>20230726</t>
        </is>
      </c>
      <c r="P67" t="inlineStr">
        <is>
          <t>DKI Jakarta</t>
        </is>
      </c>
      <c r="Q67" t="inlineStr"/>
    </row>
    <row r="68">
      <c r="A68" t="inlineStr">
        <is>
          <t>CIPTA MANDIRI PERKASA</t>
        </is>
      </c>
      <c r="B68" t="inlineStr">
        <is>
          <t>Kab. Tegal</t>
        </is>
      </c>
      <c r="C68" t="inlineStr">
        <is>
          <t>0858695999</t>
        </is>
      </c>
      <c r="D68" t="inlineStr">
        <is>
          <t>cv_ciptamandiriperkasa@yahoo.co.id</t>
        </is>
      </c>
      <c r="E68" t="inlineStr">
        <is>
          <t>https://lpjk.pu.go.id/search-badan-usaha-detail/ZjVYdGo3aXV4REEvOTNCS0l1T2UwQT09</t>
        </is>
      </c>
      <c r="F68" t="n">
        <v>2</v>
      </c>
      <c r="G68" t="inlineStr">
        <is>
          <t>BG005, BS001</t>
        </is>
      </c>
      <c r="H68" t="inlineStr">
        <is>
          <t>22 Agustus 2003</t>
        </is>
      </c>
      <c r="I68" s="2" t="n">
        <v>46228</v>
      </c>
      <c r="J68" t="inlineStr">
        <is>
          <t>Disetujui</t>
        </is>
      </c>
      <c r="K68" t="n">
        <v>30</v>
      </c>
      <c r="L68" t="inlineStr">
        <is>
          <t>25 Juli 2026</t>
        </is>
      </c>
      <c r="M68" t="inlineStr">
        <is>
          <t>Konstruksi Bangunan Sipil Jalan, Konstruksi Gedung Kesehatan</t>
        </is>
      </c>
      <c r="N68" t="inlineStr">
        <is>
          <t>K</t>
        </is>
      </c>
      <c r="O68" t="inlineStr">
        <is>
          <t>20230721, 20230724</t>
        </is>
      </c>
      <c r="P68" t="inlineStr">
        <is>
          <t>Jawa Tengah</t>
        </is>
      </c>
      <c r="Q68" t="inlineStr"/>
    </row>
    <row r="69">
      <c r="A69" t="inlineStr">
        <is>
          <t>CIPTA MANUNGGAL ABADI</t>
        </is>
      </c>
      <c r="B69" t="inlineStr">
        <is>
          <t>Kab. Gresik</t>
        </is>
      </c>
      <c r="C69" t="inlineStr">
        <is>
          <t>081235411467</t>
        </is>
      </c>
      <c r="D69" t="inlineStr">
        <is>
          <t>cvciptamanunggalabadi@gmail.com</t>
        </is>
      </c>
      <c r="E69" t="inlineStr">
        <is>
          <t>https://lpjk.pu.go.id/search-badan-usaha-detail/MjdEZEk4clFjOWgraDMxaGhnS3VKUT09</t>
        </is>
      </c>
      <c r="F69" t="n">
        <v>1</v>
      </c>
      <c r="G69" t="inlineStr">
        <is>
          <t>BS001</t>
        </is>
      </c>
      <c r="H69" t="inlineStr">
        <is>
          <t>4 Desember 2014</t>
        </is>
      </c>
      <c r="I69" s="2" t="n">
        <v>46228</v>
      </c>
      <c r="J69" t="inlineStr">
        <is>
          <t>Disetujui</t>
        </is>
      </c>
      <c r="K69" t="n">
        <v>30</v>
      </c>
      <c r="L69" t="inlineStr">
        <is>
          <t>25 Juli 2026</t>
        </is>
      </c>
      <c r="M69" t="inlineStr">
        <is>
          <t>Konstruksi Bangunan Sipil Jalan</t>
        </is>
      </c>
      <c r="N69" t="inlineStr">
        <is>
          <t>K</t>
        </is>
      </c>
      <c r="O69" t="inlineStr">
        <is>
          <t>20230724</t>
        </is>
      </c>
      <c r="P69" t="inlineStr">
        <is>
          <t>Jawa Timur</t>
        </is>
      </c>
      <c r="Q69" t="inlineStr"/>
    </row>
    <row r="70">
      <c r="A70" t="inlineStr">
        <is>
          <t>CITRA GEMILANG PERSADA</t>
        </is>
      </c>
      <c r="B70" t="inlineStr">
        <is>
          <t>Kab. Situbondo</t>
        </is>
      </c>
      <c r="C70" t="inlineStr">
        <is>
          <t>08123471449</t>
        </is>
      </c>
      <c r="D70" t="inlineStr">
        <is>
          <t>lsbugkb3512@gmail.com</t>
        </is>
      </c>
      <c r="E70" t="inlineStr">
        <is>
          <t>https://lpjk.pu.go.id/search-badan-usaha-detail/U0dCV2tKMnRhb1dHblp3dFM5a25tUT09</t>
        </is>
      </c>
      <c r="F70" t="n">
        <v>1</v>
      </c>
      <c r="G70" t="inlineStr">
        <is>
          <t>BG006</t>
        </is>
      </c>
      <c r="H70" t="inlineStr">
        <is>
          <t>30 November 1995</t>
        </is>
      </c>
      <c r="I70" s="2" t="n">
        <v>46228</v>
      </c>
      <c r="J70" t="inlineStr">
        <is>
          <t>Pencabutan</t>
        </is>
      </c>
      <c r="K70" t="n">
        <v>30</v>
      </c>
      <c r="L70" t="inlineStr">
        <is>
          <t>25 Juli 2026</t>
        </is>
      </c>
      <c r="M70" t="inlineStr">
        <is>
          <t>Konstruksi Gedung Pendidikan</t>
        </is>
      </c>
      <c r="N70" t="inlineStr">
        <is>
          <t>K</t>
        </is>
      </c>
      <c r="O70" t="inlineStr">
        <is>
          <t>20230720</t>
        </is>
      </c>
      <c r="P70" t="inlineStr">
        <is>
          <t>Jawa Timur</t>
        </is>
      </c>
      <c r="Q70" t="inlineStr"/>
    </row>
    <row r="71">
      <c r="A71" t="inlineStr">
        <is>
          <t>CITRA KOSMO</t>
        </is>
      </c>
      <c r="B71" t="inlineStr">
        <is>
          <t>Kota Pontianak</t>
        </is>
      </c>
      <c r="C71" t="inlineStr">
        <is>
          <t>085252657927</t>
        </is>
      </c>
      <c r="D71" t="inlineStr">
        <is>
          <t>citrakosmo@gmail.com</t>
        </is>
      </c>
      <c r="E71" t="inlineStr">
        <is>
          <t>https://lpjk.pu.go.id/search-badan-usaha-detail/R3BNME52aWFTTC8vUWMrVFlyNWdwUT09</t>
        </is>
      </c>
      <c r="F71" t="n">
        <v>3</v>
      </c>
      <c r="G71" t="inlineStr">
        <is>
          <t>BG001, BG002, BG009</t>
        </is>
      </c>
      <c r="H71" t="inlineStr">
        <is>
          <t>26 Mei 2008</t>
        </is>
      </c>
      <c r="I71" s="2" t="n">
        <v>46228</v>
      </c>
      <c r="J71" t="inlineStr">
        <is>
          <t>Disetujui</t>
        </is>
      </c>
      <c r="K71" t="n">
        <v>30</v>
      </c>
      <c r="L71" t="inlineStr">
        <is>
          <t>25 Juli 2026</t>
        </is>
      </c>
      <c r="M71" t="inlineStr">
        <is>
          <t>Konstruksi Gedung Hunian, Konstruksi Gedung Lainnya, Konstruksi Gedung Perkantoran</t>
        </is>
      </c>
      <c r="N71" t="inlineStr">
        <is>
          <t>K</t>
        </is>
      </c>
      <c r="O71" t="inlineStr">
        <is>
          <t>20230725</t>
        </is>
      </c>
      <c r="P71" t="inlineStr">
        <is>
          <t>Kalimantan Barat</t>
        </is>
      </c>
      <c r="Q71" t="inlineStr"/>
    </row>
    <row r="72">
      <c r="A72" t="inlineStr">
        <is>
          <t>CITRA SOKRASANA INTI</t>
        </is>
      </c>
      <c r="B72" t="inlineStr">
        <is>
          <t>Kota Surabaya</t>
        </is>
      </c>
      <c r="C72" t="inlineStr">
        <is>
          <t>081230049844</t>
        </is>
      </c>
      <c r="D72" t="inlineStr">
        <is>
          <t>citrasoksi@yahoo.com</t>
        </is>
      </c>
      <c r="E72" t="inlineStr">
        <is>
          <t>https://lpjk.pu.go.id/search-badan-usaha-detail/YmY1U09jY3gvNlJjMHBwVHkwRTd3QT09</t>
        </is>
      </c>
      <c r="F72" t="n">
        <v>1</v>
      </c>
      <c r="G72" t="inlineStr">
        <is>
          <t>BS004</t>
        </is>
      </c>
      <c r="H72" t="inlineStr">
        <is>
          <t>3 Oktober 2002</t>
        </is>
      </c>
      <c r="I72" s="2" t="n">
        <v>46228</v>
      </c>
      <c r="J72" t="inlineStr">
        <is>
          <t>Disetujui</t>
        </is>
      </c>
      <c r="K72" t="n">
        <v>30</v>
      </c>
      <c r="L72" t="inlineStr">
        <is>
          <t>25 Juli 2026</t>
        </is>
      </c>
      <c r="M72" t="inlineStr">
        <is>
          <t>Konstruksi Jaringan Irigasi dan Drainase</t>
        </is>
      </c>
      <c r="N72" t="inlineStr">
        <is>
          <t>K</t>
        </is>
      </c>
      <c r="O72" t="inlineStr">
        <is>
          <t>20230725</t>
        </is>
      </c>
      <c r="P72" t="inlineStr">
        <is>
          <t>Jawa Timur</t>
        </is>
      </c>
      <c r="Q72" t="inlineStr"/>
    </row>
    <row r="73">
      <c r="A73" t="inlineStr">
        <is>
          <t>CV. BAITANG KONTRAKTOR</t>
        </is>
      </c>
      <c r="B73" t="inlineStr">
        <is>
          <t>Kab. Tapanuli Selatan</t>
        </is>
      </c>
      <c r="C73" t="inlineStr">
        <is>
          <t>081262040399</t>
        </is>
      </c>
      <c r="D73" t="inlineStr">
        <is>
          <t>cv.baitangkontraktor@yahoo.co.id</t>
        </is>
      </c>
      <c r="E73" t="inlineStr">
        <is>
          <t>https://lpjk.pu.go.id/search-badan-usaha-detail/cVpLR0tGNzg4Uk9xdmtRSlpPWFhtUT09</t>
        </is>
      </c>
      <c r="F73" t="n">
        <v>4</v>
      </c>
      <c r="G73" t="inlineStr">
        <is>
          <t>BG005, BG006, BG009, BS005</t>
        </is>
      </c>
      <c r="H73" t="inlineStr">
        <is>
          <t>16 Juni 2002</t>
        </is>
      </c>
      <c r="I73" s="2" t="n">
        <v>46228</v>
      </c>
      <c r="J73" t="inlineStr">
        <is>
          <t>Disetujui</t>
        </is>
      </c>
      <c r="K73" t="n">
        <v>30</v>
      </c>
      <c r="L73" t="inlineStr">
        <is>
          <t>25 Juli 2026</t>
        </is>
      </c>
      <c r="M73" t="inlineStr">
        <is>
          <t>Konstruksi Bangunan Sipil Pengolahan Air Bersih, Konstruksi Gedung Kesehatan, Konstruksi Gedung Lainnya, Konstruksi Gedung Pendidikan</t>
        </is>
      </c>
      <c r="N73" t="inlineStr">
        <is>
          <t>K</t>
        </is>
      </c>
      <c r="O73" t="inlineStr">
        <is>
          <t>20230724</t>
        </is>
      </c>
      <c r="P73" t="inlineStr">
        <is>
          <t>Sumatera Utara</t>
        </is>
      </c>
      <c r="Q73" t="inlineStr"/>
    </row>
    <row r="74">
      <c r="A74" t="inlineStr">
        <is>
          <t>CV. SINAR KARYA SETIA</t>
        </is>
      </c>
      <c r="B74" t="inlineStr">
        <is>
          <t>Kota Padang Sidempuan</t>
        </is>
      </c>
      <c r="C74" t="inlineStr">
        <is>
          <t>063421829</t>
        </is>
      </c>
      <c r="D74" t="inlineStr">
        <is>
          <t>cv.sinarkaryasetia@yahoo.co.id</t>
        </is>
      </c>
      <c r="E74" t="inlineStr">
        <is>
          <t>https://lpjk.pu.go.id/search-badan-usaha-detail/MXJnbzZjNzE4TG5oaC9HSjdMOVpGUT09</t>
        </is>
      </c>
      <c r="F74" t="n">
        <v>4</v>
      </c>
      <c r="G74" t="inlineStr">
        <is>
          <t>BS002, BS005</t>
        </is>
      </c>
      <c r="H74" t="inlineStr">
        <is>
          <t>6 Oktober 1982</t>
        </is>
      </c>
      <c r="I74" s="2" t="n">
        <v>46228</v>
      </c>
      <c r="J74" t="inlineStr">
        <is>
          <t>Pencabutan</t>
        </is>
      </c>
      <c r="K74" t="n">
        <v>30</v>
      </c>
      <c r="L74" t="inlineStr">
        <is>
          <t>25 Juli 2026</t>
        </is>
      </c>
      <c r="M74" t="inlineStr">
        <is>
          <t>Bangunan Sipil Jembatan, Jalan Layang, Fly Over, dan Underpass, Konstruksi Bangunan Sipil Pengolahan Air Bersih</t>
        </is>
      </c>
      <c r="N74" t="inlineStr">
        <is>
          <t>K</t>
        </is>
      </c>
      <c r="O74" t="inlineStr">
        <is>
          <t>20230725</t>
        </is>
      </c>
      <c r="P74" t="inlineStr">
        <is>
          <t>Sumatera Utara</t>
        </is>
      </c>
      <c r="Q74" t="inlineStr"/>
    </row>
    <row r="75">
      <c r="A75" t="inlineStr">
        <is>
          <t>DATA KARYA UTAMA</t>
        </is>
      </c>
      <c r="B75" t="inlineStr">
        <is>
          <t>Kota Jayapura</t>
        </is>
      </c>
      <c r="C75" t="inlineStr">
        <is>
          <t>081248104735</t>
        </is>
      </c>
      <c r="D75" t="inlineStr">
        <is>
          <t>datakarya_2016@yahoo.com</t>
        </is>
      </c>
      <c r="E75" t="inlineStr">
        <is>
          <t>https://lpjk.pu.go.id/search-badan-usaha-detail/SmxxdVFJaGRjZkFSWjM0MWljRkNidz09</t>
        </is>
      </c>
      <c r="F75" t="n">
        <v>1</v>
      </c>
      <c r="G75" t="inlineStr">
        <is>
          <t>BG006</t>
        </is>
      </c>
      <c r="H75" t="inlineStr">
        <is>
          <t>23 Februari 2007</t>
        </is>
      </c>
      <c r="I75" s="2" t="n">
        <v>46228</v>
      </c>
      <c r="J75" t="inlineStr">
        <is>
          <t>Pencabutan</t>
        </is>
      </c>
      <c r="K75" t="n">
        <v>30</v>
      </c>
      <c r="L75" t="inlineStr">
        <is>
          <t>25 Juli 2026</t>
        </is>
      </c>
      <c r="M75" t="inlineStr">
        <is>
          <t>Konstruksi Gedung Pendidikan</t>
        </is>
      </c>
      <c r="N75" t="inlineStr">
        <is>
          <t>K</t>
        </is>
      </c>
      <c r="O75" t="inlineStr">
        <is>
          <t>20230713</t>
        </is>
      </c>
      <c r="P75" t="inlineStr">
        <is>
          <t>Papua</t>
        </is>
      </c>
      <c r="Q75" t="inlineStr"/>
    </row>
    <row r="76">
      <c r="A76" t="inlineStr">
        <is>
          <t>DIPTA AGUNG SANTOSA</t>
        </is>
      </c>
      <c r="B76" t="inlineStr">
        <is>
          <t>Kab. Kulon Progo</t>
        </is>
      </c>
      <c r="C76" t="inlineStr">
        <is>
          <t>0274774167</t>
        </is>
      </c>
      <c r="D76" t="inlineStr">
        <is>
          <t>cv.diptaagungsantosa@gmail.com</t>
        </is>
      </c>
      <c r="E76" t="inlineStr">
        <is>
          <t>https://lpjk.pu.go.id/search-badan-usaha-detail/TnZHSlgxYThIUmVMUGZOTSt0VlNwNElCTUJENFozNG0xWW5mSThVL3lTST0</t>
        </is>
      </c>
      <c r="F76" t="n">
        <v>1</v>
      </c>
      <c r="G76" t="inlineStr">
        <is>
          <t>BG006</t>
        </is>
      </c>
      <c r="H76" t="inlineStr">
        <is>
          <t>21 Januari 2025</t>
        </is>
      </c>
      <c r="I76" s="2" t="n">
        <v>46228</v>
      </c>
      <c r="J76" t="inlineStr">
        <is>
          <t>Disetujui</t>
        </is>
      </c>
      <c r="K76" t="n">
        <v>30</v>
      </c>
      <c r="L76" t="inlineStr">
        <is>
          <t>25 Juli 2026</t>
        </is>
      </c>
      <c r="M76" t="inlineStr">
        <is>
          <t>Konstruksi Gedung Pendidikan</t>
        </is>
      </c>
      <c r="N76" t="inlineStr">
        <is>
          <t>K</t>
        </is>
      </c>
      <c r="O76" t="inlineStr">
        <is>
          <t>20230724</t>
        </is>
      </c>
      <c r="P76" t="inlineStr">
        <is>
          <t>DI Yogyakarta</t>
        </is>
      </c>
      <c r="Q76" t="inlineStr"/>
    </row>
    <row r="77">
      <c r="A77" t="inlineStr">
        <is>
          <t>DUA BELAS PUTRA</t>
        </is>
      </c>
      <c r="B77" t="inlineStr">
        <is>
          <t>Kab. Bungo</t>
        </is>
      </c>
      <c r="C77" t="inlineStr">
        <is>
          <t>082180142323</t>
        </is>
      </c>
      <c r="D77" t="inlineStr">
        <is>
          <t>duabelas_putra@yahoo.com</t>
        </is>
      </c>
      <c r="E77" t="inlineStr">
        <is>
          <t>https://lpjk.pu.go.id/search-badan-usaha-detail/OVJnalRTMjhtZEltb0trNlJnSmt1Zz09</t>
        </is>
      </c>
      <c r="F77" t="n">
        <v>1</v>
      </c>
      <c r="G77" t="inlineStr">
        <is>
          <t>BG008</t>
        </is>
      </c>
      <c r="H77" t="inlineStr">
        <is>
          <t>11 Desember 2009</t>
        </is>
      </c>
      <c r="I77" s="2" t="n">
        <v>46228</v>
      </c>
      <c r="J77" t="inlineStr">
        <is>
          <t>Disetujui</t>
        </is>
      </c>
      <c r="K77" t="n">
        <v>30</v>
      </c>
      <c r="L77" t="inlineStr">
        <is>
          <t>25 Juli 2026</t>
        </is>
      </c>
      <c r="M77" t="inlineStr">
        <is>
          <t>Konstruksi Gedung Tempat Hiburan dan Olahraga</t>
        </is>
      </c>
      <c r="N77" t="inlineStr">
        <is>
          <t>K</t>
        </is>
      </c>
      <c r="O77" t="inlineStr">
        <is>
          <t>20230607</t>
        </is>
      </c>
      <c r="P77" t="inlineStr">
        <is>
          <t>Jambi</t>
        </is>
      </c>
      <c r="Q77" t="inlineStr"/>
    </row>
    <row r="78">
      <c r="A78" t="inlineStr">
        <is>
          <t>DUA BERSAUDARA</t>
        </is>
      </c>
      <c r="B78" t="inlineStr">
        <is>
          <t>Kab. Bengkalis</t>
        </is>
      </c>
      <c r="C78" t="inlineStr">
        <is>
          <t>081277551000</t>
        </is>
      </c>
      <c r="D78" t="inlineStr">
        <is>
          <t>cvduabersaudara6@gmail.com</t>
        </is>
      </c>
      <c r="E78" t="inlineStr">
        <is>
          <t>https://lpjk.pu.go.id/search-badan-usaha-detail/RnFMeSt1RUI4U3dNQjhzbXEwbXh4QT09</t>
        </is>
      </c>
      <c r="F78" t="n">
        <v>1</v>
      </c>
      <c r="G78" t="inlineStr">
        <is>
          <t>BG005</t>
        </is>
      </c>
      <c r="H78" t="inlineStr">
        <is>
          <t>18 Januari 2018</t>
        </is>
      </c>
      <c r="I78" s="2" t="n">
        <v>46228</v>
      </c>
      <c r="J78" t="inlineStr">
        <is>
          <t>Disetujui</t>
        </is>
      </c>
      <c r="K78" t="n">
        <v>30</v>
      </c>
      <c r="L78" t="inlineStr">
        <is>
          <t>25 Juli 2026</t>
        </is>
      </c>
      <c r="M78" t="inlineStr">
        <is>
          <t>Konstruksi Gedung Kesehatan</t>
        </is>
      </c>
      <c r="N78" t="inlineStr">
        <is>
          <t>K</t>
        </is>
      </c>
      <c r="O78" t="inlineStr">
        <is>
          <t>20230724</t>
        </is>
      </c>
      <c r="P78" t="inlineStr">
        <is>
          <t>Riau</t>
        </is>
      </c>
      <c r="Q78" t="inlineStr"/>
    </row>
    <row r="79">
      <c r="A79" t="inlineStr">
        <is>
          <t>DUA PUTRA UTAMA</t>
        </is>
      </c>
      <c r="B79" t="inlineStr">
        <is>
          <t>Kota Makassar</t>
        </is>
      </c>
      <c r="C79" t="inlineStr">
        <is>
          <t>082189144111</t>
        </is>
      </c>
      <c r="D79" t="inlineStr">
        <is>
          <t>duaptrutm.cv@gmail.com</t>
        </is>
      </c>
      <c r="E79" t="inlineStr">
        <is>
          <t>https://lpjk.pu.go.id/search-badan-usaha-detail/Z1FzVnZYZUpqVUIxZ1lJZzE0U0RZUT09</t>
        </is>
      </c>
      <c r="F79" t="n">
        <v>5</v>
      </c>
      <c r="G79" t="inlineStr">
        <is>
          <t>BG001, BG002, BG003, BG006, BG009</t>
        </is>
      </c>
      <c r="H79" t="inlineStr">
        <is>
          <t>7 Januari 2004</t>
        </is>
      </c>
      <c r="I79" s="2" t="n">
        <v>46228</v>
      </c>
      <c r="J79" t="inlineStr">
        <is>
          <t>Disetujui</t>
        </is>
      </c>
      <c r="K79" t="n">
        <v>30</v>
      </c>
      <c r="L79" t="inlineStr">
        <is>
          <t>25 Juli 2026</t>
        </is>
      </c>
      <c r="M79" t="inlineStr">
        <is>
          <t>Konstruksi Gedung Hunian, Konstruksi Gedung Industri, Konstruksi Gedung Lainnya, Konstruksi Gedung Pendidikan, Konstruksi Gedung Perkantoran</t>
        </is>
      </c>
      <c r="N79" t="inlineStr">
        <is>
          <t>K</t>
        </is>
      </c>
      <c r="O79" t="inlineStr">
        <is>
          <t>20230725, 20230726</t>
        </is>
      </c>
      <c r="P79" t="inlineStr">
        <is>
          <t>Sulawesi Selatan</t>
        </is>
      </c>
      <c r="Q79" t="inlineStr"/>
    </row>
    <row r="80">
      <c r="A80" t="inlineStr">
        <is>
          <t>DUTA SARANA MULIA</t>
        </is>
      </c>
      <c r="B80" t="inlineStr">
        <is>
          <t>Kota Balikpapan</t>
        </is>
      </c>
      <c r="C80" t="inlineStr">
        <is>
          <t>082134269997</t>
        </is>
      </c>
      <c r="D80" t="inlineStr">
        <is>
          <t>dutasaranamulia@gmail.com</t>
        </is>
      </c>
      <c r="E80" t="inlineStr">
        <is>
          <t>https://lpjk.pu.go.id/search-badan-usaha-detail/MU84QmUxV1g5Sk5va2hFd25kcHdEZz09</t>
        </is>
      </c>
      <c r="F80" t="n">
        <v>1</v>
      </c>
      <c r="G80" t="inlineStr">
        <is>
          <t>BG008</t>
        </is>
      </c>
      <c r="H80" t="inlineStr">
        <is>
          <t>27 Januari 2004</t>
        </is>
      </c>
      <c r="I80" s="2" t="n">
        <v>46228</v>
      </c>
      <c r="J80" t="inlineStr">
        <is>
          <t>Disetujui</t>
        </is>
      </c>
      <c r="K80" t="n">
        <v>30</v>
      </c>
      <c r="L80" t="inlineStr">
        <is>
          <t>25 Juli 2026</t>
        </is>
      </c>
      <c r="M80" t="inlineStr">
        <is>
          <t>Konstruksi Gedung Tempat Hiburan dan Olahraga</t>
        </is>
      </c>
      <c r="N80" t="inlineStr">
        <is>
          <t>K</t>
        </is>
      </c>
      <c r="O80" t="inlineStr">
        <is>
          <t>20230717</t>
        </is>
      </c>
      <c r="P80" t="inlineStr">
        <is>
          <t>Kalimantan Timur</t>
        </is>
      </c>
      <c r="Q80" t="inlineStr"/>
    </row>
    <row r="81">
      <c r="A81" t="inlineStr">
        <is>
          <t>EKA KARYA MANDIRI</t>
        </is>
      </c>
      <c r="B81" t="inlineStr">
        <is>
          <t>Kab. Madiun</t>
        </is>
      </c>
      <c r="C81" t="inlineStr">
        <is>
          <t>082233809793</t>
        </is>
      </c>
      <c r="D81" t="inlineStr">
        <is>
          <t>ekakaryamandiri00@gmail.com</t>
        </is>
      </c>
      <c r="E81" t="inlineStr">
        <is>
          <t>https://lpjk.pu.go.id/search-badan-usaha-detail/dzEwR3VCc0FvQXlnN0hCaHRhaEdjdz09</t>
        </is>
      </c>
      <c r="F81" t="n">
        <v>1</v>
      </c>
      <c r="G81" t="inlineStr">
        <is>
          <t>BS004</t>
        </is>
      </c>
      <c r="H81" t="inlineStr">
        <is>
          <t>30 Agustus 2016</t>
        </is>
      </c>
      <c r="I81" s="2" t="n">
        <v>46228</v>
      </c>
      <c r="J81" t="inlineStr">
        <is>
          <t>Disetujui</t>
        </is>
      </c>
      <c r="K81" t="n">
        <v>30</v>
      </c>
      <c r="L81" t="inlineStr">
        <is>
          <t>25 Juli 2026</t>
        </is>
      </c>
      <c r="M81" t="inlineStr">
        <is>
          <t>Konstruksi Jaringan Irigasi dan Drainase</t>
        </is>
      </c>
      <c r="N81" t="inlineStr">
        <is>
          <t>K</t>
        </is>
      </c>
      <c r="O81" t="inlineStr">
        <is>
          <t>20230725</t>
        </is>
      </c>
      <c r="P81" t="inlineStr">
        <is>
          <t>Jawa Timur</t>
        </is>
      </c>
      <c r="Q81" t="inlineStr"/>
    </row>
    <row r="82">
      <c r="A82" t="inlineStr">
        <is>
          <t>ELANG JAYA</t>
        </is>
      </c>
      <c r="B82" t="inlineStr">
        <is>
          <t>Kab. Brebes</t>
        </is>
      </c>
      <c r="C82" t="inlineStr">
        <is>
          <t>081328413470</t>
        </is>
      </c>
      <c r="D82" t="inlineStr">
        <is>
          <t>elang_jaya@rocketmail.com</t>
        </is>
      </c>
      <c r="E82" t="inlineStr">
        <is>
          <t>https://lpjk.pu.go.id/search-badan-usaha-detail/K3g0cGJleGVPd0RTK3JjUU9hNkdkQT09</t>
        </is>
      </c>
      <c r="F82" t="n">
        <v>2</v>
      </c>
      <c r="G82" t="inlineStr">
        <is>
          <t>BG002</t>
        </is>
      </c>
      <c r="H82" t="inlineStr">
        <is>
          <t>13 Maret 2013</t>
        </is>
      </c>
      <c r="I82" s="2" t="n">
        <v>46228</v>
      </c>
      <c r="J82" t="inlineStr">
        <is>
          <t>Pencabutan</t>
        </is>
      </c>
      <c r="K82" t="n">
        <v>30</v>
      </c>
      <c r="L82" t="inlineStr">
        <is>
          <t>25 Juli 2026</t>
        </is>
      </c>
      <c r="M82" t="inlineStr">
        <is>
          <t>Konstruksi Gedung Perkantoran</t>
        </is>
      </c>
      <c r="N82" t="inlineStr">
        <is>
          <t>K</t>
        </is>
      </c>
      <c r="O82" t="inlineStr">
        <is>
          <t>20230724</t>
        </is>
      </c>
      <c r="P82" t="inlineStr">
        <is>
          <t>Jawa Tengah</t>
        </is>
      </c>
      <c r="Q82" t="inlineStr"/>
    </row>
    <row r="83">
      <c r="A83" t="inlineStr">
        <is>
          <t>FITRI</t>
        </is>
      </c>
      <c r="B83" t="inlineStr">
        <is>
          <t>Kota Pangkal Pinang</t>
        </is>
      </c>
      <c r="C83" t="inlineStr">
        <is>
          <t>081368752777</t>
        </is>
      </c>
      <c r="D83" t="inlineStr">
        <is>
          <t>cvfitri@gmail.com</t>
        </is>
      </c>
      <c r="E83" t="inlineStr">
        <is>
          <t>https://lpjk.pu.go.id/search-badan-usaha-detail/WlhGZGVReEhqOXMzSWJ6eGJjVnNldz09</t>
        </is>
      </c>
      <c r="F83" t="n">
        <v>4</v>
      </c>
      <c r="G83" t="inlineStr">
        <is>
          <t>BG002, BG006, BG009, BS004</t>
        </is>
      </c>
      <c r="H83" t="inlineStr">
        <is>
          <t>16 November 2006</t>
        </is>
      </c>
      <c r="I83" s="2" t="n">
        <v>46228</v>
      </c>
      <c r="J83" t="inlineStr">
        <is>
          <t>Disetujui</t>
        </is>
      </c>
      <c r="K83" t="n">
        <v>30</v>
      </c>
      <c r="L83" t="inlineStr">
        <is>
          <t>25 Juli 2026</t>
        </is>
      </c>
      <c r="M83" t="inlineStr">
        <is>
          <t>Konstruksi Gedung Lainnya, Konstruksi Gedung Pendidikan, Konstruksi Gedung Perkantoran, Konstruksi Jaringan Irigasi dan Drainase</t>
        </is>
      </c>
      <c r="N83" t="inlineStr">
        <is>
          <t>K</t>
        </is>
      </c>
      <c r="O83" t="inlineStr">
        <is>
          <t>20230720</t>
        </is>
      </c>
      <c r="P83" t="inlineStr">
        <is>
          <t>Kepulauan Bangka Belitung</t>
        </is>
      </c>
      <c r="Q83" t="inlineStr"/>
    </row>
    <row r="84">
      <c r="A84" t="inlineStr">
        <is>
          <t>GLAGAHWANGI</t>
        </is>
      </c>
      <c r="B84" t="inlineStr">
        <is>
          <t>Kab. Majalengka</t>
        </is>
      </c>
      <c r="C84" t="inlineStr">
        <is>
          <t>081224254142</t>
        </is>
      </c>
      <c r="D84" t="inlineStr">
        <is>
          <t>glagahwangi.cv@gmail.com</t>
        </is>
      </c>
      <c r="E84" t="inlineStr">
        <is>
          <t>https://lpjk.pu.go.id/search-badan-usaha-detail/SzRRSEZuNERCSGEyZjIzRC9GbU84Zz09</t>
        </is>
      </c>
      <c r="F84" t="n">
        <v>1</v>
      </c>
      <c r="G84" t="inlineStr">
        <is>
          <t>BS005</t>
        </is>
      </c>
      <c r="H84" t="inlineStr">
        <is>
          <t>18 Januari 2019</t>
        </is>
      </c>
      <c r="I84" s="2" t="n">
        <v>46228</v>
      </c>
      <c r="J84" t="inlineStr">
        <is>
          <t>Disetujui</t>
        </is>
      </c>
      <c r="K84" t="n">
        <v>30</v>
      </c>
      <c r="L84" t="inlineStr">
        <is>
          <t>25 Juli 2026</t>
        </is>
      </c>
      <c r="M84" t="inlineStr">
        <is>
          <t>Konstruksi Bangunan Sipil Pengolahan Air Bersih</t>
        </is>
      </c>
      <c r="N84" t="inlineStr">
        <is>
          <t>K</t>
        </is>
      </c>
      <c r="O84" t="inlineStr">
        <is>
          <t>20230721</t>
        </is>
      </c>
      <c r="P84" t="inlineStr">
        <is>
          <t>Jawa Barat</t>
        </is>
      </c>
      <c r="Q84" t="inlineStr"/>
    </row>
    <row r="85">
      <c r="A85" t="inlineStr">
        <is>
          <t>GUNA WANA GRAHA</t>
        </is>
      </c>
      <c r="B85" t="inlineStr">
        <is>
          <t>Kab. Gianyar</t>
        </is>
      </c>
      <c r="C85" t="inlineStr">
        <is>
          <t>082237434390</t>
        </is>
      </c>
      <c r="D85" t="inlineStr">
        <is>
          <t>grahaptgunawana@gmail.com</t>
        </is>
      </c>
      <c r="E85" t="inlineStr">
        <is>
          <t>https://lpjk.pu.go.id/search-badan-usaha-detail/RElyRXVzRmdQL21CMkVPUWNxaU5xdz09</t>
        </is>
      </c>
      <c r="F85" t="n">
        <v>2</v>
      </c>
      <c r="G85" t="inlineStr">
        <is>
          <t>BG002, BS001</t>
        </is>
      </c>
      <c r="H85" t="inlineStr">
        <is>
          <t>19 Januari 2001</t>
        </is>
      </c>
      <c r="I85" s="2" t="n">
        <v>46228</v>
      </c>
      <c r="J85" t="inlineStr">
        <is>
          <t>Disetujui</t>
        </is>
      </c>
      <c r="K85" t="n">
        <v>30</v>
      </c>
      <c r="L85" t="inlineStr">
        <is>
          <t>25 Juli 2026</t>
        </is>
      </c>
      <c r="M85" t="inlineStr">
        <is>
          <t>Konstruksi Bangunan Sipil Jalan, Konstruksi Gedung Perkantoran</t>
        </is>
      </c>
      <c r="N85" t="inlineStr">
        <is>
          <t>K</t>
        </is>
      </c>
      <c r="O85" t="inlineStr">
        <is>
          <t>20230612</t>
        </is>
      </c>
      <c r="P85" t="inlineStr">
        <is>
          <t>Bali</t>
        </is>
      </c>
      <c r="Q85" t="inlineStr"/>
    </row>
    <row r="86">
      <c r="A86" t="inlineStr">
        <is>
          <t>HANI</t>
        </is>
      </c>
      <c r="B86" t="inlineStr">
        <is>
          <t>Kota Payakumbuh</t>
        </is>
      </c>
      <c r="C86" t="inlineStr">
        <is>
          <t>085274633860</t>
        </is>
      </c>
      <c r="D86" t="inlineStr">
        <is>
          <t>hanikontraktor@gmail.com</t>
        </is>
      </c>
      <c r="E86" t="inlineStr">
        <is>
          <t>https://lpjk.pu.go.id/search-badan-usaha-detail/MVBUaGlGV3U5cG5lTHYvb3RsVUM1UT09</t>
        </is>
      </c>
      <c r="F86" t="n">
        <v>2</v>
      </c>
      <c r="G86" t="inlineStr">
        <is>
          <t>BG002, BG009</t>
        </is>
      </c>
      <c r="H86" t="inlineStr">
        <is>
          <t>22 Januari 2008</t>
        </is>
      </c>
      <c r="I86" s="2" t="n">
        <v>46228</v>
      </c>
      <c r="J86" t="inlineStr">
        <is>
          <t>Pencabutan</t>
        </is>
      </c>
      <c r="K86" t="n">
        <v>30</v>
      </c>
      <c r="L86" t="inlineStr">
        <is>
          <t>25 Juli 2026</t>
        </is>
      </c>
      <c r="M86" t="inlineStr">
        <is>
          <t>Konstruksi Gedung Lainnya, Konstruksi Gedung Perkantoran</t>
        </is>
      </c>
      <c r="N86" t="inlineStr">
        <is>
          <t>K</t>
        </is>
      </c>
      <c r="O86" t="inlineStr">
        <is>
          <t>20230717, 20230725</t>
        </is>
      </c>
      <c r="P86" t="inlineStr">
        <is>
          <t>Sumatera Barat</t>
        </is>
      </c>
      <c r="Q86" t="inlineStr"/>
    </row>
    <row r="87">
      <c r="A87" t="inlineStr">
        <is>
          <t>HANIF</t>
        </is>
      </c>
      <c r="B87" t="inlineStr">
        <is>
          <t>Kota Sawahlunto</t>
        </is>
      </c>
      <c r="C87" t="inlineStr">
        <is>
          <t>081363377199</t>
        </is>
      </c>
      <c r="D87" t="inlineStr">
        <is>
          <t>hanif.konstruksi@gmail.com</t>
        </is>
      </c>
      <c r="E87" t="inlineStr">
        <is>
          <t>https://lpjk.pu.go.id/search-badan-usaha-detail/dUQrb2NYeVNXTzVCSWx4WWZJeVFmdz09</t>
        </is>
      </c>
      <c r="F87" t="n">
        <v>2</v>
      </c>
      <c r="G87" t="inlineStr">
        <is>
          <t>BG006</t>
        </is>
      </c>
      <c r="H87" t="inlineStr">
        <is>
          <t>18 Oktober 2011</t>
        </is>
      </c>
      <c r="I87" s="2" t="n">
        <v>46228</v>
      </c>
      <c r="J87" t="inlineStr">
        <is>
          <t>Disetujui</t>
        </is>
      </c>
      <c r="K87" t="n">
        <v>30</v>
      </c>
      <c r="L87" t="inlineStr">
        <is>
          <t>25 Juli 2026</t>
        </is>
      </c>
      <c r="M87" t="inlineStr">
        <is>
          <t>Konstruksi Gedung Pendidikan</t>
        </is>
      </c>
      <c r="N87" t="inlineStr">
        <is>
          <t>K</t>
        </is>
      </c>
      <c r="O87" t="inlineStr">
        <is>
          <t>20230706</t>
        </is>
      </c>
      <c r="P87" t="inlineStr">
        <is>
          <t>Sumatera Barat</t>
        </is>
      </c>
      <c r="Q87" t="inlineStr"/>
    </row>
    <row r="88">
      <c r="A88" t="inlineStr">
        <is>
          <t>HARAPAN BARU</t>
        </is>
      </c>
      <c r="B88" t="inlineStr">
        <is>
          <t>Kab. Biak Numfor</t>
        </is>
      </c>
      <c r="C88" t="inlineStr">
        <is>
          <t>081248148727</t>
        </is>
      </c>
      <c r="D88" t="inlineStr">
        <is>
          <t>cv.harapanbarubiak@gmail.com</t>
        </is>
      </c>
      <c r="E88" t="inlineStr">
        <is>
          <t>https://lpjk.pu.go.id/search-badan-usaha-detail/Z3Jpc244R1BxWGhLYmhTVFlXTWMyQT09</t>
        </is>
      </c>
      <c r="F88" t="n">
        <v>2</v>
      </c>
      <c r="G88" t="inlineStr">
        <is>
          <t>BG009</t>
        </is>
      </c>
      <c r="H88" t="inlineStr">
        <is>
          <t>18 Desember 1990</t>
        </is>
      </c>
      <c r="I88" s="2" t="n">
        <v>46228</v>
      </c>
      <c r="J88" t="inlineStr">
        <is>
          <t>Disetujui</t>
        </is>
      </c>
      <c r="K88" t="n">
        <v>30</v>
      </c>
      <c r="L88" t="inlineStr">
        <is>
          <t>25 Juli 2026</t>
        </is>
      </c>
      <c r="M88" t="inlineStr">
        <is>
          <t>Konstruksi Gedung Lainnya</t>
        </is>
      </c>
      <c r="N88" t="inlineStr">
        <is>
          <t>K</t>
        </is>
      </c>
      <c r="O88" t="inlineStr">
        <is>
          <t>20230725</t>
        </is>
      </c>
      <c r="P88" t="inlineStr">
        <is>
          <t>Papua</t>
        </is>
      </c>
      <c r="Q88" t="inlineStr"/>
    </row>
    <row r="89">
      <c r="A89" t="inlineStr">
        <is>
          <t>HARI GEMILANG PERSADA</t>
        </is>
      </c>
      <c r="B89" t="inlineStr">
        <is>
          <t>Kab. Pesisir Selatan</t>
        </is>
      </c>
      <c r="C89" t="inlineStr">
        <is>
          <t>081364565501</t>
        </is>
      </c>
      <c r="D89" t="inlineStr">
        <is>
          <t>haripersada17@gmail.com</t>
        </is>
      </c>
      <c r="E89" t="inlineStr">
        <is>
          <t>https://lpjk.pu.go.id/search-badan-usaha-detail/RTJIeHpuUTREa2hHNkhZS3dqclFyQT09</t>
        </is>
      </c>
      <c r="F89" t="n">
        <v>3</v>
      </c>
      <c r="G89" t="inlineStr">
        <is>
          <t>BG006, BG009, BS004</t>
        </is>
      </c>
      <c r="H89" t="inlineStr">
        <is>
          <t>16 Maret 2023</t>
        </is>
      </c>
      <c r="I89" s="2" t="n">
        <v>46228</v>
      </c>
      <c r="J89" t="inlineStr">
        <is>
          <t>Disetujui</t>
        </is>
      </c>
      <c r="K89" t="n">
        <v>30</v>
      </c>
      <c r="L89" t="inlineStr">
        <is>
          <t>25 Juli 2026</t>
        </is>
      </c>
      <c r="M89" t="inlineStr">
        <is>
          <t>Konstruksi Gedung Lainnya, Konstruksi Gedung Pendidikan, Konstruksi Jaringan Irigasi dan Drainase</t>
        </is>
      </c>
      <c r="N89" t="inlineStr">
        <is>
          <t>K</t>
        </is>
      </c>
      <c r="O89" t="inlineStr">
        <is>
          <t>20230724, 20230725</t>
        </is>
      </c>
      <c r="P89" t="inlineStr">
        <is>
          <t>Sumatera Barat</t>
        </is>
      </c>
      <c r="Q89" t="inlineStr"/>
    </row>
    <row r="90">
      <c r="A90" t="inlineStr">
        <is>
          <t>IBRAHIMA JAYA</t>
        </is>
      </c>
      <c r="B90" t="inlineStr">
        <is>
          <t>Kab. Sragen</t>
        </is>
      </c>
      <c r="C90" t="inlineStr">
        <is>
          <t>082329551622</t>
        </is>
      </c>
      <c r="D90" t="inlineStr">
        <is>
          <t>ibrahimajaya@gmail.com</t>
        </is>
      </c>
      <c r="E90" t="inlineStr">
        <is>
          <t>https://lpjk.pu.go.id/search-badan-usaha-detail/OFFRcUQ0NW8wNk5jaXBOa1VkWVBaQT09</t>
        </is>
      </c>
      <c r="F90" t="n">
        <v>1</v>
      </c>
      <c r="G90" t="inlineStr">
        <is>
          <t>BG006</t>
        </is>
      </c>
      <c r="H90" t="inlineStr">
        <is>
          <t>27 Juni 2016</t>
        </is>
      </c>
      <c r="I90" s="2" t="n">
        <v>46228</v>
      </c>
      <c r="J90" t="inlineStr">
        <is>
          <t>Disetujui</t>
        </is>
      </c>
      <c r="K90" t="n">
        <v>30</v>
      </c>
      <c r="L90" t="inlineStr">
        <is>
          <t>25 Juli 2026</t>
        </is>
      </c>
      <c r="M90" t="inlineStr">
        <is>
          <t>Konstruksi Gedung Pendidikan</t>
        </is>
      </c>
      <c r="N90" t="inlineStr">
        <is>
          <t>K</t>
        </is>
      </c>
      <c r="O90" t="inlineStr">
        <is>
          <t>20230720</t>
        </is>
      </c>
      <c r="P90" t="inlineStr">
        <is>
          <t>Jawa Tengah</t>
        </is>
      </c>
      <c r="Q90" t="inlineStr"/>
    </row>
    <row r="91">
      <c r="A91" t="inlineStr">
        <is>
          <t>ILHAMI</t>
        </is>
      </c>
      <c r="B91" t="inlineStr">
        <is>
          <t>Kab. Lombok Timur</t>
        </is>
      </c>
      <c r="C91" t="inlineStr">
        <is>
          <t>082147222682</t>
        </is>
      </c>
      <c r="D91" t="inlineStr">
        <is>
          <t>ilhamicv@gmail.com</t>
        </is>
      </c>
      <c r="E91" t="inlineStr">
        <is>
          <t>https://lpjk.pu.go.id/search-badan-usaha-detail/QVIwTTdSaE5LOVBycDM0Y0o0UmpJUT09</t>
        </is>
      </c>
      <c r="F91" t="n">
        <v>3</v>
      </c>
      <c r="G91" t="inlineStr">
        <is>
          <t>BG005, BS005</t>
        </is>
      </c>
      <c r="H91" t="inlineStr">
        <is>
          <t>8 Januari 2014</t>
        </is>
      </c>
      <c r="I91" s="2" t="n">
        <v>46228</v>
      </c>
      <c r="J91" t="inlineStr">
        <is>
          <t>Disetujui, Validasi</t>
        </is>
      </c>
      <c r="K91" t="n">
        <v>30</v>
      </c>
      <c r="L91" t="inlineStr">
        <is>
          <t>25 Juli 2026</t>
        </is>
      </c>
      <c r="M91" t="inlineStr">
        <is>
          <t>Konstruksi Bangunan Sipil Pengolahan Air Bersih, Konstruksi Gedung Kesehatan</t>
        </is>
      </c>
      <c r="N91" t="inlineStr">
        <is>
          <t>K</t>
        </is>
      </c>
      <c r="O91" t="inlineStr">
        <is>
          <t>20230723</t>
        </is>
      </c>
      <c r="P91" t="inlineStr">
        <is>
          <t>Nusa Tenggara Barat</t>
        </is>
      </c>
      <c r="Q91" t="inlineStr"/>
    </row>
    <row r="92">
      <c r="A92" t="inlineStr">
        <is>
          <t>INTAN PUTRA</t>
        </is>
      </c>
      <c r="B92" t="inlineStr">
        <is>
          <t>Kota Bima</t>
        </is>
      </c>
      <c r="C92" t="inlineStr">
        <is>
          <t>082235498920</t>
        </is>
      </c>
      <c r="D92" t="inlineStr">
        <is>
          <t>cvintanputra876@gmail.com</t>
        </is>
      </c>
      <c r="E92" t="inlineStr">
        <is>
          <t>https://lpjk.pu.go.id/search-badan-usaha-detail/bHk3MWlyN0c1U1puTUlYMlVlbVc4UT09</t>
        </is>
      </c>
      <c r="F92" t="n">
        <v>1</v>
      </c>
      <c r="G92" t="inlineStr">
        <is>
          <t>BG006</t>
        </is>
      </c>
      <c r="H92" t="inlineStr">
        <is>
          <t>10 September 1998</t>
        </is>
      </c>
      <c r="I92" s="2" t="n">
        <v>46228</v>
      </c>
      <c r="J92" t="inlineStr">
        <is>
          <t>Disetujui</t>
        </is>
      </c>
      <c r="K92" t="n">
        <v>30</v>
      </c>
      <c r="L92" t="inlineStr">
        <is>
          <t>25 Juli 2026</t>
        </is>
      </c>
      <c r="M92" t="inlineStr">
        <is>
          <t>Konstruksi Gedung Pendidikan</t>
        </is>
      </c>
      <c r="N92" t="inlineStr">
        <is>
          <t>K</t>
        </is>
      </c>
      <c r="O92" t="inlineStr">
        <is>
          <t>20230717</t>
        </is>
      </c>
      <c r="P92" t="inlineStr">
        <is>
          <t>Nusa Tenggara Barat</t>
        </is>
      </c>
      <c r="Q92" t="inlineStr"/>
    </row>
    <row r="93">
      <c r="A93" t="inlineStr">
        <is>
          <t>INTI KARYA CONTS</t>
        </is>
      </c>
      <c r="B93" t="inlineStr">
        <is>
          <t>Kab. Toli Toli</t>
        </is>
      </c>
      <c r="C93" t="inlineStr">
        <is>
          <t>085240901946</t>
        </is>
      </c>
      <c r="D93" t="inlineStr">
        <is>
          <t>ptintikaryaconts@gmail.com</t>
        </is>
      </c>
      <c r="E93" t="inlineStr">
        <is>
          <t>https://lpjk.pu.go.id/search-badan-usaha-detail/SUhjdldGVnhtcU9PRFR3TnhlMEJIQT09</t>
        </is>
      </c>
      <c r="F93" t="n">
        <v>6</v>
      </c>
      <c r="G93" t="inlineStr">
        <is>
          <t>BG002, BG005, BG009, BS001, BS002, BS004</t>
        </is>
      </c>
      <c r="H93" t="inlineStr">
        <is>
          <t>25 Januari 2023</t>
        </is>
      </c>
      <c r="I93" s="2" t="n">
        <v>46228</v>
      </c>
      <c r="J93" t="inlineStr">
        <is>
          <t>Disetujui, Pencabutan</t>
        </is>
      </c>
      <c r="K93" t="n">
        <v>30</v>
      </c>
      <c r="L93" t="inlineStr">
        <is>
          <t>25 Juli 2026</t>
        </is>
      </c>
      <c r="M93" t="inlineStr">
        <is>
          <t>Bangunan Sipil Jembatan, Jalan Layang, Fly Over, dan Underpass, Konstruksi Bangunan Sipil Jalan, Konstruksi Gedung Kesehatan, Konstruksi Gedung Lainnya, Konstruksi Gedung Perkantoran, Konstruksi Jaringan Irigasi dan Drainase</t>
        </is>
      </c>
      <c r="N93" t="inlineStr">
        <is>
          <t>K</t>
        </is>
      </c>
      <c r="O93" t="inlineStr">
        <is>
          <t>20230719, 20230720</t>
        </is>
      </c>
      <c r="P93" t="inlineStr">
        <is>
          <t>Sulawesi Tengah</t>
        </is>
      </c>
      <c r="Q93" t="inlineStr"/>
    </row>
    <row r="94">
      <c r="A94" t="inlineStr">
        <is>
          <t>ISTIQOMAH</t>
        </is>
      </c>
      <c r="B94" t="inlineStr">
        <is>
          <t>Kab. Deli Serdang</t>
        </is>
      </c>
      <c r="C94" t="inlineStr">
        <is>
          <t>085345498800</t>
        </is>
      </c>
      <c r="D94" t="inlineStr">
        <is>
          <t>cvistiqomah0202@gmail.com</t>
        </is>
      </c>
      <c r="E94" t="inlineStr">
        <is>
          <t>https://lpjk.pu.go.id/search-badan-usaha-detail/WTdISnBFVUZMWDUyOHJnMlpzRjUydz09</t>
        </is>
      </c>
      <c r="F94" t="n">
        <v>2</v>
      </c>
      <c r="G94" t="inlineStr">
        <is>
          <t>BS001</t>
        </is>
      </c>
      <c r="H94" t="inlineStr">
        <is>
          <t>14 Februari 2017</t>
        </is>
      </c>
      <c r="I94" s="2" t="n">
        <v>46228</v>
      </c>
      <c r="J94" t="inlineStr">
        <is>
          <t>Pencabutan</t>
        </is>
      </c>
      <c r="K94" t="n">
        <v>30</v>
      </c>
      <c r="L94" t="inlineStr">
        <is>
          <t>25 Juli 2026</t>
        </is>
      </c>
      <c r="M94" t="inlineStr">
        <is>
          <t>Konstruksi Bangunan Sipil Jalan</t>
        </is>
      </c>
      <c r="N94" t="inlineStr">
        <is>
          <t>K</t>
        </is>
      </c>
      <c r="O94" t="inlineStr">
        <is>
          <t>20230713</t>
        </is>
      </c>
      <c r="P94" t="inlineStr">
        <is>
          <t>Sumatera Utara</t>
        </is>
      </c>
      <c r="Q94" t="inlineStr"/>
    </row>
    <row r="95">
      <c r="A95" t="inlineStr">
        <is>
          <t>JASA PRATAMA</t>
        </is>
      </c>
      <c r="B95" t="inlineStr">
        <is>
          <t>Kota Sorong</t>
        </is>
      </c>
      <c r="C95" t="inlineStr">
        <is>
          <t>082394445558</t>
        </is>
      </c>
      <c r="D95" t="inlineStr">
        <is>
          <t>jasapratama2023@gmail.com</t>
        </is>
      </c>
      <c r="E95" t="inlineStr">
        <is>
          <t>https://lpjk.pu.go.id/search-badan-usaha-detail/bk13Um5QQTZhcXhxZFlNTldBSjh1UT09</t>
        </is>
      </c>
      <c r="F95" t="n">
        <v>1</v>
      </c>
      <c r="G95" t="inlineStr">
        <is>
          <t>BS002</t>
        </is>
      </c>
      <c r="H95" t="inlineStr">
        <is>
          <t>28 Agustus 2003</t>
        </is>
      </c>
      <c r="I95" s="2" t="n">
        <v>46228</v>
      </c>
      <c r="J95" t="inlineStr">
        <is>
          <t>Disetujui</t>
        </is>
      </c>
      <c r="K95" t="n">
        <v>30</v>
      </c>
      <c r="L95" t="inlineStr">
        <is>
          <t>25 Juli 2026</t>
        </is>
      </c>
      <c r="M95" t="inlineStr">
        <is>
          <t>Bangunan Sipil Jembatan, Jalan Layang, Fly Over, dan Underpass</t>
        </is>
      </c>
      <c r="N95" t="inlineStr">
        <is>
          <t>K</t>
        </is>
      </c>
      <c r="O95" t="inlineStr">
        <is>
          <t>20230721</t>
        </is>
      </c>
      <c r="P95" t="inlineStr">
        <is>
          <t>Papua Barat</t>
        </is>
      </c>
      <c r="Q95" t="inlineStr"/>
    </row>
    <row r="96">
      <c r="A96" t="inlineStr">
        <is>
          <t>JASUKA BANGUN PRATAMA</t>
        </is>
      </c>
      <c r="B96" t="inlineStr">
        <is>
          <t>Kota Bandung</t>
        </is>
      </c>
      <c r="C96" t="inlineStr">
        <is>
          <t>0222031010</t>
        </is>
      </c>
      <c r="D96" t="inlineStr">
        <is>
          <t>jasuka_pusat@yahoo.co.id</t>
        </is>
      </c>
      <c r="E96" t="inlineStr">
        <is>
          <t>https://lpjk.pu.go.id/search-badan-usaha-detail/MldkY21ybHBNRTlrOXJYQk1sWGU4QT09</t>
        </is>
      </c>
      <c r="F96" t="n">
        <v>1</v>
      </c>
      <c r="G96" t="inlineStr">
        <is>
          <t>BS005</t>
        </is>
      </c>
      <c r="H96" t="inlineStr">
        <is>
          <t>15 Desember 1983</t>
        </is>
      </c>
      <c r="I96" s="2" t="n">
        <v>46228</v>
      </c>
      <c r="J96" t="inlineStr">
        <is>
          <t>Pencabutan</t>
        </is>
      </c>
      <c r="K96" t="n">
        <v>30</v>
      </c>
      <c r="L96" t="inlineStr">
        <is>
          <t>25 Juli 2026</t>
        </is>
      </c>
      <c r="M96" t="inlineStr">
        <is>
          <t>Konstruksi Bangunan Sipil Pengolahan Air Bersih</t>
        </is>
      </c>
      <c r="N96" t="inlineStr">
        <is>
          <t>M</t>
        </is>
      </c>
      <c r="O96" t="inlineStr">
        <is>
          <t>20230725</t>
        </is>
      </c>
      <c r="P96" t="inlineStr">
        <is>
          <t>Jawa Barat</t>
        </is>
      </c>
      <c r="Q96" t="inlineStr"/>
    </row>
    <row r="97">
      <c r="A97" t="inlineStr">
        <is>
          <t>JAYA HASIL BORNEO</t>
        </is>
      </c>
      <c r="B97" t="inlineStr">
        <is>
          <t>Kab. Ketapang</t>
        </is>
      </c>
      <c r="C97" t="inlineStr">
        <is>
          <t>08125620890</t>
        </is>
      </c>
      <c r="D97" t="inlineStr">
        <is>
          <t>jayahasilborneo@gmail.com</t>
        </is>
      </c>
      <c r="E97" t="inlineStr">
        <is>
          <t>https://lpjk.pu.go.id/search-badan-usaha-detail/dEhRUUpCUDVvditlNTRtKzZoZXk3dz09</t>
        </is>
      </c>
      <c r="F97" t="n">
        <v>1</v>
      </c>
      <c r="G97" t="inlineStr">
        <is>
          <t>BG001</t>
        </is>
      </c>
      <c r="H97" t="inlineStr">
        <is>
          <t>28 Juni 2021</t>
        </is>
      </c>
      <c r="I97" s="2" t="n">
        <v>46228</v>
      </c>
      <c r="J97" t="inlineStr">
        <is>
          <t>Disetujui</t>
        </is>
      </c>
      <c r="K97" t="n">
        <v>30</v>
      </c>
      <c r="L97" t="inlineStr">
        <is>
          <t>25 Juli 2026</t>
        </is>
      </c>
      <c r="M97" t="inlineStr">
        <is>
          <t>Konstruksi Gedung Hunian</t>
        </is>
      </c>
      <c r="N97" t="inlineStr">
        <is>
          <t>K</t>
        </is>
      </c>
      <c r="O97" t="inlineStr">
        <is>
          <t>20230724</t>
        </is>
      </c>
      <c r="P97" t="inlineStr">
        <is>
          <t>Kalimantan Barat</t>
        </is>
      </c>
      <c r="Q97" t="inlineStr"/>
    </row>
    <row r="98">
      <c r="A98" t="inlineStr">
        <is>
          <t>JAYA KARYA MAKASSAR</t>
        </is>
      </c>
      <c r="B98" t="inlineStr">
        <is>
          <t>Kab. Maros</t>
        </is>
      </c>
      <c r="C98" t="inlineStr">
        <is>
          <t>04114720522</t>
        </is>
      </c>
      <c r="D98" t="inlineStr">
        <is>
          <t>jkaryamakassar@gmail.com</t>
        </is>
      </c>
      <c r="E98" t="inlineStr">
        <is>
          <t>https://lpjk.pu.go.id/search-badan-usaha-detail/K0ZHczl3aWVsbXRkWFBndDg0dGRXU1lyeTBhdjNpOEtKaG04OHZMZ3g5az0</t>
        </is>
      </c>
      <c r="F98" t="n">
        <v>3</v>
      </c>
      <c r="G98" t="inlineStr">
        <is>
          <t>BG003, BG005, BG006</t>
        </is>
      </c>
      <c r="H98" t="inlineStr">
        <is>
          <t>28 Mei 2025</t>
        </is>
      </c>
      <c r="I98" s="2" t="n">
        <v>46228</v>
      </c>
      <c r="J98" t="inlineStr">
        <is>
          <t>Disetujui</t>
        </is>
      </c>
      <c r="K98" t="n">
        <v>30</v>
      </c>
      <c r="L98" t="inlineStr">
        <is>
          <t>25 Juli 2026</t>
        </is>
      </c>
      <c r="M98" t="inlineStr">
        <is>
          <t>Konstruksi Gedung Industri, Konstruksi Gedung Kesehatan, Konstruksi Gedung Pendidikan</t>
        </is>
      </c>
      <c r="N98" t="inlineStr">
        <is>
          <t>K</t>
        </is>
      </c>
      <c r="O98" t="inlineStr">
        <is>
          <t>20230724</t>
        </is>
      </c>
      <c r="P98" t="inlineStr">
        <is>
          <t>Sulawesi Selatan</t>
        </is>
      </c>
      <c r="Q98" t="inlineStr"/>
    </row>
    <row r="99">
      <c r="A99" t="inlineStr">
        <is>
          <t>JAYA KENCANA</t>
        </is>
      </c>
      <c r="B99" t="inlineStr">
        <is>
          <t>Kab. Jember</t>
        </is>
      </c>
      <c r="C99" t="inlineStr">
        <is>
          <t>081217903677</t>
        </is>
      </c>
      <c r="D99" t="inlineStr">
        <is>
          <t>jk4develop@gmail.com</t>
        </is>
      </c>
      <c r="E99" t="inlineStr">
        <is>
          <t>https://lpjk.pu.go.id/search-badan-usaha-detail/OHk0Y3o2R1NVMjE2TFN6c3BMRUdVUT09</t>
        </is>
      </c>
      <c r="F99" t="n">
        <v>1</v>
      </c>
      <c r="G99" t="inlineStr">
        <is>
          <t>BG009</t>
        </is>
      </c>
      <c r="H99" t="inlineStr">
        <is>
          <t>27 November 2014</t>
        </is>
      </c>
      <c r="I99" s="2" t="n">
        <v>46228</v>
      </c>
      <c r="J99" t="inlineStr">
        <is>
          <t>Disetujui</t>
        </is>
      </c>
      <c r="K99" t="n">
        <v>30</v>
      </c>
      <c r="L99" t="inlineStr">
        <is>
          <t>25 Juli 2026</t>
        </is>
      </c>
      <c r="M99" t="inlineStr">
        <is>
          <t>Konstruksi Gedung Lainnya</t>
        </is>
      </c>
      <c r="N99" t="inlineStr">
        <is>
          <t>K</t>
        </is>
      </c>
      <c r="O99" t="inlineStr">
        <is>
          <t>20230724</t>
        </is>
      </c>
      <c r="P99" t="inlineStr">
        <is>
          <t>Jawa Timur</t>
        </is>
      </c>
      <c r="Q99" t="inlineStr"/>
    </row>
    <row r="100">
      <c r="A100" t="inlineStr">
        <is>
          <t>JAYA MAKMUR</t>
        </is>
      </c>
      <c r="B100" t="inlineStr">
        <is>
          <t>Kab. Badung</t>
        </is>
      </c>
      <c r="C100" t="inlineStr">
        <is>
          <t>081337289178</t>
        </is>
      </c>
      <c r="D100" t="inlineStr">
        <is>
          <t>cvjayamakmur04@gmail.com</t>
        </is>
      </c>
      <c r="E100" t="inlineStr">
        <is>
          <t>https://lpjk.pu.go.id/search-badan-usaha-detail/RlVUdzR2bC9rNHZyNXBxZ0dlYlVjQT09</t>
        </is>
      </c>
      <c r="F100" t="n">
        <v>1</v>
      </c>
      <c r="G100" t="inlineStr">
        <is>
          <t>BG009</t>
        </is>
      </c>
      <c r="H100" t="inlineStr">
        <is>
          <t>4 September 2018</t>
        </is>
      </c>
      <c r="I100" s="2" t="n">
        <v>46228</v>
      </c>
      <c r="J100" t="inlineStr">
        <is>
          <t>Disetujui</t>
        </is>
      </c>
      <c r="K100" t="n">
        <v>30</v>
      </c>
      <c r="L100" t="inlineStr">
        <is>
          <t>25 Juli 2026</t>
        </is>
      </c>
      <c r="M100" t="inlineStr">
        <is>
          <t>Konstruksi Gedung Lainnya</t>
        </is>
      </c>
      <c r="N100" t="inlineStr">
        <is>
          <t>K</t>
        </is>
      </c>
      <c r="O100" t="inlineStr">
        <is>
          <t>20230725</t>
        </is>
      </c>
      <c r="P100" t="inlineStr">
        <is>
          <t>Bali</t>
        </is>
      </c>
      <c r="Q100" t="inlineStr"/>
    </row>
    <row r="101">
      <c r="A101" t="inlineStr">
        <is>
          <t>JAYA TEKNIK LESTARI</t>
        </is>
      </c>
      <c r="B101" t="inlineStr">
        <is>
          <t>Kota Pontianak</t>
        </is>
      </c>
      <c r="C101" t="inlineStr">
        <is>
          <t>081350164307</t>
        </is>
      </c>
      <c r="D101" t="inlineStr">
        <is>
          <t>jtlpt@yahoo.co.id</t>
        </is>
      </c>
      <c r="E101" t="inlineStr">
        <is>
          <t>https://lpjk.pu.go.id/search-badan-usaha-detail/dzhWZ0ZYbUxHVTlDQjI2Nzd5VU1HUT09</t>
        </is>
      </c>
      <c r="F101" t="n">
        <v>1</v>
      </c>
      <c r="G101" t="inlineStr">
        <is>
          <t>BG006</t>
        </is>
      </c>
      <c r="H101" t="inlineStr">
        <is>
          <t>15 Juni 2005</t>
        </is>
      </c>
      <c r="I101" s="2" t="n">
        <v>46228</v>
      </c>
      <c r="J101" t="inlineStr">
        <is>
          <t>Disetujui</t>
        </is>
      </c>
      <c r="K101" t="n">
        <v>30</v>
      </c>
      <c r="L101" t="inlineStr">
        <is>
          <t>25 Juli 2026</t>
        </is>
      </c>
      <c r="M101" t="inlineStr">
        <is>
          <t>Konstruksi Gedung Pendidikan</t>
        </is>
      </c>
      <c r="N101" t="inlineStr">
        <is>
          <t>B</t>
        </is>
      </c>
      <c r="O101" t="inlineStr">
        <is>
          <t>20230712</t>
        </is>
      </c>
      <c r="P101" t="inlineStr">
        <is>
          <t>Kalimantan Barat</t>
        </is>
      </c>
      <c r="Q101" t="inlineStr"/>
    </row>
    <row r="102">
      <c r="A102" t="inlineStr">
        <is>
          <t>KALIMANTAN BERLIAN SEJAHTERA</t>
        </is>
      </c>
      <c r="B102" t="inlineStr">
        <is>
          <t>Kab. Kotawaringin Timur</t>
        </is>
      </c>
      <c r="C102" t="inlineStr">
        <is>
          <t>053123850</t>
        </is>
      </c>
      <c r="D102" t="inlineStr">
        <is>
          <t>hendrasampit18@gmail.com</t>
        </is>
      </c>
      <c r="E102" t="inlineStr">
        <is>
          <t>https://lpjk.pu.go.id/search-badan-usaha-detail/R0ZaaUp1N2pVN3g5ajg4SWFuOEQzUT09</t>
        </is>
      </c>
      <c r="F102" t="n">
        <v>4</v>
      </c>
      <c r="G102" t="inlineStr">
        <is>
          <t>BG001, BG003</t>
        </is>
      </c>
      <c r="H102" t="inlineStr">
        <is>
          <t>3 Oktober 2016</t>
        </is>
      </c>
      <c r="I102" s="2" t="n">
        <v>46228</v>
      </c>
      <c r="J102" t="inlineStr">
        <is>
          <t>Disetujui</t>
        </is>
      </c>
      <c r="K102" t="n">
        <v>30</v>
      </c>
      <c r="L102" t="inlineStr">
        <is>
          <t>25 Juli 2026</t>
        </is>
      </c>
      <c r="M102" t="inlineStr">
        <is>
          <t>Konstruksi Gedung Hunian, Konstruksi Gedung Industri</t>
        </is>
      </c>
      <c r="N102" t="inlineStr">
        <is>
          <t>K</t>
        </is>
      </c>
      <c r="O102" t="inlineStr">
        <is>
          <t>20230722</t>
        </is>
      </c>
      <c r="P102" t="inlineStr">
        <is>
          <t>Kalimantan Tengah</t>
        </is>
      </c>
      <c r="Q102" t="inlineStr"/>
    </row>
    <row r="103">
      <c r="A103" t="inlineStr">
        <is>
          <t>KARSA PRABALA</t>
        </is>
      </c>
      <c r="B103" t="inlineStr">
        <is>
          <t>Kota Adm. Jakarta Selatan</t>
        </is>
      </c>
      <c r="C103" t="inlineStr">
        <is>
          <t>0217397460</t>
        </is>
      </c>
      <c r="D103" t="inlineStr">
        <is>
          <t>info@karsaprabala.com</t>
        </is>
      </c>
      <c r="E103" t="inlineStr">
        <is>
          <t>https://lpjk.pu.go.id/search-badan-usaha-detail/MXpvSHlWOFVLcUpJSVpKVU55Smh0UT09</t>
        </is>
      </c>
      <c r="F103" t="n">
        <v>1</v>
      </c>
      <c r="G103" t="inlineStr">
        <is>
          <t>BG007</t>
        </is>
      </c>
      <c r="H103" t="inlineStr">
        <is>
          <t>11 Februari 2012</t>
        </is>
      </c>
      <c r="I103" s="2" t="n">
        <v>46228</v>
      </c>
      <c r="J103" t="inlineStr">
        <is>
          <t>Disetujui</t>
        </is>
      </c>
      <c r="K103" t="n">
        <v>30</v>
      </c>
      <c r="L103" t="inlineStr">
        <is>
          <t>25 Juli 2026</t>
        </is>
      </c>
      <c r="M103" t="inlineStr">
        <is>
          <t>Konstruksi Gedung Penginapan</t>
        </is>
      </c>
      <c r="N103" t="inlineStr">
        <is>
          <t>M</t>
        </is>
      </c>
      <c r="O103" t="inlineStr">
        <is>
          <t>20230713</t>
        </is>
      </c>
      <c r="P103" t="inlineStr">
        <is>
          <t>DKI Jakarta</t>
        </is>
      </c>
      <c r="Q103" t="inlineStr"/>
    </row>
    <row r="104">
      <c r="A104" t="inlineStr">
        <is>
          <t>KARYA ANAK SAKTI</t>
        </is>
      </c>
      <c r="B104" t="inlineStr">
        <is>
          <t>Kab. Kubu Raya</t>
        </is>
      </c>
      <c r="C104" t="inlineStr">
        <is>
          <t>081254467598</t>
        </is>
      </c>
      <c r="D104" t="inlineStr">
        <is>
          <t>karyaanaksakti@gmail.com</t>
        </is>
      </c>
      <c r="E104" t="inlineStr">
        <is>
          <t>https://lpjk.pu.go.id/search-badan-usaha-detail/M0VUVEozSmpuck44TmhRelU1Wm5FQT09</t>
        </is>
      </c>
      <c r="F104" t="n">
        <v>1</v>
      </c>
      <c r="G104" t="inlineStr">
        <is>
          <t>BS001</t>
        </is>
      </c>
      <c r="H104" t="inlineStr">
        <is>
          <t>5 Juli 2023</t>
        </is>
      </c>
      <c r="I104" s="2" t="n">
        <v>46228</v>
      </c>
      <c r="J104" t="inlineStr">
        <is>
          <t>Disetujui</t>
        </is>
      </c>
      <c r="K104" t="n">
        <v>30</v>
      </c>
      <c r="L104" t="inlineStr">
        <is>
          <t>25 Juli 2026</t>
        </is>
      </c>
      <c r="M104" t="inlineStr">
        <is>
          <t>Konstruksi Bangunan Sipil Jalan</t>
        </is>
      </c>
      <c r="N104" t="inlineStr">
        <is>
          <t>K</t>
        </is>
      </c>
      <c r="O104" t="inlineStr">
        <is>
          <t>20230725</t>
        </is>
      </c>
      <c r="P104" t="inlineStr">
        <is>
          <t>Kalimantan Barat</t>
        </is>
      </c>
      <c r="Q104" t="inlineStr"/>
    </row>
    <row r="105">
      <c r="A105" t="inlineStr">
        <is>
          <t>KARYA ANUGRAH KONSULTAN</t>
        </is>
      </c>
      <c r="B105" t="inlineStr">
        <is>
          <t>Kota Pekanbaru</t>
        </is>
      </c>
      <c r="C105" t="inlineStr">
        <is>
          <t>082173555516</t>
        </is>
      </c>
      <c r="D105" t="inlineStr">
        <is>
          <t>karya_anugrah70@yahoo.com</t>
        </is>
      </c>
      <c r="E105" t="inlineStr">
        <is>
          <t>https://lpjk.pu.go.id/search-badan-usaha-detail/cHhFUXc1SDl4NHlTQ1NaVGJ0SzRoZz09</t>
        </is>
      </c>
      <c r="F105" t="n">
        <v>4</v>
      </c>
      <c r="G105" t="inlineStr">
        <is>
          <t>AL001, AL002, AL003, AL004</t>
        </is>
      </c>
      <c r="H105" t="inlineStr">
        <is>
          <t>29 Desember 1999</t>
        </is>
      </c>
      <c r="I105" s="2" t="n">
        <v>46228</v>
      </c>
      <c r="J105" t="inlineStr">
        <is>
          <t>Disetujui</t>
        </is>
      </c>
      <c r="K105" t="n">
        <v>30</v>
      </c>
      <c r="L105" t="inlineStr">
        <is>
          <t>25 Juli 2026</t>
        </is>
      </c>
      <c r="M105" t="inlineStr">
        <is>
          <t>Jasa Pengembangan Lingkungan Bangunan dan Lanskap, Jasa Pengembangan Pemanfaatan Ruang, Jasa Pengembangan Perkotaan, Jasa Pengembangan Wilayah</t>
        </is>
      </c>
      <c r="N105" t="inlineStr">
        <is>
          <t>K</t>
        </is>
      </c>
      <c r="O105" t="inlineStr">
        <is>
          <t>20230709, 20230710, 20230712</t>
        </is>
      </c>
      <c r="P105" t="inlineStr">
        <is>
          <t>Riau</t>
        </is>
      </c>
      <c r="Q105" t="inlineStr"/>
    </row>
    <row r="106">
      <c r="A106" t="inlineStr">
        <is>
          <t>KARYA KEMUNING LESTARI</t>
        </is>
      </c>
      <c r="B106" t="inlineStr">
        <is>
          <t>Kab. Tangerang</t>
        </is>
      </c>
      <c r="C106" t="inlineStr">
        <is>
          <t>08205695219</t>
        </is>
      </c>
      <c r="D106" t="inlineStr">
        <is>
          <t>cvkaryakemuninglestari@gmail.com</t>
        </is>
      </c>
      <c r="E106" t="inlineStr">
        <is>
          <t>https://lpjk.pu.go.id/search-badan-usaha-detail/TFhiVkFzYWpQRGNIdC9FcXUvcndHQT09</t>
        </is>
      </c>
      <c r="F106" t="n">
        <v>2</v>
      </c>
      <c r="G106" t="inlineStr">
        <is>
          <t>BG006, BG009</t>
        </is>
      </c>
      <c r="H106" t="inlineStr">
        <is>
          <t>2 Februari 2022</t>
        </is>
      </c>
      <c r="I106" s="2" t="n">
        <v>46228</v>
      </c>
      <c r="J106" t="inlineStr">
        <is>
          <t>Disetujui</t>
        </is>
      </c>
      <c r="K106" t="n">
        <v>30</v>
      </c>
      <c r="L106" t="inlineStr">
        <is>
          <t>25 Juli 2026</t>
        </is>
      </c>
      <c r="M106" t="inlineStr">
        <is>
          <t>Konstruksi Gedung Lainnya, Konstruksi Gedung Pendidikan</t>
        </is>
      </c>
      <c r="N106" t="inlineStr">
        <is>
          <t>K</t>
        </is>
      </c>
      <c r="O106" t="inlineStr">
        <is>
          <t>20230722</t>
        </is>
      </c>
      <c r="P106" t="inlineStr">
        <is>
          <t>Banten</t>
        </is>
      </c>
      <c r="Q106" t="inlineStr"/>
    </row>
    <row r="107">
      <c r="A107" t="inlineStr">
        <is>
          <t>KARYA LAKSANA GLOBAL</t>
        </is>
      </c>
      <c r="B107" t="inlineStr">
        <is>
          <t>Kab. Mamuju Tengah</t>
        </is>
      </c>
      <c r="C107" t="inlineStr">
        <is>
          <t>085315552897</t>
        </is>
      </c>
      <c r="D107" t="inlineStr">
        <is>
          <t>karyalaksanaglobal@gmail.com</t>
        </is>
      </c>
      <c r="E107" t="inlineStr">
        <is>
          <t>https://lpjk.pu.go.id/search-badan-usaha-detail/WGdOZW9TV1ZFTzBqTk1jUFNtRWVXdz09</t>
        </is>
      </c>
      <c r="F107" t="n">
        <v>2</v>
      </c>
      <c r="G107" t="inlineStr">
        <is>
          <t>BG001, BG009</t>
        </is>
      </c>
      <c r="H107" t="inlineStr">
        <is>
          <t>12 Februari 2018</t>
        </is>
      </c>
      <c r="I107" s="2" t="n">
        <v>46228</v>
      </c>
      <c r="J107" t="inlineStr">
        <is>
          <t>Pencabutan</t>
        </is>
      </c>
      <c r="K107" t="n">
        <v>30</v>
      </c>
      <c r="L107" t="inlineStr">
        <is>
          <t>25 Juli 2026</t>
        </is>
      </c>
      <c r="M107" t="inlineStr">
        <is>
          <t>Konstruksi Gedung Hunian, Konstruksi Gedung Lainnya</t>
        </is>
      </c>
      <c r="N107" t="inlineStr">
        <is>
          <t>K</t>
        </is>
      </c>
      <c r="O107" t="inlineStr">
        <is>
          <t>20230725, 20230726</t>
        </is>
      </c>
      <c r="P107" t="inlineStr">
        <is>
          <t>Sulawesi Barat</t>
        </is>
      </c>
      <c r="Q107" t="inlineStr"/>
    </row>
    <row r="108">
      <c r="A108" t="inlineStr">
        <is>
          <t>KARYA MAJUJAYA PERKASA</t>
        </is>
      </c>
      <c r="B108" t="inlineStr">
        <is>
          <t>Kota Adm. Jakarta Utara</t>
        </is>
      </c>
      <c r="C108" t="inlineStr">
        <is>
          <t>081312866258</t>
        </is>
      </c>
      <c r="D108" t="inlineStr">
        <is>
          <t>karyamajujayaperkasa@gmail.com</t>
        </is>
      </c>
      <c r="E108" t="inlineStr">
        <is>
          <t>https://lpjk.pu.go.id/search-badan-usaha-detail/eWRFZnpKRWk4d0xwTmZSTWRaWkI2UT09</t>
        </is>
      </c>
      <c r="F108" t="n">
        <v>2</v>
      </c>
      <c r="G108" t="inlineStr">
        <is>
          <t>PL003, PL004</t>
        </is>
      </c>
      <c r="H108" t="inlineStr">
        <is>
          <t>16 Januari 2020</t>
        </is>
      </c>
      <c r="I108" s="2" t="n">
        <v>46228</v>
      </c>
      <c r="J108" t="inlineStr">
        <is>
          <t>Pembekuan</t>
        </is>
      </c>
      <c r="K108" t="n">
        <v>30</v>
      </c>
      <c r="L108" t="inlineStr">
        <is>
          <t>25 Juli 2026</t>
        </is>
      </c>
      <c r="M108" t="inlineStr">
        <is>
          <t>Pekerjaan Tanah, Penyiapan Lahan Konstruksi</t>
        </is>
      </c>
      <c r="N108" t="inlineStr">
        <is>
          <t>Spesialis</t>
        </is>
      </c>
      <c r="O108" t="inlineStr">
        <is>
          <t>20230724</t>
        </is>
      </c>
      <c r="P108" t="inlineStr">
        <is>
          <t>DKI Jakarta</t>
        </is>
      </c>
      <c r="Q108" t="inlineStr"/>
    </row>
    <row r="109">
      <c r="A109" t="inlineStr">
        <is>
          <t>KARYA MANDIRI</t>
        </is>
      </c>
      <c r="B109" t="inlineStr">
        <is>
          <t>Kota Pontianak</t>
        </is>
      </c>
      <c r="C109" t="inlineStr">
        <is>
          <t>081345511105</t>
        </is>
      </c>
      <c r="D109" t="inlineStr">
        <is>
          <t>karya_mandiri_cv@yahoo.co.id</t>
        </is>
      </c>
      <c r="E109" t="inlineStr">
        <is>
          <t>https://lpjk.pu.go.id/search-badan-usaha-detail/VFduU2hsYVVmSDYvT1BBODFpQW0wQT09</t>
        </is>
      </c>
      <c r="F109" t="n">
        <v>1</v>
      </c>
      <c r="G109" t="inlineStr">
        <is>
          <t>BS004</t>
        </is>
      </c>
      <c r="H109" t="inlineStr">
        <is>
          <t>23 Juli 1993</t>
        </is>
      </c>
      <c r="I109" s="2" t="n">
        <v>46228</v>
      </c>
      <c r="J109" t="inlineStr">
        <is>
          <t>Disetujui</t>
        </is>
      </c>
      <c r="K109" t="n">
        <v>30</v>
      </c>
      <c r="L109" t="inlineStr">
        <is>
          <t>25 Juli 2026</t>
        </is>
      </c>
      <c r="M109" t="inlineStr">
        <is>
          <t>Konstruksi Jaringan Irigasi dan Drainase</t>
        </is>
      </c>
      <c r="N109" t="inlineStr">
        <is>
          <t>K</t>
        </is>
      </c>
      <c r="O109" t="inlineStr">
        <is>
          <t>20230722</t>
        </is>
      </c>
      <c r="P109" t="inlineStr">
        <is>
          <t>Kalimantan Barat</t>
        </is>
      </c>
      <c r="Q109" t="inlineStr"/>
    </row>
    <row r="110">
      <c r="A110" t="inlineStr">
        <is>
          <t>KARYA MITRA INTERINDOTAMA</t>
        </is>
      </c>
      <c r="B110" t="inlineStr">
        <is>
          <t>Kab. Badung</t>
        </is>
      </c>
      <c r="C110" t="inlineStr">
        <is>
          <t>087888888115</t>
        </is>
      </c>
      <c r="D110" t="inlineStr">
        <is>
          <t>cvkaryamitrainterindotama@gmail.com</t>
        </is>
      </c>
      <c r="E110" t="inlineStr">
        <is>
          <t>https://lpjk.pu.go.id/search-badan-usaha-detail/NFZOR3FOejFMdVVKQWpBRnI3QVhMdz09</t>
        </is>
      </c>
      <c r="F110" t="n">
        <v>1</v>
      </c>
      <c r="G110" t="inlineStr">
        <is>
          <t>PB004</t>
        </is>
      </c>
      <c r="H110" t="inlineStr">
        <is>
          <t>22 Juni 2023</t>
        </is>
      </c>
      <c r="I110" s="2" t="n">
        <v>46228</v>
      </c>
      <c r="J110" t="inlineStr">
        <is>
          <t>Pembekuan</t>
        </is>
      </c>
      <c r="K110" t="n">
        <v>30</v>
      </c>
      <c r="L110" t="inlineStr">
        <is>
          <t>25 Juli 2026</t>
        </is>
      </c>
      <c r="M110" t="inlineStr">
        <is>
          <t>Dekorasi Interior</t>
        </is>
      </c>
      <c r="N110" t="inlineStr">
        <is>
          <t>Spesialis</t>
        </is>
      </c>
      <c r="O110" t="inlineStr">
        <is>
          <t>20230720</t>
        </is>
      </c>
      <c r="P110" t="inlineStr">
        <is>
          <t>Bali</t>
        </is>
      </c>
      <c r="Q110" t="inlineStr"/>
    </row>
    <row r="111">
      <c r="A111" t="inlineStr">
        <is>
          <t>KARYA MULYA CONSULTAN</t>
        </is>
      </c>
      <c r="B111" t="inlineStr">
        <is>
          <t>Kota Ambon</t>
        </is>
      </c>
      <c r="C111" t="inlineStr">
        <is>
          <t>082399520083</t>
        </is>
      </c>
      <c r="D111" t="inlineStr">
        <is>
          <t>karyamulyaconsultan@gmail.com</t>
        </is>
      </c>
      <c r="E111" t="inlineStr">
        <is>
          <t>https://lpjk.pu.go.id/search-badan-usaha-detail/aEhHaDlDZWFnRVgxbDdvaG1veHViUT09</t>
        </is>
      </c>
      <c r="F111" t="n">
        <v>1</v>
      </c>
      <c r="G111" t="inlineStr">
        <is>
          <t>RK001</t>
        </is>
      </c>
      <c r="H111" t="inlineStr">
        <is>
          <t>5 Januari 2018</t>
        </is>
      </c>
      <c r="I111" s="2" t="n">
        <v>46228</v>
      </c>
      <c r="J111" t="inlineStr">
        <is>
          <t>Disetujui</t>
        </is>
      </c>
      <c r="K111" t="n">
        <v>30</v>
      </c>
      <c r="L111" t="inlineStr">
        <is>
          <t>25 Juli 2026</t>
        </is>
      </c>
      <c r="M111" t="inlineStr">
        <is>
          <t>Jasa Rekayasa Konstruksi Bangunan Gedung Hunian dan Non Hunian</t>
        </is>
      </c>
      <c r="N111" t="inlineStr">
        <is>
          <t>K</t>
        </is>
      </c>
      <c r="O111" t="inlineStr">
        <is>
          <t>20230707</t>
        </is>
      </c>
      <c r="P111" t="inlineStr">
        <is>
          <t>Maluku</t>
        </is>
      </c>
      <c r="Q111" t="inlineStr"/>
    </row>
    <row r="112">
      <c r="A112" t="inlineStr">
        <is>
          <t>KARYA NUGRAHA ABADI SEJAHTERA</t>
        </is>
      </c>
      <c r="B112" t="inlineStr">
        <is>
          <t>Kab. Tuban</t>
        </is>
      </c>
      <c r="C112" t="inlineStr">
        <is>
          <t>082244333058</t>
        </is>
      </c>
      <c r="D112" t="inlineStr">
        <is>
          <t>pt.karyanugraha@yahoo.co.id</t>
        </is>
      </c>
      <c r="E112" t="inlineStr">
        <is>
          <t>https://lpjk.pu.go.id/search-badan-usaha-detail/SUxXVDd1Q0ZtNTdvYUlUdGNnT21YZz09</t>
        </is>
      </c>
      <c r="F112" t="n">
        <v>2</v>
      </c>
      <c r="G112" t="inlineStr">
        <is>
          <t>BG002, BG009</t>
        </is>
      </c>
      <c r="H112" t="inlineStr">
        <is>
          <t>14 November 2013</t>
        </is>
      </c>
      <c r="I112" s="2" t="n">
        <v>46228</v>
      </c>
      <c r="J112" t="inlineStr">
        <is>
          <t>Pencabutan</t>
        </is>
      </c>
      <c r="K112" t="n">
        <v>30</v>
      </c>
      <c r="L112" t="inlineStr">
        <is>
          <t>25 Juli 2026</t>
        </is>
      </c>
      <c r="M112" t="inlineStr">
        <is>
          <t>Konstruksi Gedung Lainnya, Konstruksi Gedung Perkantoran</t>
        </is>
      </c>
      <c r="N112" t="inlineStr">
        <is>
          <t>K</t>
        </is>
      </c>
      <c r="O112" t="inlineStr">
        <is>
          <t>20230721, 20230724</t>
        </is>
      </c>
      <c r="P112" t="inlineStr">
        <is>
          <t>Jawa Timur</t>
        </is>
      </c>
      <c r="Q112" t="inlineStr"/>
    </row>
    <row r="113">
      <c r="A113" t="inlineStr">
        <is>
          <t>KARYA SARIKA SEJAHTERA</t>
        </is>
      </c>
      <c r="B113" t="inlineStr">
        <is>
          <t>Kota Surabaya</t>
        </is>
      </c>
      <c r="C113" t="inlineStr">
        <is>
          <t>0313298490</t>
        </is>
      </c>
      <c r="D113" t="inlineStr">
        <is>
          <t>kss.surabaya@yahoo.co.id</t>
        </is>
      </c>
      <c r="E113" t="inlineStr">
        <is>
          <t>https://lpjk.pu.go.id/search-badan-usaha-detail/K2wrN1QzbFJjakdyOTc2SWdXaFlQdz09</t>
        </is>
      </c>
      <c r="F113" t="n">
        <v>3</v>
      </c>
      <c r="G113" t="inlineStr">
        <is>
          <t>BG006, BG007, BG009</t>
        </is>
      </c>
      <c r="H113" t="inlineStr">
        <is>
          <t>12 Juni 2007</t>
        </is>
      </c>
      <c r="I113" s="2" t="n">
        <v>46228</v>
      </c>
      <c r="J113" t="inlineStr">
        <is>
          <t>Pencabutan</t>
        </is>
      </c>
      <c r="K113" t="n">
        <v>30</v>
      </c>
      <c r="L113" t="inlineStr">
        <is>
          <t>25 Juli 2026</t>
        </is>
      </c>
      <c r="M113" t="inlineStr">
        <is>
          <t>Konstruksi Gedung Lainnya, Konstruksi Gedung Pendidikan, Konstruksi Gedung Penginapan</t>
        </is>
      </c>
      <c r="N113" t="inlineStr">
        <is>
          <t>K</t>
        </is>
      </c>
      <c r="O113" t="inlineStr">
        <is>
          <t>20230724</t>
        </is>
      </c>
      <c r="P113" t="inlineStr">
        <is>
          <t>Jawa Timur</t>
        </is>
      </c>
      <c r="Q113" t="inlineStr"/>
    </row>
    <row r="114">
      <c r="A114" t="inlineStr">
        <is>
          <t>KELAPA HIJAU</t>
        </is>
      </c>
      <c r="B114" t="inlineStr">
        <is>
          <t>Kab. Malinau</t>
        </is>
      </c>
      <c r="C114" t="inlineStr">
        <is>
          <t>082252628042</t>
        </is>
      </c>
      <c r="D114" t="inlineStr">
        <is>
          <t>nyiurmelambai1234@gmail.com</t>
        </is>
      </c>
      <c r="E114" t="inlineStr">
        <is>
          <t>https://lpjk.pu.go.id/search-badan-usaha-detail/RTdYd1Z6SmJ4NE5vVE0vZ29OczNydz09</t>
        </is>
      </c>
      <c r="F114" t="n">
        <v>4</v>
      </c>
      <c r="G114" t="inlineStr">
        <is>
          <t>BG002, BG006, BG009, BS001</t>
        </is>
      </c>
      <c r="H114" t="inlineStr">
        <is>
          <t>28 Januari 2020</t>
        </is>
      </c>
      <c r="I114" s="2" t="n">
        <v>46228</v>
      </c>
      <c r="J114" t="inlineStr">
        <is>
          <t>Disetujui</t>
        </is>
      </c>
      <c r="K114" t="n">
        <v>30</v>
      </c>
      <c r="L114" t="inlineStr">
        <is>
          <t>25 Juli 2026</t>
        </is>
      </c>
      <c r="M114" t="inlineStr">
        <is>
          <t>Konstruksi Bangunan Sipil Jalan, Konstruksi Gedung Lainnya, Konstruksi Gedung Pendidikan, Konstruksi Gedung Perkantoran</t>
        </is>
      </c>
      <c r="N114" t="inlineStr">
        <is>
          <t>K</t>
        </is>
      </c>
      <c r="O114" t="inlineStr">
        <is>
          <t>20230726</t>
        </is>
      </c>
      <c r="P114" t="inlineStr">
        <is>
          <t>Kalimantan Utara</t>
        </is>
      </c>
      <c r="Q114" t="inlineStr"/>
    </row>
    <row r="115">
      <c r="A115" t="inlineStr">
        <is>
          <t>KELAPA LIMA KONSULTAN</t>
        </is>
      </c>
      <c r="B115" t="inlineStr">
        <is>
          <t>Kab. Jember</t>
        </is>
      </c>
      <c r="C115" t="inlineStr">
        <is>
          <t>085331469393</t>
        </is>
      </c>
      <c r="D115" t="inlineStr">
        <is>
          <t>kelapalima.konsultan2021@gmail.com</t>
        </is>
      </c>
      <c r="E115" t="inlineStr">
        <is>
          <t>https://lpjk.pu.go.id/search-badan-usaha-detail/UVROY2RibnQyTHdrTm5LdEZZbU5aUT09</t>
        </is>
      </c>
      <c r="F115" t="n">
        <v>2</v>
      </c>
      <c r="G115" t="inlineStr">
        <is>
          <t>RK001, RK003</t>
        </is>
      </c>
      <c r="H115" t="inlineStr">
        <is>
          <t>18 Januari 2021</t>
        </is>
      </c>
      <c r="I115" s="2" t="n">
        <v>46228</v>
      </c>
      <c r="J115" t="inlineStr">
        <is>
          <t>Disetujui</t>
        </is>
      </c>
      <c r="K115" t="n">
        <v>30</v>
      </c>
      <c r="L115" t="inlineStr">
        <is>
          <t>25 Juli 2026</t>
        </is>
      </c>
      <c r="M115" t="inlineStr">
        <is>
          <t>Jasa Rekayasa Konstruksi Bangunan Gedung Hunian dan Non Hunian, Jasa Rekayasa Pekerjaan Teknik Sipil Transportasi</t>
        </is>
      </c>
      <c r="N115" t="inlineStr">
        <is>
          <t>K</t>
        </is>
      </c>
      <c r="O115" t="inlineStr">
        <is>
          <t>20230715</t>
        </is>
      </c>
      <c r="P115" t="inlineStr">
        <is>
          <t>Jawa Timur</t>
        </is>
      </c>
      <c r="Q115" t="inlineStr"/>
    </row>
    <row r="116">
      <c r="A116" t="inlineStr">
        <is>
          <t>KHANZA CEMERLANG</t>
        </is>
      </c>
      <c r="B116" t="inlineStr">
        <is>
          <t>Kab. Jeneponto</t>
        </is>
      </c>
      <c r="C116" t="inlineStr">
        <is>
          <t>081244784372</t>
        </is>
      </c>
      <c r="D116" t="inlineStr">
        <is>
          <t>cv.khanza.cemerlang@gmail.com</t>
        </is>
      </c>
      <c r="E116" t="inlineStr">
        <is>
          <t>https://lpjk.pu.go.id/search-badan-usaha-detail/N1FYSVRraGkrZVJHanhBV1BQcUM3Zz09</t>
        </is>
      </c>
      <c r="F116" t="n">
        <v>8</v>
      </c>
      <c r="G116" t="inlineStr">
        <is>
          <t>BG002, BG004, BG005, BG006</t>
        </is>
      </c>
      <c r="H116" t="inlineStr">
        <is>
          <t>5 Juni 2020</t>
        </is>
      </c>
      <c r="I116" s="2" t="n">
        <v>46228</v>
      </c>
      <c r="J116" t="inlineStr">
        <is>
          <t>Pencabutan</t>
        </is>
      </c>
      <c r="K116" t="n">
        <v>30</v>
      </c>
      <c r="L116" t="inlineStr">
        <is>
          <t>25 Juli 2026</t>
        </is>
      </c>
      <c r="M116" t="inlineStr">
        <is>
          <t>Konstruksi Gedung Kesehatan, Konstruksi Gedung Pendidikan, Konstruksi Gedung Perbelanjaan, Konstruksi Gedung Perkantoran</t>
        </is>
      </c>
      <c r="N116" t="inlineStr">
        <is>
          <t>K</t>
        </is>
      </c>
      <c r="O116" t="inlineStr">
        <is>
          <t>20230723, 20230724, 20230725</t>
        </is>
      </c>
      <c r="P116" t="inlineStr">
        <is>
          <t>Sulawesi Selatan</t>
        </is>
      </c>
      <c r="Q116" t="inlineStr"/>
    </row>
    <row r="117">
      <c r="A117" t="inlineStr">
        <is>
          <t>LARAS GENDHIS</t>
        </is>
      </c>
      <c r="B117" t="inlineStr">
        <is>
          <t>Kab. Ngawi</t>
        </is>
      </c>
      <c r="C117" t="inlineStr">
        <is>
          <t>085330599990</t>
        </is>
      </c>
      <c r="D117" t="inlineStr">
        <is>
          <t>framesections.cv@gmail.com</t>
        </is>
      </c>
      <c r="E117" t="inlineStr">
        <is>
          <t>https://lpjk.pu.go.id/search-badan-usaha-detail/UVFCcUJ5N2tocnBxeFpBVFBrYXRZQT09</t>
        </is>
      </c>
      <c r="F117" t="n">
        <v>1</v>
      </c>
      <c r="G117" t="inlineStr">
        <is>
          <t>BG009</t>
        </is>
      </c>
      <c r="H117" t="inlineStr">
        <is>
          <t>25 Februari 2023</t>
        </is>
      </c>
      <c r="I117" s="2" t="n">
        <v>46228</v>
      </c>
      <c r="J117" t="inlineStr">
        <is>
          <t>Disetujui</t>
        </is>
      </c>
      <c r="K117" t="n">
        <v>30</v>
      </c>
      <c r="L117" t="inlineStr">
        <is>
          <t>25 Juli 2026</t>
        </is>
      </c>
      <c r="M117" t="inlineStr">
        <is>
          <t>Konstruksi Gedung Lainnya</t>
        </is>
      </c>
      <c r="N117" t="inlineStr">
        <is>
          <t>K</t>
        </is>
      </c>
      <c r="O117" t="inlineStr">
        <is>
          <t>20230721</t>
        </is>
      </c>
      <c r="P117" t="inlineStr">
        <is>
          <t>Jawa Timur</t>
        </is>
      </c>
      <c r="Q117" t="inlineStr"/>
    </row>
    <row r="118">
      <c r="A118" t="inlineStr">
        <is>
          <t>LINTAS KAPUAS PERSADA</t>
        </is>
      </c>
      <c r="B118" t="inlineStr">
        <is>
          <t>Kab. Kapuas Hulu</t>
        </is>
      </c>
      <c r="C118" t="inlineStr">
        <is>
          <t>085245567116</t>
        </is>
      </c>
      <c r="D118" t="inlineStr">
        <is>
          <t>pt.lintaskapuaspersada123@gmail.com</t>
        </is>
      </c>
      <c r="E118" t="inlineStr">
        <is>
          <t>https://lpjk.pu.go.id/search-badan-usaha-detail/YWxqV2o4cy96K3BjN2xEWDJUaVpGZz09</t>
        </is>
      </c>
      <c r="F118" t="n">
        <v>1</v>
      </c>
      <c r="G118" t="inlineStr">
        <is>
          <t>BS001</t>
        </is>
      </c>
      <c r="H118" t="inlineStr">
        <is>
          <t>14 Maret 2003</t>
        </is>
      </c>
      <c r="I118" s="2" t="n">
        <v>46228</v>
      </c>
      <c r="J118" t="inlineStr">
        <is>
          <t>Pembekuan</t>
        </is>
      </c>
      <c r="K118" t="n">
        <v>30</v>
      </c>
      <c r="L118" t="inlineStr">
        <is>
          <t>25 Juli 2026</t>
        </is>
      </c>
      <c r="M118" t="inlineStr">
        <is>
          <t>Konstruksi Bangunan Sipil Jalan</t>
        </is>
      </c>
      <c r="N118" t="inlineStr">
        <is>
          <t>B</t>
        </is>
      </c>
      <c r="O118" t="inlineStr">
        <is>
          <t>20230725</t>
        </is>
      </c>
      <c r="P118" t="inlineStr">
        <is>
          <t>Kalimantan Barat</t>
        </is>
      </c>
      <c r="Q118" t="inlineStr"/>
    </row>
    <row r="119">
      <c r="A119" t="inlineStr">
        <is>
          <t>MABRUR KALIMUSYADA</t>
        </is>
      </c>
      <c r="B119" t="inlineStr">
        <is>
          <t>Kab. Garut</t>
        </is>
      </c>
      <c r="C119" t="inlineStr">
        <is>
          <t>085295914275</t>
        </is>
      </c>
      <c r="D119" t="inlineStr">
        <is>
          <t>perizinan.mabrur@gmail.com</t>
        </is>
      </c>
      <c r="E119" t="inlineStr">
        <is>
          <t>https://lpjk.pu.go.id/search-badan-usaha-detail/N0w2KzEvSHFCOXpzN0xPZXAyQ1hpQT09</t>
        </is>
      </c>
      <c r="F119" t="n">
        <v>1</v>
      </c>
      <c r="G119" t="inlineStr">
        <is>
          <t>BG006</t>
        </is>
      </c>
      <c r="H119" t="inlineStr">
        <is>
          <t>8 Juni 2023</t>
        </is>
      </c>
      <c r="I119" s="2" t="n">
        <v>46228</v>
      </c>
      <c r="J119" t="inlineStr">
        <is>
          <t>Disetujui</t>
        </is>
      </c>
      <c r="K119" t="n">
        <v>30</v>
      </c>
      <c r="L119" t="inlineStr">
        <is>
          <t>25 Juli 2026</t>
        </is>
      </c>
      <c r="M119" t="inlineStr">
        <is>
          <t>Konstruksi Gedung Pendidikan</t>
        </is>
      </c>
      <c r="N119" t="inlineStr">
        <is>
          <t>K</t>
        </is>
      </c>
      <c r="O119" t="inlineStr">
        <is>
          <t>20230721</t>
        </is>
      </c>
      <c r="P119" t="inlineStr">
        <is>
          <t>Jawa Barat</t>
        </is>
      </c>
      <c r="Q119" t="inlineStr"/>
    </row>
    <row r="120">
      <c r="A120" t="inlineStr">
        <is>
          <t>MAKMUR</t>
        </is>
      </c>
      <c r="B120" t="inlineStr">
        <is>
          <t>Kota Pariaman</t>
        </is>
      </c>
      <c r="C120" t="inlineStr">
        <is>
          <t>085274273295</t>
        </is>
      </c>
      <c r="D120" t="inlineStr">
        <is>
          <t>makmurpariaman@yahoo.com</t>
        </is>
      </c>
      <c r="E120" t="inlineStr">
        <is>
          <t>https://lpjk.pu.go.id/search-badan-usaha-detail/Qy9SdklreHJGQ01wSmd1dlVqZDVrZz09</t>
        </is>
      </c>
      <c r="F120" t="n">
        <v>1</v>
      </c>
      <c r="G120" t="inlineStr">
        <is>
          <t>BS001</t>
        </is>
      </c>
      <c r="H120" t="inlineStr">
        <is>
          <t>28 Agustus 1991</t>
        </is>
      </c>
      <c r="I120" s="2" t="n">
        <v>46228</v>
      </c>
      <c r="J120" t="inlineStr">
        <is>
          <t>Disetujui</t>
        </is>
      </c>
      <c r="K120" t="n">
        <v>30</v>
      </c>
      <c r="L120" t="inlineStr">
        <is>
          <t>25 Juli 2026</t>
        </is>
      </c>
      <c r="M120" t="inlineStr">
        <is>
          <t>Konstruksi Bangunan Sipil Jalan</t>
        </is>
      </c>
      <c r="N120" t="inlineStr">
        <is>
          <t>K</t>
        </is>
      </c>
      <c r="O120" t="inlineStr">
        <is>
          <t>20230712</t>
        </is>
      </c>
      <c r="P120" t="inlineStr">
        <is>
          <t>Sumatera Barat</t>
        </is>
      </c>
      <c r="Q120" t="inlineStr"/>
    </row>
    <row r="121">
      <c r="A121" t="inlineStr">
        <is>
          <t>MANDALA</t>
        </is>
      </c>
      <c r="B121" t="inlineStr">
        <is>
          <t>Kab. Pangandaran</t>
        </is>
      </c>
      <c r="C121" t="inlineStr">
        <is>
          <t>081323175206</t>
        </is>
      </c>
      <c r="D121" t="inlineStr">
        <is>
          <t>cv.mandalapnd@gmail.com</t>
        </is>
      </c>
      <c r="E121" t="inlineStr">
        <is>
          <t>https://lpjk.pu.go.id/search-badan-usaha-detail/U0ZNUnhzSGtadDZJQUZJREU3ajlmZz09</t>
        </is>
      </c>
      <c r="F121" t="n">
        <v>2</v>
      </c>
      <c r="G121" t="inlineStr">
        <is>
          <t>BG006</t>
        </is>
      </c>
      <c r="H121" t="inlineStr">
        <is>
          <t>27 Januari 2016</t>
        </is>
      </c>
      <c r="I121" s="2" t="n">
        <v>46228</v>
      </c>
      <c r="J121" t="inlineStr">
        <is>
          <t>Pencabutan</t>
        </is>
      </c>
      <c r="K121" t="n">
        <v>30</v>
      </c>
      <c r="L121" t="inlineStr">
        <is>
          <t>25 Juli 2026</t>
        </is>
      </c>
      <c r="M121" t="inlineStr">
        <is>
          <t>Konstruksi Gedung Pendidikan</t>
        </is>
      </c>
      <c r="N121" t="inlineStr">
        <is>
          <t>K</t>
        </is>
      </c>
      <c r="O121" t="inlineStr">
        <is>
          <t>20230720</t>
        </is>
      </c>
      <c r="P121" t="inlineStr">
        <is>
          <t>Jawa Barat</t>
        </is>
      </c>
      <c r="Q121" t="inlineStr"/>
    </row>
    <row r="122">
      <c r="A122" t="inlineStr">
        <is>
          <t>MEKAR JAYA ANUGRAH</t>
        </is>
      </c>
      <c r="B122" t="inlineStr">
        <is>
          <t>Kota Pekanbaru</t>
        </is>
      </c>
      <c r="C122" t="inlineStr">
        <is>
          <t>082284383254</t>
        </is>
      </c>
      <c r="D122" t="inlineStr">
        <is>
          <t>jayacvmekar5@gmail.com</t>
        </is>
      </c>
      <c r="E122" t="inlineStr">
        <is>
          <t>https://lpjk.pu.go.id/search-badan-usaha-detail/djVMSWRVY2NFSWpOYkZtQSttaWZVUT09</t>
        </is>
      </c>
      <c r="F122" t="n">
        <v>2</v>
      </c>
      <c r="G122" t="inlineStr">
        <is>
          <t>BS001</t>
        </is>
      </c>
      <c r="H122" t="inlineStr">
        <is>
          <t>4 Juli 2023</t>
        </is>
      </c>
      <c r="I122" s="2" t="n">
        <v>46228</v>
      </c>
      <c r="J122" t="inlineStr">
        <is>
          <t>Disetujui</t>
        </is>
      </c>
      <c r="K122" t="n">
        <v>30</v>
      </c>
      <c r="L122" t="inlineStr">
        <is>
          <t>25 Juli 2026</t>
        </is>
      </c>
      <c r="M122" t="inlineStr">
        <is>
          <t>Konstruksi Bangunan Sipil Jalan</t>
        </is>
      </c>
      <c r="N122" t="inlineStr">
        <is>
          <t>K</t>
        </is>
      </c>
      <c r="O122" t="inlineStr">
        <is>
          <t>20230721</t>
        </is>
      </c>
      <c r="P122" t="inlineStr">
        <is>
          <t>Riau</t>
        </is>
      </c>
      <c r="Q122" t="inlineStr"/>
    </row>
    <row r="123">
      <c r="A123" t="inlineStr">
        <is>
          <t>MITRA BERKAT KAPAKAT</t>
        </is>
      </c>
      <c r="B123" t="inlineStr">
        <is>
          <t>Kota Palangkaraya</t>
        </is>
      </c>
      <c r="C123" t="inlineStr">
        <is>
          <t>085249099699</t>
        </is>
      </c>
      <c r="D123" t="inlineStr">
        <is>
          <t>pt.mitraberkatkapakat@gmail.com</t>
        </is>
      </c>
      <c r="E123" t="inlineStr">
        <is>
          <t>https://lpjk.pu.go.id/search-badan-usaha-detail/VUxGZkhGbUg4ZDI5bEpYcnZLT2U4UT09</t>
        </is>
      </c>
      <c r="F123" t="n">
        <v>1</v>
      </c>
      <c r="G123" t="inlineStr">
        <is>
          <t>BG002</t>
        </is>
      </c>
      <c r="H123" t="inlineStr">
        <is>
          <t>14 Maret 2012</t>
        </is>
      </c>
      <c r="I123" s="2" t="n">
        <v>46228</v>
      </c>
      <c r="J123" t="inlineStr">
        <is>
          <t>Pencabutan</t>
        </is>
      </c>
      <c r="K123" t="n">
        <v>30</v>
      </c>
      <c r="L123" t="inlineStr">
        <is>
          <t>25 Juli 2026</t>
        </is>
      </c>
      <c r="M123" t="inlineStr">
        <is>
          <t>Konstruksi Gedung Perkantoran</t>
        </is>
      </c>
      <c r="N123" t="inlineStr">
        <is>
          <t>M</t>
        </is>
      </c>
      <c r="O123" t="inlineStr">
        <is>
          <t>20230706</t>
        </is>
      </c>
      <c r="P123" t="inlineStr">
        <is>
          <t>Kalimantan Tengah</t>
        </is>
      </c>
      <c r="Q123" t="inlineStr"/>
    </row>
    <row r="124">
      <c r="A124" t="inlineStr">
        <is>
          <t>MITRA BERSAUDARA MANDIRI</t>
        </is>
      </c>
      <c r="B124" t="inlineStr">
        <is>
          <t>Kab. Padang Lawas Utara</t>
        </is>
      </c>
      <c r="C124" t="inlineStr">
        <is>
          <t>082278270029</t>
        </is>
      </c>
      <c r="D124" t="inlineStr">
        <is>
          <t>cvmitrasaudaram@gmail.com</t>
        </is>
      </c>
      <c r="E124" t="inlineStr">
        <is>
          <t>https://lpjk.pu.go.id/search-badan-usaha-detail/eGp6OVFyNFFuSFZRNVYwajliekN5Zz09</t>
        </is>
      </c>
      <c r="F124" t="n">
        <v>1</v>
      </c>
      <c r="G124" t="inlineStr">
        <is>
          <t>BG009</t>
        </is>
      </c>
      <c r="H124" t="inlineStr">
        <is>
          <t>14 Juli 2023</t>
        </is>
      </c>
      <c r="I124" s="2" t="n">
        <v>46228</v>
      </c>
      <c r="J124" t="inlineStr">
        <is>
          <t>Pencabutan</t>
        </is>
      </c>
      <c r="K124" t="n">
        <v>30</v>
      </c>
      <c r="L124" t="inlineStr">
        <is>
          <t>25 Juli 2026</t>
        </is>
      </c>
      <c r="M124" t="inlineStr">
        <is>
          <t>Konstruksi Gedung Lainnya</t>
        </is>
      </c>
      <c r="N124" t="inlineStr">
        <is>
          <t>K</t>
        </is>
      </c>
      <c r="O124" t="inlineStr">
        <is>
          <t>20230725</t>
        </is>
      </c>
      <c r="P124" t="inlineStr">
        <is>
          <t>Sumatera Utara</t>
        </is>
      </c>
      <c r="Q124" t="inlineStr"/>
    </row>
    <row r="125">
      <c r="A125" t="inlineStr">
        <is>
          <t>MUARA DESIGN</t>
        </is>
      </c>
      <c r="B125" t="inlineStr">
        <is>
          <t>Kab. Jayawijaya</t>
        </is>
      </c>
      <c r="C125" t="inlineStr">
        <is>
          <t>082238273737</t>
        </is>
      </c>
      <c r="D125" t="inlineStr">
        <is>
          <t>muaradesign.md@gmail.com</t>
        </is>
      </c>
      <c r="E125" t="inlineStr">
        <is>
          <t>https://lpjk.pu.go.id/search-badan-usaha-detail/Z0xiT3pJbytRVXQxUjlicHRSWDNFQT09</t>
        </is>
      </c>
      <c r="F125" t="n">
        <v>1</v>
      </c>
      <c r="G125" t="inlineStr">
        <is>
          <t>RK001</t>
        </is>
      </c>
      <c r="H125" t="inlineStr">
        <is>
          <t>7 Agustus 2019</t>
        </is>
      </c>
      <c r="I125" s="2" t="n">
        <v>46228</v>
      </c>
      <c r="J125" t="inlineStr">
        <is>
          <t>Disetujui</t>
        </is>
      </c>
      <c r="K125" t="n">
        <v>30</v>
      </c>
      <c r="L125" t="inlineStr">
        <is>
          <t>25 Juli 2026</t>
        </is>
      </c>
      <c r="M125" t="inlineStr">
        <is>
          <t>Jasa Rekayasa Konstruksi Bangunan Gedung Hunian dan Non Hunian</t>
        </is>
      </c>
      <c r="N125" t="inlineStr">
        <is>
          <t>K</t>
        </is>
      </c>
      <c r="O125" t="inlineStr">
        <is>
          <t>20230705</t>
        </is>
      </c>
      <c r="P125" t="inlineStr">
        <is>
          <t>Papua</t>
        </is>
      </c>
      <c r="Q125" t="inlineStr"/>
    </row>
    <row r="126">
      <c r="A126" t="inlineStr">
        <is>
          <t>MUSTIKA AHMAD</t>
        </is>
      </c>
      <c r="B126" t="inlineStr">
        <is>
          <t>Kab. Demak</t>
        </is>
      </c>
      <c r="C126" t="inlineStr">
        <is>
          <t>08156653257</t>
        </is>
      </c>
      <c r="D126" t="inlineStr">
        <is>
          <t>Junnademak@Gmail.Com</t>
        </is>
      </c>
      <c r="E126" t="inlineStr">
        <is>
          <t>https://lpjk.pu.go.id/search-badan-usaha-detail/NkZsTXR0aEVSak9wbENNVFRmeTBkZz09</t>
        </is>
      </c>
      <c r="F126" t="n">
        <v>2</v>
      </c>
      <c r="G126" t="inlineStr">
        <is>
          <t>BG005, BG009</t>
        </is>
      </c>
      <c r="H126" t="inlineStr">
        <is>
          <t>18 November 2016</t>
        </is>
      </c>
      <c r="I126" s="2" t="n">
        <v>46228</v>
      </c>
      <c r="J126" t="inlineStr">
        <is>
          <t>Disetujui</t>
        </is>
      </c>
      <c r="K126" t="n">
        <v>30</v>
      </c>
      <c r="L126" t="inlineStr">
        <is>
          <t>25 Juli 2026</t>
        </is>
      </c>
      <c r="M126" t="inlineStr">
        <is>
          <t>Konstruksi Gedung Kesehatan, Konstruksi Gedung Lainnya</t>
        </is>
      </c>
      <c r="N126" t="inlineStr">
        <is>
          <t>K</t>
        </is>
      </c>
      <c r="O126" t="inlineStr">
        <is>
          <t>20230724</t>
        </is>
      </c>
      <c r="P126" t="inlineStr">
        <is>
          <t>Jawa Tengah</t>
        </is>
      </c>
      <c r="Q126" t="inlineStr"/>
    </row>
    <row r="127">
      <c r="A127" t="inlineStr">
        <is>
          <t>MUSTIKA PERSADA</t>
        </is>
      </c>
      <c r="B127" t="inlineStr">
        <is>
          <t>Kab. Wonosobo</t>
        </is>
      </c>
      <c r="C127" t="inlineStr">
        <is>
          <t>081229527004</t>
        </is>
      </c>
      <c r="D127" t="inlineStr">
        <is>
          <t>mpersada.cv@gmail.com</t>
        </is>
      </c>
      <c r="E127" t="inlineStr">
        <is>
          <t>https://lpjk.pu.go.id/search-badan-usaha-detail/Y2ZpVWYrNXhTNDVjSEJiazhSdERxQT09</t>
        </is>
      </c>
      <c r="F127" t="n">
        <v>3</v>
      </c>
      <c r="G127" t="inlineStr">
        <is>
          <t>BG006, BG009, BS001</t>
        </is>
      </c>
      <c r="H127" t="inlineStr">
        <is>
          <t>13 November 2014</t>
        </is>
      </c>
      <c r="I127" s="2" t="n">
        <v>46228</v>
      </c>
      <c r="J127" t="inlineStr">
        <is>
          <t>Disetujui</t>
        </is>
      </c>
      <c r="K127" t="n">
        <v>30</v>
      </c>
      <c r="L127" t="inlineStr">
        <is>
          <t>25 Juli 2026</t>
        </is>
      </c>
      <c r="M127" t="inlineStr">
        <is>
          <t>Konstruksi Bangunan Sipil Jalan, Konstruksi Gedung Lainnya, Konstruksi Gedung Pendidikan</t>
        </is>
      </c>
      <c r="N127" t="inlineStr">
        <is>
          <t>K</t>
        </is>
      </c>
      <c r="O127" t="inlineStr">
        <is>
          <t>20230724</t>
        </is>
      </c>
      <c r="P127" t="inlineStr">
        <is>
          <t>Jawa Tengah</t>
        </is>
      </c>
      <c r="Q127" t="inlineStr"/>
    </row>
    <row r="128">
      <c r="A128" t="inlineStr">
        <is>
          <t>MUTIARA SULTENG CONTRACTOR</t>
        </is>
      </c>
      <c r="B128" t="inlineStr">
        <is>
          <t>Kab. Sigi</t>
        </is>
      </c>
      <c r="C128" t="inlineStr">
        <is>
          <t>081253686485</t>
        </is>
      </c>
      <c r="D128" t="inlineStr">
        <is>
          <t>hasrianamia@gmail.com</t>
        </is>
      </c>
      <c r="E128" t="inlineStr">
        <is>
          <t>https://lpjk.pu.go.id/search-badan-usaha-detail/aXRreGhoUWI5V3U1YlMrUTlEa1dEQT09</t>
        </is>
      </c>
      <c r="F128" t="n">
        <v>1</v>
      </c>
      <c r="G128" t="inlineStr">
        <is>
          <t>BS004</t>
        </is>
      </c>
      <c r="H128" t="inlineStr">
        <is>
          <t>13 Februari 2017</t>
        </is>
      </c>
      <c r="I128" s="2" t="n">
        <v>46228</v>
      </c>
      <c r="J128" t="inlineStr">
        <is>
          <t>Disetujui</t>
        </is>
      </c>
      <c r="K128" t="n">
        <v>30</v>
      </c>
      <c r="L128" t="inlineStr">
        <is>
          <t>25 Juli 2026</t>
        </is>
      </c>
      <c r="M128" t="inlineStr">
        <is>
          <t>Konstruksi Jaringan Irigasi dan Drainase</t>
        </is>
      </c>
      <c r="N128" t="inlineStr">
        <is>
          <t>K</t>
        </is>
      </c>
      <c r="O128" t="inlineStr">
        <is>
          <t>20230725</t>
        </is>
      </c>
      <c r="P128" t="inlineStr">
        <is>
          <t>Sulawesi Tengah</t>
        </is>
      </c>
      <c r="Q128" t="inlineStr"/>
    </row>
    <row r="129">
      <c r="A129" t="inlineStr">
        <is>
          <t>NAGA RAYA GROUP</t>
        </is>
      </c>
      <c r="B129" t="inlineStr">
        <is>
          <t>Kab. Banyumas</t>
        </is>
      </c>
      <c r="C129" t="inlineStr">
        <is>
          <t>081391885269</t>
        </is>
      </c>
      <c r="D129" t="inlineStr">
        <is>
          <t>nagarayaya12@gmail.com</t>
        </is>
      </c>
      <c r="E129" t="inlineStr">
        <is>
          <t>https://lpjk.pu.go.id/search-badan-usaha-detail/VGlVYWhmOHRWTFM3WDFERTQ1QVJyQT09</t>
        </is>
      </c>
      <c r="F129" t="n">
        <v>1</v>
      </c>
      <c r="G129" t="inlineStr">
        <is>
          <t>BS001</t>
        </is>
      </c>
      <c r="H129" t="inlineStr">
        <is>
          <t>29 Desember 2018</t>
        </is>
      </c>
      <c r="I129" s="2" t="n">
        <v>46228</v>
      </c>
      <c r="J129" t="inlineStr">
        <is>
          <t>Pencabutan</t>
        </is>
      </c>
      <c r="K129" t="n">
        <v>30</v>
      </c>
      <c r="L129" t="inlineStr">
        <is>
          <t>25 Juli 2026</t>
        </is>
      </c>
      <c r="M129" t="inlineStr">
        <is>
          <t>Konstruksi Bangunan Sipil Jalan</t>
        </is>
      </c>
      <c r="N129" t="inlineStr">
        <is>
          <t>K</t>
        </is>
      </c>
      <c r="O129" t="inlineStr">
        <is>
          <t>20230725</t>
        </is>
      </c>
      <c r="P129" t="inlineStr">
        <is>
          <t>Jawa Tengah</t>
        </is>
      </c>
      <c r="Q129" t="inlineStr"/>
    </row>
    <row r="130">
      <c r="A130" t="inlineStr">
        <is>
          <t>NASIONAL PUTRA</t>
        </is>
      </c>
      <c r="B130" t="inlineStr">
        <is>
          <t>Kab. Merangin</t>
        </is>
      </c>
      <c r="C130" t="inlineStr">
        <is>
          <t>081381581971</t>
        </is>
      </c>
      <c r="D130" t="inlineStr">
        <is>
          <t>cv.nasionalputra@gmail.com</t>
        </is>
      </c>
      <c r="E130" t="inlineStr">
        <is>
          <t>https://lpjk.pu.go.id/search-badan-usaha-detail/dUM3TjREWm5WRnhwR3dkaUtzY2swdz09</t>
        </is>
      </c>
      <c r="F130" t="n">
        <v>2</v>
      </c>
      <c r="G130" t="inlineStr">
        <is>
          <t>BG002, BS001</t>
        </is>
      </c>
      <c r="H130" t="inlineStr">
        <is>
          <t>20 Juni 2000</t>
        </is>
      </c>
      <c r="I130" s="2" t="n">
        <v>46228</v>
      </c>
      <c r="J130" t="inlineStr">
        <is>
          <t>Pencabutan</t>
        </is>
      </c>
      <c r="K130" t="n">
        <v>30</v>
      </c>
      <c r="L130" t="inlineStr">
        <is>
          <t>25 Juli 2026</t>
        </is>
      </c>
      <c r="M130" t="inlineStr">
        <is>
          <t>Konstruksi Bangunan Sipil Jalan, Konstruksi Gedung Perkantoran</t>
        </is>
      </c>
      <c r="N130" t="inlineStr">
        <is>
          <t>K</t>
        </is>
      </c>
      <c r="O130" t="inlineStr">
        <is>
          <t>20230719</t>
        </is>
      </c>
      <c r="P130" t="inlineStr">
        <is>
          <t>Jambi</t>
        </is>
      </c>
      <c r="Q130" t="inlineStr"/>
    </row>
    <row r="131">
      <c r="A131" t="inlineStr">
        <is>
          <t>NOVAN KARYA KONTRUKSI</t>
        </is>
      </c>
      <c r="B131" t="inlineStr">
        <is>
          <t>Kab. Banyuasin</t>
        </is>
      </c>
      <c r="C131" t="inlineStr">
        <is>
          <t>085268343838</t>
        </is>
      </c>
      <c r="D131" t="inlineStr">
        <is>
          <t>novankaryamandiri77@gmail.com</t>
        </is>
      </c>
      <c r="E131" t="inlineStr">
        <is>
          <t>https://lpjk.pu.go.id/search-badan-usaha-detail/VTlrNXRTRGVJalkyaHRtcGxLVG9qdz09</t>
        </is>
      </c>
      <c r="F131" t="n">
        <v>4</v>
      </c>
      <c r="G131" t="inlineStr">
        <is>
          <t>BG002, BG005, BG006, BG008</t>
        </is>
      </c>
      <c r="H131" t="inlineStr">
        <is>
          <t>27 Januari 2022</t>
        </is>
      </c>
      <c r="I131" s="2" t="n">
        <v>46228</v>
      </c>
      <c r="J131" t="inlineStr">
        <is>
          <t>Pencabutan</t>
        </is>
      </c>
      <c r="K131" t="n">
        <v>30</v>
      </c>
      <c r="L131" t="inlineStr">
        <is>
          <t>25 Juli 2026</t>
        </is>
      </c>
      <c r="M131" t="inlineStr">
        <is>
          <t>Konstruksi Gedung Kesehatan, Konstruksi Gedung Pendidikan, Konstruksi Gedung Perkantoran, Konstruksi Gedung Tempat Hiburan dan Olahraga</t>
        </is>
      </c>
      <c r="N131" t="inlineStr">
        <is>
          <t>K</t>
        </is>
      </c>
      <c r="O131" t="inlineStr">
        <is>
          <t>20230721, 20230722</t>
        </is>
      </c>
      <c r="P131" t="inlineStr">
        <is>
          <t>Sumatera Selatan</t>
        </is>
      </c>
      <c r="Q131" t="inlineStr"/>
    </row>
    <row r="132">
      <c r="A132" t="inlineStr">
        <is>
          <t>NUR ALAM SEMESTA</t>
        </is>
      </c>
      <c r="B132" t="inlineStr">
        <is>
          <t>Kab. Tapin</t>
        </is>
      </c>
      <c r="C132" t="inlineStr">
        <is>
          <t>081258512082</t>
        </is>
      </c>
      <c r="D132" t="inlineStr">
        <is>
          <t>cv.nuralamsemesta@gmail.com</t>
        </is>
      </c>
      <c r="E132" t="inlineStr">
        <is>
          <t>https://lpjk.pu.go.id/search-badan-usaha-detail/U0RpR3NidDNFS3cyeUxjNmlUWjBXQT09</t>
        </is>
      </c>
      <c r="F132" t="n">
        <v>4</v>
      </c>
      <c r="G132" t="inlineStr">
        <is>
          <t>BG005, BG009, BS001, BS004</t>
        </is>
      </c>
      <c r="H132" t="inlineStr">
        <is>
          <t>22 Juni 2023</t>
        </is>
      </c>
      <c r="I132" s="2" t="n">
        <v>46228</v>
      </c>
      <c r="J132" t="inlineStr">
        <is>
          <t>Disetujui</t>
        </is>
      </c>
      <c r="K132" t="n">
        <v>30</v>
      </c>
      <c r="L132" t="inlineStr">
        <is>
          <t>25 Juli 2026</t>
        </is>
      </c>
      <c r="M132" t="inlineStr">
        <is>
          <t>Konstruksi Bangunan Sipil Jalan, Konstruksi Gedung Kesehatan, Konstruksi Gedung Lainnya, Konstruksi Jaringan Irigasi dan Drainase</t>
        </is>
      </c>
      <c r="N132" t="inlineStr">
        <is>
          <t>K</t>
        </is>
      </c>
      <c r="O132" t="inlineStr">
        <is>
          <t>20230723</t>
        </is>
      </c>
      <c r="P132" t="inlineStr">
        <is>
          <t>Kalimantan Selatan</t>
        </is>
      </c>
      <c r="Q132" t="inlineStr"/>
    </row>
    <row r="133">
      <c r="A133" t="inlineStr">
        <is>
          <t>PANDAWA BANGKIT SEJAHTERA</t>
        </is>
      </c>
      <c r="B133" t="inlineStr">
        <is>
          <t>Kota Palembang</t>
        </is>
      </c>
      <c r="C133" t="inlineStr">
        <is>
          <t>08117196561</t>
        </is>
      </c>
      <c r="D133" t="inlineStr">
        <is>
          <t>ptpandawabangkitsejahtera12@gmail.com</t>
        </is>
      </c>
      <c r="E133" t="inlineStr">
        <is>
          <t>https://lpjk.pu.go.id/search-badan-usaha-detail/K1g2ZStDZVJKKzkzSmUzb2lBSWpIZz09</t>
        </is>
      </c>
      <c r="F133" t="n">
        <v>4</v>
      </c>
      <c r="G133" t="inlineStr">
        <is>
          <t>BG002, BG009</t>
        </is>
      </c>
      <c r="H133" t="inlineStr">
        <is>
          <t>1 April 2023</t>
        </is>
      </c>
      <c r="I133" s="2" t="n">
        <v>46228</v>
      </c>
      <c r="J133" t="inlineStr">
        <is>
          <t>Disetujui</t>
        </is>
      </c>
      <c r="K133" t="n">
        <v>30</v>
      </c>
      <c r="L133" t="inlineStr">
        <is>
          <t>25 Juli 2026</t>
        </is>
      </c>
      <c r="M133" t="inlineStr">
        <is>
          <t>Konstruksi Gedung Lainnya, Konstruksi Gedung Perkantoran</t>
        </is>
      </c>
      <c r="N133" t="inlineStr">
        <is>
          <t>K</t>
        </is>
      </c>
      <c r="O133" t="inlineStr">
        <is>
          <t>20230725</t>
        </is>
      </c>
      <c r="P133" t="inlineStr">
        <is>
          <t>Sumatera Selatan</t>
        </is>
      </c>
      <c r="Q133" t="inlineStr"/>
    </row>
    <row r="134">
      <c r="A134" t="inlineStr">
        <is>
          <t>PARAMA GLOBAL MANDIRI</t>
        </is>
      </c>
      <c r="B134" t="inlineStr">
        <is>
          <t>Kab. Bandung Barat</t>
        </is>
      </c>
      <c r="C134" t="inlineStr">
        <is>
          <t>082118118440</t>
        </is>
      </c>
      <c r="D134" t="inlineStr">
        <is>
          <t>paramagm@gmail.com</t>
        </is>
      </c>
      <c r="E134" t="inlineStr">
        <is>
          <t>https://lpjk.pu.go.id/search-badan-usaha-detail/MEZhSU41aTJadDdMYkJaM3lTVkprZz09</t>
        </is>
      </c>
      <c r="F134" t="n">
        <v>1</v>
      </c>
      <c r="G134" t="inlineStr">
        <is>
          <t>BG001</t>
        </is>
      </c>
      <c r="H134" t="inlineStr">
        <is>
          <t>6 Juli 2023</t>
        </is>
      </c>
      <c r="I134" s="2" t="n">
        <v>46228</v>
      </c>
      <c r="J134" t="inlineStr">
        <is>
          <t>Pencabutan</t>
        </is>
      </c>
      <c r="K134" t="n">
        <v>30</v>
      </c>
      <c r="L134" t="inlineStr">
        <is>
          <t>25 Juli 2026</t>
        </is>
      </c>
      <c r="M134" t="inlineStr">
        <is>
          <t>Konstruksi Gedung Hunian</t>
        </is>
      </c>
      <c r="N134" t="inlineStr">
        <is>
          <t>K</t>
        </is>
      </c>
      <c r="O134" t="inlineStr">
        <is>
          <t>20230711</t>
        </is>
      </c>
      <c r="P134" t="inlineStr">
        <is>
          <t>Jawa Barat</t>
        </is>
      </c>
      <c r="Q134" t="inlineStr"/>
    </row>
    <row r="135">
      <c r="A135" t="inlineStr">
        <is>
          <t>PARAMA YASA</t>
        </is>
      </c>
      <c r="B135" t="inlineStr">
        <is>
          <t>Kota Bandung</t>
        </is>
      </c>
      <c r="C135" t="inlineStr">
        <is>
          <t>0226074357</t>
        </is>
      </c>
      <c r="D135" t="inlineStr">
        <is>
          <t>paramajasa@yahoo.com</t>
        </is>
      </c>
      <c r="E135" t="inlineStr">
        <is>
          <t>https://lpjk.pu.go.id/search-badan-usaha-detail/RUtTb0tEVzhJUEpzRDJXK0VlQStMdz09</t>
        </is>
      </c>
      <c r="F135" t="n">
        <v>1</v>
      </c>
      <c r="G135" t="inlineStr">
        <is>
          <t>BG009</t>
        </is>
      </c>
      <c r="H135" t="inlineStr">
        <is>
          <t>18 Desember 2019</t>
        </is>
      </c>
      <c r="I135" s="2" t="n">
        <v>46228</v>
      </c>
      <c r="J135" t="inlineStr">
        <is>
          <t>Disetujui</t>
        </is>
      </c>
      <c r="K135" t="n">
        <v>30</v>
      </c>
      <c r="L135" t="inlineStr">
        <is>
          <t>25 Juli 2026</t>
        </is>
      </c>
      <c r="M135" t="inlineStr">
        <is>
          <t>Konstruksi Gedung Lainnya</t>
        </is>
      </c>
      <c r="N135" t="inlineStr">
        <is>
          <t>K</t>
        </is>
      </c>
      <c r="O135" t="inlineStr">
        <is>
          <t>20230724</t>
        </is>
      </c>
      <c r="P135" t="inlineStr">
        <is>
          <t>Jawa Barat</t>
        </is>
      </c>
      <c r="Q135" t="inlineStr"/>
    </row>
    <row r="136">
      <c r="A136" t="inlineStr">
        <is>
          <t>PASIR PUTIH</t>
        </is>
      </c>
      <c r="B136" t="inlineStr">
        <is>
          <t>Kab. Bima</t>
        </is>
      </c>
      <c r="C136" t="inlineStr">
        <is>
          <t>085205403102</t>
        </is>
      </c>
      <c r="D136" t="inlineStr">
        <is>
          <t>pasirputihcv2023@gmail.com</t>
        </is>
      </c>
      <c r="E136" t="inlineStr">
        <is>
          <t>https://lpjk.pu.go.id/search-badan-usaha-detail/OUdYZGhvV055eDA0YnkxQjdlZXJOdz09</t>
        </is>
      </c>
      <c r="F136" t="n">
        <v>2</v>
      </c>
      <c r="G136" t="inlineStr">
        <is>
          <t>BG005, BG006</t>
        </is>
      </c>
      <c r="H136" t="inlineStr">
        <is>
          <t>8 Juli 1975</t>
        </is>
      </c>
      <c r="I136" s="2" t="n">
        <v>46228</v>
      </c>
      <c r="J136" t="inlineStr">
        <is>
          <t>Disetujui</t>
        </is>
      </c>
      <c r="K136" t="n">
        <v>30</v>
      </c>
      <c r="L136" t="inlineStr">
        <is>
          <t>25 Juli 2026</t>
        </is>
      </c>
      <c r="M136" t="inlineStr">
        <is>
          <t>Konstruksi Gedung Kesehatan, Konstruksi Gedung Pendidikan</t>
        </is>
      </c>
      <c r="N136" t="inlineStr">
        <is>
          <t>K</t>
        </is>
      </c>
      <c r="O136" t="inlineStr">
        <is>
          <t>20230720</t>
        </is>
      </c>
      <c r="P136" t="inlineStr">
        <is>
          <t>Nusa Tenggara Barat</t>
        </is>
      </c>
      <c r="Q136" t="inlineStr"/>
    </row>
    <row r="137">
      <c r="A137" t="inlineStr">
        <is>
          <t>PERDANA SEKAWAN ABADI TEKNIK</t>
        </is>
      </c>
      <c r="B137" t="inlineStr">
        <is>
          <t>Kab. Sidoarjo</t>
        </is>
      </c>
      <c r="C137" t="inlineStr">
        <is>
          <t>085101303062</t>
        </is>
      </c>
      <c r="D137" t="inlineStr">
        <is>
          <t>perdana_sat@yahoo.com</t>
        </is>
      </c>
      <c r="E137" t="inlineStr">
        <is>
          <t>https://lpjk.pu.go.id/search-badan-usaha-detail/WGlyK3VHRVVsbzhCL3EyVk9NOXg3UT09</t>
        </is>
      </c>
      <c r="F137" t="n">
        <v>1</v>
      </c>
      <c r="G137" t="inlineStr">
        <is>
          <t>IN004</t>
        </is>
      </c>
      <c r="H137" t="inlineStr">
        <is>
          <t>15 September 2008</t>
        </is>
      </c>
      <c r="I137" s="2" t="n">
        <v>46228</v>
      </c>
      <c r="J137" t="inlineStr">
        <is>
          <t>Disetujui</t>
        </is>
      </c>
      <c r="K137" t="n">
        <v>30</v>
      </c>
      <c r="L137" t="inlineStr">
        <is>
          <t>25 Juli 2026</t>
        </is>
      </c>
      <c r="M137" t="inlineStr">
        <is>
          <t>Instalasi Minyak dan Gas</t>
        </is>
      </c>
      <c r="N137" t="inlineStr">
        <is>
          <t>Spesialis</t>
        </is>
      </c>
      <c r="O137" t="inlineStr">
        <is>
          <t>20230711</t>
        </is>
      </c>
      <c r="P137" t="inlineStr">
        <is>
          <t>Jawa Timur</t>
        </is>
      </c>
      <c r="Q137" t="inlineStr"/>
    </row>
    <row r="138">
      <c r="A138" t="inlineStr">
        <is>
          <t>PERMATA LESTARI</t>
        </is>
      </c>
      <c r="B138" t="inlineStr">
        <is>
          <t>Kab. Jember</t>
        </is>
      </c>
      <c r="C138" t="inlineStr">
        <is>
          <t>082333455470</t>
        </is>
      </c>
      <c r="D138" t="inlineStr">
        <is>
          <t>riopermata1210@gmail.com</t>
        </is>
      </c>
      <c r="E138" t="inlineStr">
        <is>
          <t>https://lpjk.pu.go.id/search-badan-usaha-detail/VWNKb3BZbDg2NUx4eFBwdnFvWmVjUT09</t>
        </is>
      </c>
      <c r="F138" t="n">
        <v>1</v>
      </c>
      <c r="G138" t="inlineStr">
        <is>
          <t>BS002</t>
        </is>
      </c>
      <c r="H138" t="inlineStr">
        <is>
          <t>2 Oktober 2015</t>
        </is>
      </c>
      <c r="I138" s="2" t="n">
        <v>46228</v>
      </c>
      <c r="J138" t="inlineStr">
        <is>
          <t>Disetujui</t>
        </is>
      </c>
      <c r="K138" t="n">
        <v>30</v>
      </c>
      <c r="L138" t="inlineStr">
        <is>
          <t>25 Juli 2026</t>
        </is>
      </c>
      <c r="M138" t="inlineStr">
        <is>
          <t>Bangunan Sipil Jembatan, Jalan Layang, Fly Over, dan Underpass</t>
        </is>
      </c>
      <c r="N138" t="inlineStr">
        <is>
          <t>K</t>
        </is>
      </c>
      <c r="O138" t="inlineStr">
        <is>
          <t>20230725</t>
        </is>
      </c>
      <c r="P138" t="inlineStr">
        <is>
          <t>Jawa Timur</t>
        </is>
      </c>
      <c r="Q138" t="inlineStr"/>
    </row>
    <row r="139">
      <c r="A139" t="inlineStr">
        <is>
          <t>PILAR UTAMA ENGINEERING</t>
        </is>
      </c>
      <c r="B139" t="inlineStr">
        <is>
          <t>Kota Bandar Lampung</t>
        </is>
      </c>
      <c r="C139" t="inlineStr">
        <is>
          <t>08117201971</t>
        </is>
      </c>
      <c r="D139" t="inlineStr">
        <is>
          <t>pue.konsultan@gmail.com</t>
        </is>
      </c>
      <c r="E139" t="inlineStr">
        <is>
          <t>https://lpjk.pu.go.id/search-badan-usaha-detail/VmZYUWJabk4venptbDZxakRLek44Zz09</t>
        </is>
      </c>
      <c r="F139" t="n">
        <v>1</v>
      </c>
      <c r="G139" t="inlineStr">
        <is>
          <t>RK001</t>
        </is>
      </c>
      <c r="H139" t="inlineStr">
        <is>
          <t>14 Maret 2008</t>
        </is>
      </c>
      <c r="I139" s="2" t="n">
        <v>46228</v>
      </c>
      <c r="J139" t="inlineStr">
        <is>
          <t>Disetujui</t>
        </is>
      </c>
      <c r="K139" t="n">
        <v>30</v>
      </c>
      <c r="L139" t="inlineStr">
        <is>
          <t>25 Juli 2026</t>
        </is>
      </c>
      <c r="M139" t="inlineStr">
        <is>
          <t>Jasa Rekayasa Konstruksi Bangunan Gedung Hunian dan Non Hunian</t>
        </is>
      </c>
      <c r="N139" t="inlineStr">
        <is>
          <t>K</t>
        </is>
      </c>
      <c r="O139" t="inlineStr">
        <is>
          <t>20230713</t>
        </is>
      </c>
      <c r="P139" t="inlineStr">
        <is>
          <t>Lampung</t>
        </is>
      </c>
      <c r="Q139" t="inlineStr"/>
    </row>
    <row r="140">
      <c r="A140" t="inlineStr">
        <is>
          <t>POLA LARAS</t>
        </is>
      </c>
      <c r="B140" t="inlineStr">
        <is>
          <t>Kota Bengkulu</t>
        </is>
      </c>
      <c r="C140" t="inlineStr">
        <is>
          <t>081273986542</t>
        </is>
      </c>
      <c r="D140" t="inlineStr">
        <is>
          <t>polalaraskonsultan@gmail.com</t>
        </is>
      </c>
      <c r="E140" t="inlineStr">
        <is>
          <t>https://lpjk.pu.go.id/search-badan-usaha-detail/QnZ4VnJtVmdOcW94TXFWMXMzdlNzUT09</t>
        </is>
      </c>
      <c r="F140" t="n">
        <v>1</v>
      </c>
      <c r="G140" t="inlineStr">
        <is>
          <t>RK002</t>
        </is>
      </c>
      <c r="H140" t="inlineStr">
        <is>
          <t>26 September 1991</t>
        </is>
      </c>
      <c r="I140" s="2" t="n">
        <v>46228</v>
      </c>
      <c r="J140" t="inlineStr">
        <is>
          <t>Disetujui</t>
        </is>
      </c>
      <c r="K140" t="n">
        <v>30</v>
      </c>
      <c r="L140" t="inlineStr">
        <is>
          <t>25 Juli 2026</t>
        </is>
      </c>
      <c r="M140" t="inlineStr">
        <is>
          <t>Jasa Rekayasa Pekerjaan Teknik Sipil Sumber Daya Air</t>
        </is>
      </c>
      <c r="N140" t="inlineStr">
        <is>
          <t>K</t>
        </is>
      </c>
      <c r="O140" t="inlineStr">
        <is>
          <t>20230714</t>
        </is>
      </c>
      <c r="P140" t="inlineStr">
        <is>
          <t>Bengkulu</t>
        </is>
      </c>
      <c r="Q140" t="inlineStr"/>
    </row>
    <row r="141">
      <c r="A141" t="inlineStr">
        <is>
          <t>PRADIPTA BHUMI KONSTRUKSI</t>
        </is>
      </c>
      <c r="B141" t="inlineStr">
        <is>
          <t>Kab. Bantul</t>
        </is>
      </c>
      <c r="C141" t="inlineStr">
        <is>
          <t>081229443922</t>
        </is>
      </c>
      <c r="D141" t="inlineStr">
        <is>
          <t>pt.bhumipradiptakonstruksi@gmail.com</t>
        </is>
      </c>
      <c r="E141" t="inlineStr">
        <is>
          <t>https://lpjk.pu.go.id/search-badan-usaha-detail/UUlNNVM5OEZidnFkeTZDdU9jblE3QT09</t>
        </is>
      </c>
      <c r="F141" t="n">
        <v>1</v>
      </c>
      <c r="G141" t="inlineStr">
        <is>
          <t>BG004</t>
        </is>
      </c>
      <c r="H141" t="inlineStr">
        <is>
          <t>27 November 2015</t>
        </is>
      </c>
      <c r="I141" s="2" t="n">
        <v>46228</v>
      </c>
      <c r="J141" t="inlineStr">
        <is>
          <t>Disetujui</t>
        </is>
      </c>
      <c r="K141" t="n">
        <v>30</v>
      </c>
      <c r="L141" t="inlineStr">
        <is>
          <t>25 Juli 2026</t>
        </is>
      </c>
      <c r="M141" t="inlineStr">
        <is>
          <t>Konstruksi Gedung Perbelanjaan</t>
        </is>
      </c>
      <c r="N141" t="inlineStr">
        <is>
          <t>M</t>
        </is>
      </c>
      <c r="O141" t="inlineStr">
        <is>
          <t>20230718</t>
        </is>
      </c>
      <c r="P141" t="inlineStr">
        <is>
          <t>DI Yogyakarta</t>
        </is>
      </c>
      <c r="Q141" t="inlineStr"/>
    </row>
    <row r="142">
      <c r="A142" t="inlineStr">
        <is>
          <t>PRANA VISI MEDIA</t>
        </is>
      </c>
      <c r="B142" t="inlineStr">
        <is>
          <t>Kota Adm. Jakarta Barat</t>
        </is>
      </c>
      <c r="C142" t="inlineStr">
        <is>
          <t>08971981565</t>
        </is>
      </c>
      <c r="D142" t="inlineStr">
        <is>
          <t>ptpranavisimedia@yahoo.com</t>
        </is>
      </c>
      <c r="E142" t="inlineStr">
        <is>
          <t>https://lpjk.pu.go.id/search-badan-usaha-detail/YmFxb3oyRzRnK2dYM0NpcjRJNlFkZz09</t>
        </is>
      </c>
      <c r="F142" t="n">
        <v>3</v>
      </c>
      <c r="G142" t="inlineStr">
        <is>
          <t>BG001, BG002, BG003</t>
        </is>
      </c>
      <c r="H142" t="inlineStr">
        <is>
          <t>16 Januari 2003</t>
        </is>
      </c>
      <c r="I142" s="2" t="n">
        <v>46228</v>
      </c>
      <c r="J142" t="inlineStr">
        <is>
          <t>Disetujui</t>
        </is>
      </c>
      <c r="K142" t="n">
        <v>30</v>
      </c>
      <c r="L142" t="inlineStr">
        <is>
          <t>25 Juli 2026</t>
        </is>
      </c>
      <c r="M142" t="inlineStr">
        <is>
          <t>Konstruksi Gedung Hunian, Konstruksi Gedung Industri, Konstruksi Gedung Perkantoran</t>
        </is>
      </c>
      <c r="N142" t="inlineStr">
        <is>
          <t>K</t>
        </is>
      </c>
      <c r="O142" t="inlineStr">
        <is>
          <t>20230725</t>
        </is>
      </c>
      <c r="P142" t="inlineStr">
        <is>
          <t>DKI Jakarta</t>
        </is>
      </c>
      <c r="Q142" t="inlineStr"/>
    </row>
    <row r="143">
      <c r="A143" t="inlineStr">
        <is>
          <t>PRIMA</t>
        </is>
      </c>
      <c r="B143" t="inlineStr">
        <is>
          <t>Kota Banjar</t>
        </is>
      </c>
      <c r="C143" t="inlineStr">
        <is>
          <t>081320754566</t>
        </is>
      </c>
      <c r="D143" t="inlineStr">
        <is>
          <t>cv.prima84@gmail.com</t>
        </is>
      </c>
      <c r="E143" t="inlineStr">
        <is>
          <t>https://lpjk.pu.go.id/search-badan-usaha-detail/aVpyU2VYTThxNDdydGM1OStuRkJ5dz09</t>
        </is>
      </c>
      <c r="F143" t="n">
        <v>1</v>
      </c>
      <c r="G143" t="inlineStr">
        <is>
          <t>BS001</t>
        </is>
      </c>
      <c r="H143" t="inlineStr">
        <is>
          <t>6 April 1984</t>
        </is>
      </c>
      <c r="I143" s="2" t="n">
        <v>46228</v>
      </c>
      <c r="J143" t="inlineStr">
        <is>
          <t>Disetujui</t>
        </is>
      </c>
      <c r="K143" t="n">
        <v>30</v>
      </c>
      <c r="L143" t="inlineStr">
        <is>
          <t>25 Juli 2026</t>
        </is>
      </c>
      <c r="M143" t="inlineStr">
        <is>
          <t>Konstruksi Bangunan Sipil Jalan</t>
        </is>
      </c>
      <c r="N143" t="inlineStr">
        <is>
          <t>K</t>
        </is>
      </c>
      <c r="O143" t="inlineStr">
        <is>
          <t>20230717</t>
        </is>
      </c>
      <c r="P143" t="inlineStr">
        <is>
          <t>Jawa Barat</t>
        </is>
      </c>
      <c r="Q143" t="inlineStr"/>
    </row>
    <row r="144">
      <c r="A144" t="inlineStr">
        <is>
          <t>PUTRA ALFARIZQI</t>
        </is>
      </c>
      <c r="B144" t="inlineStr">
        <is>
          <t>Kab. Bandung Barat</t>
        </is>
      </c>
      <c r="C144" t="inlineStr">
        <is>
          <t>081804042014</t>
        </is>
      </c>
      <c r="D144" t="inlineStr">
        <is>
          <t>cvputraalfarizqi@gmail.com</t>
        </is>
      </c>
      <c r="E144" t="inlineStr">
        <is>
          <t>https://lpjk.pu.go.id/search-badan-usaha-detail/Nm1sWWFLVFl3aFl0N0pOWGNlUFNXZz09</t>
        </is>
      </c>
      <c r="F144" t="n">
        <v>1</v>
      </c>
      <c r="G144" t="inlineStr">
        <is>
          <t>BS004</t>
        </is>
      </c>
      <c r="H144" t="inlineStr">
        <is>
          <t>14 Februari 2023</t>
        </is>
      </c>
      <c r="I144" s="2" t="n">
        <v>46228</v>
      </c>
      <c r="J144" t="inlineStr">
        <is>
          <t>Disetujui</t>
        </is>
      </c>
      <c r="K144" t="n">
        <v>30</v>
      </c>
      <c r="L144" t="inlineStr">
        <is>
          <t>25 Juli 2026</t>
        </is>
      </c>
      <c r="M144" t="inlineStr">
        <is>
          <t>Konstruksi Jaringan Irigasi dan Drainase</t>
        </is>
      </c>
      <c r="N144" t="inlineStr">
        <is>
          <t>K</t>
        </is>
      </c>
      <c r="O144" t="inlineStr">
        <is>
          <t>20230725</t>
        </is>
      </c>
      <c r="P144" t="inlineStr">
        <is>
          <t>Jawa Barat</t>
        </is>
      </c>
      <c r="Q144" t="inlineStr"/>
    </row>
    <row r="145">
      <c r="A145" t="inlineStr">
        <is>
          <t>PUTRA HASAN MANDIRI</t>
        </is>
      </c>
      <c r="B145" t="inlineStr">
        <is>
          <t>Kab. Kebumen</t>
        </is>
      </c>
      <c r="C145" t="inlineStr">
        <is>
          <t>085782365116</t>
        </is>
      </c>
      <c r="D145" t="inlineStr">
        <is>
          <t>putrahasanmandiri@gmail.com</t>
        </is>
      </c>
      <c r="E145" t="inlineStr">
        <is>
          <t>https://lpjk.pu.go.id/search-badan-usaha-detail/ZWRMTjU5QW50M29kSVJ4QzZKL2tRZz09</t>
        </is>
      </c>
      <c r="F145" t="n">
        <v>2</v>
      </c>
      <c r="G145" t="inlineStr">
        <is>
          <t>BG002, BG006</t>
        </is>
      </c>
      <c r="H145" t="inlineStr">
        <is>
          <t>1 Februari 2020</t>
        </is>
      </c>
      <c r="I145" s="2" t="n">
        <v>46228</v>
      </c>
      <c r="J145" t="inlineStr">
        <is>
          <t>Disetujui</t>
        </is>
      </c>
      <c r="K145" t="n">
        <v>30</v>
      </c>
      <c r="L145" t="inlineStr">
        <is>
          <t>25 Juli 2026</t>
        </is>
      </c>
      <c r="M145" t="inlineStr">
        <is>
          <t>Konstruksi Gedung Pendidikan, Konstruksi Gedung Perkantoran</t>
        </is>
      </c>
      <c r="N145" t="inlineStr">
        <is>
          <t>K</t>
        </is>
      </c>
      <c r="O145" t="inlineStr">
        <is>
          <t>20230725</t>
        </is>
      </c>
      <c r="P145" t="inlineStr">
        <is>
          <t>Jawa Tengah</t>
        </is>
      </c>
      <c r="Q145" t="inlineStr"/>
    </row>
    <row r="146">
      <c r="A146" t="inlineStr">
        <is>
          <t>PUTRA JAYA MANDIRI</t>
        </is>
      </c>
      <c r="B146" t="inlineStr">
        <is>
          <t>Kab. Sumedang</t>
        </is>
      </c>
      <c r="C146" t="inlineStr">
        <is>
          <t>0812 1414 6442</t>
        </is>
      </c>
      <c r="D146" t="inlineStr">
        <is>
          <t>cvputrajayamandiri9@gmail.com</t>
        </is>
      </c>
      <c r="E146" t="inlineStr">
        <is>
          <t>https://lpjk.pu.go.id/search-badan-usaha-detail/VVpqdWJ5K1I1dzlzNXpFQmNvMUNlZz09</t>
        </is>
      </c>
      <c r="F146" t="n">
        <v>1</v>
      </c>
      <c r="G146" t="inlineStr">
        <is>
          <t>BG006</t>
        </is>
      </c>
      <c r="H146" t="inlineStr">
        <is>
          <t>14 November 2016</t>
        </is>
      </c>
      <c r="I146" s="2" t="n">
        <v>46228</v>
      </c>
      <c r="J146" t="inlineStr">
        <is>
          <t>Disetujui</t>
        </is>
      </c>
      <c r="K146" t="n">
        <v>30</v>
      </c>
      <c r="L146" t="inlineStr">
        <is>
          <t>25 Juli 2026</t>
        </is>
      </c>
      <c r="M146" t="inlineStr">
        <is>
          <t>Konstruksi Gedung Pendidikan</t>
        </is>
      </c>
      <c r="N146" t="inlineStr">
        <is>
          <t>K</t>
        </is>
      </c>
      <c r="O146" t="inlineStr">
        <is>
          <t>20230724</t>
        </is>
      </c>
      <c r="P146" t="inlineStr">
        <is>
          <t>Jawa Barat</t>
        </is>
      </c>
      <c r="Q146" t="inlineStr"/>
    </row>
    <row r="147">
      <c r="A147" t="inlineStr">
        <is>
          <t>PUTRA PERDANA PERKASA</t>
        </is>
      </c>
      <c r="B147" t="inlineStr">
        <is>
          <t>Kota Padang</t>
        </is>
      </c>
      <c r="C147" t="inlineStr">
        <is>
          <t>0811660131</t>
        </is>
      </c>
      <c r="D147" t="inlineStr">
        <is>
          <t>pt.p2perkasa@gmail.com</t>
        </is>
      </c>
      <c r="E147" t="inlineStr">
        <is>
          <t>https://lpjk.pu.go.id/search-badan-usaha-detail/eEU2Ukc1UVMwNkZ4MUNCMHJjaERwZz09</t>
        </is>
      </c>
      <c r="F147" t="n">
        <v>5</v>
      </c>
      <c r="G147" t="inlineStr">
        <is>
          <t>BG002, BG003, BG009, BS001, BS010</t>
        </is>
      </c>
      <c r="H147" t="inlineStr">
        <is>
          <t>5 Februari 2004</t>
        </is>
      </c>
      <c r="I147" s="2" t="n">
        <v>46228</v>
      </c>
      <c r="J147" t="inlineStr">
        <is>
          <t>Disetujui</t>
        </is>
      </c>
      <c r="K147" t="n">
        <v>30</v>
      </c>
      <c r="L147" t="inlineStr">
        <is>
          <t>25 Juli 2026</t>
        </is>
      </c>
      <c r="M147" t="inlineStr">
        <is>
          <t>Konstruksi Bangunan Prasarana Sumber Daya Air, Konstruksi Bangunan Sipil Jalan, Konstruksi Gedung Industri, Konstruksi Gedung Lainnya, Konstruksi Gedung Perkantoran</t>
        </is>
      </c>
      <c r="N147" t="inlineStr">
        <is>
          <t>K</t>
        </is>
      </c>
      <c r="O147" t="inlineStr">
        <is>
          <t>20230725</t>
        </is>
      </c>
      <c r="P147" t="inlineStr">
        <is>
          <t>Sumatera Barat</t>
        </is>
      </c>
      <c r="Q147" t="inlineStr"/>
    </row>
    <row r="148">
      <c r="A148" t="inlineStr">
        <is>
          <t>PUTRA SAHABAT</t>
        </is>
      </c>
      <c r="B148" t="inlineStr">
        <is>
          <t>Kab. Batang</t>
        </is>
      </c>
      <c r="C148" t="inlineStr">
        <is>
          <t>085213385601</t>
        </is>
      </c>
      <c r="D148" t="inlineStr">
        <is>
          <t>cv.putrasahabat1@gmail.com</t>
        </is>
      </c>
      <c r="E148" t="inlineStr">
        <is>
          <t>https://lpjk.pu.go.id/search-badan-usaha-detail/RTZsbmIyY2l6aDdoWHp5bExna0JHQT09</t>
        </is>
      </c>
      <c r="F148" t="n">
        <v>2</v>
      </c>
      <c r="G148" t="inlineStr">
        <is>
          <t>BG005, BG006</t>
        </is>
      </c>
      <c r="H148" t="inlineStr">
        <is>
          <t>16 Agustus 1999</t>
        </is>
      </c>
      <c r="I148" s="2" t="n">
        <v>46228</v>
      </c>
      <c r="J148" t="inlineStr">
        <is>
          <t>Disetujui</t>
        </is>
      </c>
      <c r="K148" t="n">
        <v>30</v>
      </c>
      <c r="L148" t="inlineStr">
        <is>
          <t>25 Juli 2026</t>
        </is>
      </c>
      <c r="M148" t="inlineStr">
        <is>
          <t>Konstruksi Gedung Kesehatan, Konstruksi Gedung Pendidikan</t>
        </is>
      </c>
      <c r="N148" t="inlineStr">
        <is>
          <t>K</t>
        </is>
      </c>
      <c r="O148" t="inlineStr">
        <is>
          <t>20230614, 20230721</t>
        </is>
      </c>
      <c r="P148" t="inlineStr">
        <is>
          <t>Jawa Tengah</t>
        </is>
      </c>
      <c r="Q148" t="inlineStr"/>
    </row>
    <row r="149">
      <c r="A149" t="inlineStr">
        <is>
          <t>PUTRA TUNGGAL MANDIRI</t>
        </is>
      </c>
      <c r="B149" t="inlineStr">
        <is>
          <t>Kota Surabaya</t>
        </is>
      </c>
      <c r="C149" t="inlineStr">
        <is>
          <t>0317491967</t>
        </is>
      </c>
      <c r="D149" t="inlineStr">
        <is>
          <t>ptm.sby@gmail.com</t>
        </is>
      </c>
      <c r="E149" t="inlineStr">
        <is>
          <t>https://lpjk.pu.go.id/search-badan-usaha-detail/RGtsNFBvencybW1LYVd2emZmZWRrQT09</t>
        </is>
      </c>
      <c r="F149" t="n">
        <v>3</v>
      </c>
      <c r="G149" t="inlineStr">
        <is>
          <t>BG002, BG003, BG006</t>
        </is>
      </c>
      <c r="H149" t="inlineStr">
        <is>
          <t>17 September 2002</t>
        </is>
      </c>
      <c r="I149" s="2" t="n">
        <v>46228</v>
      </c>
      <c r="J149" t="inlineStr">
        <is>
          <t>Disetujui</t>
        </is>
      </c>
      <c r="K149" t="n">
        <v>30</v>
      </c>
      <c r="L149" t="inlineStr">
        <is>
          <t>25 Juli 2026</t>
        </is>
      </c>
      <c r="M149" t="inlineStr">
        <is>
          <t>Konstruksi Gedung Industri, Konstruksi Gedung Pendidikan, Konstruksi Gedung Perkantoran</t>
        </is>
      </c>
      <c r="N149" t="inlineStr">
        <is>
          <t>K</t>
        </is>
      </c>
      <c r="O149" t="inlineStr">
        <is>
          <t>20230725</t>
        </is>
      </c>
      <c r="P149" t="inlineStr">
        <is>
          <t>Jawa Timur</t>
        </is>
      </c>
      <c r="Q149" t="inlineStr"/>
    </row>
    <row r="150">
      <c r="A150" t="inlineStr">
        <is>
          <t>PUTRI JIHAN</t>
        </is>
      </c>
      <c r="B150" t="inlineStr">
        <is>
          <t>Kab. Sampang</t>
        </is>
      </c>
      <c r="C150" t="inlineStr">
        <is>
          <t>082143266767</t>
        </is>
      </c>
      <c r="D150" t="inlineStr">
        <is>
          <t>uubaidillah99@yahoo.com</t>
        </is>
      </c>
      <c r="E150" t="inlineStr">
        <is>
          <t>https://lpjk.pu.go.id/search-badan-usaha-detail/NWtRbktEWjFMbkJBUDZybWFGV2xqQT09</t>
        </is>
      </c>
      <c r="F150" t="n">
        <v>1</v>
      </c>
      <c r="G150" t="inlineStr">
        <is>
          <t>BS004</t>
        </is>
      </c>
      <c r="H150" t="inlineStr">
        <is>
          <t>13 Maret 2019</t>
        </is>
      </c>
      <c r="I150" s="2" t="n">
        <v>46228</v>
      </c>
      <c r="J150" t="inlineStr">
        <is>
          <t>Disetujui</t>
        </is>
      </c>
      <c r="K150" t="n">
        <v>30</v>
      </c>
      <c r="L150" t="inlineStr">
        <is>
          <t>25 Juli 2026</t>
        </is>
      </c>
      <c r="M150" t="inlineStr">
        <is>
          <t>Konstruksi Jaringan Irigasi dan Drainase</t>
        </is>
      </c>
      <c r="N150" t="inlineStr">
        <is>
          <t>K</t>
        </is>
      </c>
      <c r="O150" t="inlineStr">
        <is>
          <t>20230722</t>
        </is>
      </c>
      <c r="P150" t="inlineStr">
        <is>
          <t>Jawa Timur</t>
        </is>
      </c>
      <c r="Q150" t="inlineStr"/>
    </row>
    <row r="151">
      <c r="A151" t="inlineStr">
        <is>
          <t>RAHMA JAYA KONTRAKTOR</t>
        </is>
      </c>
      <c r="B151" t="inlineStr">
        <is>
          <t>Kab. Seram Bagian Timur</t>
        </is>
      </c>
      <c r="C151" t="inlineStr">
        <is>
          <t>081247262011</t>
        </is>
      </c>
      <c r="D151" t="inlineStr">
        <is>
          <t>cvrahmajayakontraktor.oss@gmail.com</t>
        </is>
      </c>
      <c r="E151" t="inlineStr">
        <is>
          <t>https://lpjk.pu.go.id/search-badan-usaha-detail/TUNxVkpxclJFOEtWMUFzTTRlS0Vrdz09</t>
        </is>
      </c>
      <c r="F151" t="n">
        <v>3</v>
      </c>
      <c r="G151" t="inlineStr">
        <is>
          <t>BG006, BS001, BS004</t>
        </is>
      </c>
      <c r="H151" t="inlineStr">
        <is>
          <t>1 Juli 2022</t>
        </is>
      </c>
      <c r="I151" s="2" t="n">
        <v>46228</v>
      </c>
      <c r="J151" t="inlineStr">
        <is>
          <t>Disetujui</t>
        </is>
      </c>
      <c r="K151" t="n">
        <v>30</v>
      </c>
      <c r="L151" t="inlineStr">
        <is>
          <t>25 Juli 2026</t>
        </is>
      </c>
      <c r="M151" t="inlineStr">
        <is>
          <t>Konstruksi Bangunan Sipil Jalan, Konstruksi Gedung Pendidikan, Konstruksi Jaringan Irigasi dan Drainase</t>
        </is>
      </c>
      <c r="N151" t="inlineStr">
        <is>
          <t>K</t>
        </is>
      </c>
      <c r="O151" t="inlineStr">
        <is>
          <t>20230715, 20230720</t>
        </is>
      </c>
      <c r="P151" t="inlineStr">
        <is>
          <t>Maluku</t>
        </is>
      </c>
      <c r="Q151" t="inlineStr"/>
    </row>
    <row r="152">
      <c r="A152" t="inlineStr">
        <is>
          <t>RAJAWALI PUTRA MANDIRI</t>
        </is>
      </c>
      <c r="B152" t="inlineStr">
        <is>
          <t>Kota Jambi</t>
        </is>
      </c>
      <c r="C152" t="inlineStr">
        <is>
          <t>0</t>
        </is>
      </c>
      <c r="D152" t="inlineStr">
        <is>
          <t>oss.cvrajawaliputramandiri@yahoo.com</t>
        </is>
      </c>
      <c r="E152" t="inlineStr">
        <is>
          <t>https://lpjk.pu.go.id/search-badan-usaha-detail/VlR2YXJIUkVvUGdNUDBFQVdEaW43dz09</t>
        </is>
      </c>
      <c r="F152" t="n">
        <v>2</v>
      </c>
      <c r="G152" t="inlineStr">
        <is>
          <t>BS005</t>
        </is>
      </c>
      <c r="H152" t="inlineStr">
        <is>
          <t>22 Juni 2012</t>
        </is>
      </c>
      <c r="I152" s="2" t="n">
        <v>46228</v>
      </c>
      <c r="J152" t="inlineStr">
        <is>
          <t>Disetujui</t>
        </is>
      </c>
      <c r="K152" t="n">
        <v>30</v>
      </c>
      <c r="L152" t="inlineStr">
        <is>
          <t>25 Juli 2026</t>
        </is>
      </c>
      <c r="M152" t="inlineStr">
        <is>
          <t>Konstruksi Bangunan Sipil Pengolahan Air Bersih</t>
        </is>
      </c>
      <c r="N152" t="inlineStr">
        <is>
          <t>K</t>
        </is>
      </c>
      <c r="O152" t="inlineStr">
        <is>
          <t>20230724</t>
        </is>
      </c>
      <c r="P152" t="inlineStr">
        <is>
          <t>Jambi</t>
        </is>
      </c>
      <c r="Q152" t="inlineStr"/>
    </row>
    <row r="153">
      <c r="A153" t="inlineStr">
        <is>
          <t>RANCANG SEMESTANUSANTARA</t>
        </is>
      </c>
      <c r="B153" t="inlineStr">
        <is>
          <t>Kota Adm. Jakarta Selatan</t>
        </is>
      </c>
      <c r="C153" t="inlineStr">
        <is>
          <t>0217659721</t>
        </is>
      </c>
      <c r="D153" t="inlineStr">
        <is>
          <t>admin@rsnconsultant.id</t>
        </is>
      </c>
      <c r="E153" t="inlineStr">
        <is>
          <t>https://lpjk.pu.go.id/search-badan-usaha-detail/WGJSUlh5UFBjK1MwTzNwai9acjBTZz09</t>
        </is>
      </c>
      <c r="F153" t="n">
        <v>2</v>
      </c>
      <c r="G153" t="inlineStr">
        <is>
          <t>RK001</t>
        </is>
      </c>
      <c r="H153" t="inlineStr">
        <is>
          <t>26 Oktober 1993</t>
        </is>
      </c>
      <c r="I153" s="2" t="n">
        <v>46228</v>
      </c>
      <c r="J153" t="inlineStr">
        <is>
          <t>Disetujui</t>
        </is>
      </c>
      <c r="K153" t="n">
        <v>30</v>
      </c>
      <c r="L153" t="inlineStr">
        <is>
          <t>25 Juli 2026</t>
        </is>
      </c>
      <c r="M153" t="inlineStr">
        <is>
          <t>Jasa Rekayasa Konstruksi Bangunan Gedung Hunian dan Non Hunian</t>
        </is>
      </c>
      <c r="N153" t="inlineStr">
        <is>
          <t>M</t>
        </is>
      </c>
      <c r="O153" t="inlineStr">
        <is>
          <t>20230714</t>
        </is>
      </c>
      <c r="P153" t="inlineStr">
        <is>
          <t>DKI Jakarta</t>
        </is>
      </c>
      <c r="Q153" t="inlineStr"/>
    </row>
    <row r="154">
      <c r="A154" t="inlineStr">
        <is>
          <t>REKADAYA RESTU CIPTA</t>
        </is>
      </c>
      <c r="B154" t="inlineStr">
        <is>
          <t>Kota Tangerang</t>
        </is>
      </c>
      <c r="C154" t="inlineStr">
        <is>
          <t>02127561427</t>
        </is>
      </c>
      <c r="D154" t="inlineStr">
        <is>
          <t>rekadaya.restucipta@gmail.com</t>
        </is>
      </c>
      <c r="E154" t="inlineStr">
        <is>
          <t>https://lpjk.pu.go.id/search-badan-usaha-detail/UDZNcGhQcytDUEJwbTMvTW9IT25ndz09</t>
        </is>
      </c>
      <c r="F154" t="n">
        <v>2</v>
      </c>
      <c r="G154" t="inlineStr">
        <is>
          <t>RK003</t>
        </is>
      </c>
      <c r="H154" t="inlineStr">
        <is>
          <t>26 Januari 2018</t>
        </is>
      </c>
      <c r="I154" s="2" t="n">
        <v>46228</v>
      </c>
      <c r="J154" t="inlineStr">
        <is>
          <t>Disetujui</t>
        </is>
      </c>
      <c r="K154" t="n">
        <v>30</v>
      </c>
      <c r="L154" t="inlineStr">
        <is>
          <t>25 Juli 2026</t>
        </is>
      </c>
      <c r="M154" t="inlineStr">
        <is>
          <t>Jasa Rekayasa Pekerjaan Teknik Sipil Transportasi</t>
        </is>
      </c>
      <c r="N154" t="inlineStr">
        <is>
          <t>K</t>
        </is>
      </c>
      <c r="O154" t="inlineStr">
        <is>
          <t>20230614</t>
        </is>
      </c>
      <c r="P154" t="inlineStr">
        <is>
          <t>Banten</t>
        </is>
      </c>
      <c r="Q154" t="inlineStr"/>
    </row>
    <row r="155">
      <c r="A155" t="inlineStr">
        <is>
          <t>REZEKI AGUNG BAROKAH</t>
        </is>
      </c>
      <c r="B155" t="inlineStr">
        <is>
          <t>Kab. Mojokerto</t>
        </is>
      </c>
      <c r="C155" t="inlineStr">
        <is>
          <t>082244344318</t>
        </is>
      </c>
      <c r="D155" t="inlineStr">
        <is>
          <t>cvrezekiagungbarokah@gmail.com</t>
        </is>
      </c>
      <c r="E155" t="inlineStr">
        <is>
          <t>https://lpjk.pu.go.id/search-badan-usaha-detail/RmxkMkpJb1F4b0hLS3RMKzhpaE96dz09</t>
        </is>
      </c>
      <c r="F155" t="n">
        <v>1</v>
      </c>
      <c r="G155" t="inlineStr">
        <is>
          <t>KK012</t>
        </is>
      </c>
      <c r="H155" t="inlineStr">
        <is>
          <t>6 Agustus 2022</t>
        </is>
      </c>
      <c r="I155" s="2" t="n">
        <v>46228</v>
      </c>
      <c r="J155" t="inlineStr">
        <is>
          <t>Disetujui</t>
        </is>
      </c>
      <c r="K155" t="n">
        <v>30</v>
      </c>
      <c r="L155" t="inlineStr">
        <is>
          <t>25 Juli 2026</t>
        </is>
      </c>
      <c r="M155" t="inlineStr">
        <is>
          <t>Pekerjaan Struktur Beton</t>
        </is>
      </c>
      <c r="N155" t="inlineStr">
        <is>
          <t>Spesialis</t>
        </is>
      </c>
      <c r="O155" t="inlineStr">
        <is>
          <t>20230713</t>
        </is>
      </c>
      <c r="P155" t="inlineStr">
        <is>
          <t>Jawa Timur</t>
        </is>
      </c>
      <c r="Q155" t="inlineStr"/>
    </row>
    <row r="156">
      <c r="A156" t="inlineStr">
        <is>
          <t>RHEMA ABADI</t>
        </is>
      </c>
      <c r="B156" t="inlineStr">
        <is>
          <t>Kota Medan</t>
        </is>
      </c>
      <c r="C156" t="inlineStr">
        <is>
          <t>081397606000</t>
        </is>
      </c>
      <c r="D156" t="inlineStr">
        <is>
          <t>ville_na70@yahoo.co.id</t>
        </is>
      </c>
      <c r="E156" t="inlineStr">
        <is>
          <t>https://lpjk.pu.go.id/search-badan-usaha-detail/dmpHZUZ6S1NkNXJqSHo5c0daTWRDZz09</t>
        </is>
      </c>
      <c r="F156" t="n">
        <v>1</v>
      </c>
      <c r="G156" t="inlineStr">
        <is>
          <t>BG003</t>
        </is>
      </c>
      <c r="H156" t="inlineStr">
        <is>
          <t>15 Desember 2012</t>
        </is>
      </c>
      <c r="I156" s="2" t="n">
        <v>46228</v>
      </c>
      <c r="J156" t="inlineStr">
        <is>
          <t>Disetujui</t>
        </is>
      </c>
      <c r="K156" t="n">
        <v>30</v>
      </c>
      <c r="L156" t="inlineStr">
        <is>
          <t>25 Juli 2026</t>
        </is>
      </c>
      <c r="M156" t="inlineStr">
        <is>
          <t>Konstruksi Gedung Industri</t>
        </is>
      </c>
      <c r="N156" t="inlineStr">
        <is>
          <t>K</t>
        </is>
      </c>
      <c r="O156" t="inlineStr">
        <is>
          <t>20230717</t>
        </is>
      </c>
      <c r="P156" t="inlineStr">
        <is>
          <t>Sumatera Utara</t>
        </is>
      </c>
      <c r="Q156" t="inlineStr"/>
    </row>
    <row r="157">
      <c r="A157" t="inlineStr">
        <is>
          <t>ROTASI DESIGN CONSULTANT</t>
        </is>
      </c>
      <c r="B157" t="inlineStr">
        <is>
          <t>Kota Palangkaraya</t>
        </is>
      </c>
      <c r="C157" t="inlineStr">
        <is>
          <t>085249079439</t>
        </is>
      </c>
      <c r="D157" t="inlineStr">
        <is>
          <t>rotasi.design@gmail.com</t>
        </is>
      </c>
      <c r="E157" t="inlineStr">
        <is>
          <t>https://lpjk.pu.go.id/search-badan-usaha-detail/blM1NDNoK1VlTlZyVE1sRXlyNmlhdz09</t>
        </is>
      </c>
      <c r="F157" t="n">
        <v>2</v>
      </c>
      <c r="G157" t="inlineStr">
        <is>
          <t>RK001, RK003</t>
        </is>
      </c>
      <c r="H157" t="inlineStr">
        <is>
          <t>21 Desember 2018</t>
        </is>
      </c>
      <c r="I157" s="2" t="n">
        <v>46228</v>
      </c>
      <c r="J157" t="inlineStr">
        <is>
          <t>Disetujui</t>
        </is>
      </c>
      <c r="K157" t="n">
        <v>30</v>
      </c>
      <c r="L157" t="inlineStr">
        <is>
          <t>25 Juli 2026</t>
        </is>
      </c>
      <c r="M157" t="inlineStr">
        <is>
          <t>Jasa Rekayasa Konstruksi Bangunan Gedung Hunian dan Non Hunian, Jasa Rekayasa Pekerjaan Teknik Sipil Transportasi</t>
        </is>
      </c>
      <c r="N157" t="inlineStr">
        <is>
          <t>K</t>
        </is>
      </c>
      <c r="O157" t="inlineStr">
        <is>
          <t>20230706, 20230709</t>
        </is>
      </c>
      <c r="P157" t="inlineStr">
        <is>
          <t>Kalimantan Tengah</t>
        </is>
      </c>
      <c r="Q157" t="inlineStr"/>
    </row>
    <row r="158">
      <c r="A158" t="inlineStr">
        <is>
          <t>SAMPURNA JAYA</t>
        </is>
      </c>
      <c r="B158" t="inlineStr">
        <is>
          <t>Kab. Jember</t>
        </is>
      </c>
      <c r="C158" t="inlineStr">
        <is>
          <t>081334129238</t>
        </is>
      </c>
      <c r="D158" t="inlineStr">
        <is>
          <t>sampurnajaya126@gmail.com</t>
        </is>
      </c>
      <c r="E158" t="inlineStr">
        <is>
          <t>https://lpjk.pu.go.id/search-badan-usaha-detail/WjNFamZLNkUzQW93bTNRQjdyYVFNQT09</t>
        </is>
      </c>
      <c r="F158" t="n">
        <v>1</v>
      </c>
      <c r="G158" t="inlineStr">
        <is>
          <t>BS004</t>
        </is>
      </c>
      <c r="H158" t="inlineStr">
        <is>
          <t>2 September 2015</t>
        </is>
      </c>
      <c r="I158" s="2" t="n">
        <v>46228</v>
      </c>
      <c r="J158" t="inlineStr">
        <is>
          <t>Disetujui</t>
        </is>
      </c>
      <c r="K158" t="n">
        <v>30</v>
      </c>
      <c r="L158" t="inlineStr">
        <is>
          <t>25 Juli 2026</t>
        </is>
      </c>
      <c r="M158" t="inlineStr">
        <is>
          <t>Konstruksi Jaringan Irigasi dan Drainase</t>
        </is>
      </c>
      <c r="N158" t="inlineStr">
        <is>
          <t>K</t>
        </is>
      </c>
      <c r="O158" t="inlineStr">
        <is>
          <t>20230724</t>
        </is>
      </c>
      <c r="P158" t="inlineStr">
        <is>
          <t>Jawa Timur</t>
        </is>
      </c>
      <c r="Q158" t="inlineStr"/>
    </row>
    <row r="159">
      <c r="A159" t="inlineStr">
        <is>
          <t>SAMUDERA REKSO ASRI</t>
        </is>
      </c>
      <c r="B159" t="inlineStr">
        <is>
          <t>Kota Adm. Jakarta Barat</t>
        </is>
      </c>
      <c r="C159" t="inlineStr">
        <is>
          <t>02153675605</t>
        </is>
      </c>
      <c r="D159" t="inlineStr">
        <is>
          <t>info.oss.sra@samudera.id</t>
        </is>
      </c>
      <c r="E159" t="inlineStr">
        <is>
          <t>https://lpjk.pu.go.id/search-badan-usaha-detail/N1psSjNENk5EZEFBb1hGMEhXNGcxQT09</t>
        </is>
      </c>
      <c r="F159" t="n">
        <v>3</v>
      </c>
      <c r="G159" t="inlineStr">
        <is>
          <t>BG001, BG003, BG009</t>
        </is>
      </c>
      <c r="H159" t="inlineStr">
        <is>
          <t>28 April 2011</t>
        </is>
      </c>
      <c r="I159" s="2" t="n">
        <v>46228</v>
      </c>
      <c r="J159" t="inlineStr">
        <is>
          <t>Disetujui, Pencabutan</t>
        </is>
      </c>
      <c r="K159" t="n">
        <v>30</v>
      </c>
      <c r="L159" t="inlineStr">
        <is>
          <t>25 Juli 2026</t>
        </is>
      </c>
      <c r="M159" t="inlineStr">
        <is>
          <t>Konstruksi Gedung Hunian, Konstruksi Gedung Industri, Konstruksi Gedung Lainnya</t>
        </is>
      </c>
      <c r="N159" t="inlineStr">
        <is>
          <t>K</t>
        </is>
      </c>
      <c r="O159" t="inlineStr">
        <is>
          <t>20230708, 20230724</t>
        </is>
      </c>
      <c r="P159" t="inlineStr">
        <is>
          <t>DKI Jakarta</t>
        </is>
      </c>
      <c r="Q159" t="inlineStr"/>
    </row>
    <row r="160">
      <c r="A160" t="inlineStr">
        <is>
          <t>SATU SEMBILAN DELAPAN TUJUH</t>
        </is>
      </c>
      <c r="B160" t="inlineStr">
        <is>
          <t>Kota Kendari</t>
        </is>
      </c>
      <c r="C160" t="inlineStr">
        <is>
          <t>081329706408</t>
        </is>
      </c>
      <c r="D160" t="inlineStr">
        <is>
          <t>satusembilandelapantujuh7777@gmail.com</t>
        </is>
      </c>
      <c r="E160" t="inlineStr">
        <is>
          <t>https://lpjk.pu.go.id/search-badan-usaha-detail/OXA2dlIvcFltQWxZYlhNbzkxRlhFZz09</t>
        </is>
      </c>
      <c r="F160" t="n">
        <v>1</v>
      </c>
      <c r="G160" t="inlineStr">
        <is>
          <t>BS001</t>
        </is>
      </c>
      <c r="H160" t="inlineStr">
        <is>
          <t>4 Juli 2023</t>
        </is>
      </c>
      <c r="I160" s="2" t="n">
        <v>46228</v>
      </c>
      <c r="J160" t="inlineStr">
        <is>
          <t>Disetujui</t>
        </is>
      </c>
      <c r="K160" t="n">
        <v>30</v>
      </c>
      <c r="L160" t="inlineStr">
        <is>
          <t>25 Juli 2026</t>
        </is>
      </c>
      <c r="M160" t="inlineStr">
        <is>
          <t>Konstruksi Bangunan Sipil Jalan</t>
        </is>
      </c>
      <c r="N160" t="inlineStr">
        <is>
          <t>K</t>
        </is>
      </c>
      <c r="O160" t="inlineStr">
        <is>
          <t>20230725</t>
        </is>
      </c>
      <c r="P160" t="inlineStr">
        <is>
          <t>Sulawesi Tenggara</t>
        </is>
      </c>
      <c r="Q160" t="inlineStr"/>
    </row>
    <row r="161">
      <c r="A161" t="inlineStr">
        <is>
          <t>SAWANG PERSADA KONSTRUKSI</t>
        </is>
      </c>
      <c r="B161" t="inlineStr">
        <is>
          <t>Kota Jambi</t>
        </is>
      </c>
      <c r="C161" t="inlineStr">
        <is>
          <t>081282192922</t>
        </is>
      </c>
      <c r="D161" t="inlineStr">
        <is>
          <t>sawangpersadakontruksi01@gmail.com</t>
        </is>
      </c>
      <c r="E161" t="inlineStr">
        <is>
          <t>https://lpjk.pu.go.id/search-badan-usaha-detail/VjVNdzFrdEYveGZ1aVBMTm14UHFiZz09</t>
        </is>
      </c>
      <c r="F161" t="n">
        <v>1</v>
      </c>
      <c r="G161" t="inlineStr">
        <is>
          <t>BS001</t>
        </is>
      </c>
      <c r="H161" t="inlineStr">
        <is>
          <t>1 Juli 2019</t>
        </is>
      </c>
      <c r="I161" s="2" t="n">
        <v>46228</v>
      </c>
      <c r="J161" t="inlineStr">
        <is>
          <t>Pencabutan</t>
        </is>
      </c>
      <c r="K161" t="n">
        <v>30</v>
      </c>
      <c r="L161" t="inlineStr">
        <is>
          <t>25 Juli 2026</t>
        </is>
      </c>
      <c r="M161" t="inlineStr">
        <is>
          <t>Konstruksi Bangunan Sipil Jalan</t>
        </is>
      </c>
      <c r="N161" t="inlineStr">
        <is>
          <t>K</t>
        </is>
      </c>
      <c r="O161" t="inlineStr">
        <is>
          <t>20230721</t>
        </is>
      </c>
      <c r="P161" t="inlineStr">
        <is>
          <t>Jambi</t>
        </is>
      </c>
      <c r="Q161" t="inlineStr"/>
    </row>
    <row r="162">
      <c r="A162" t="inlineStr">
        <is>
          <t>SEJAHTERA KURNIA UTAMA</t>
        </is>
      </c>
      <c r="B162" t="inlineStr">
        <is>
          <t>Kota Banda Aceh</t>
        </is>
      </c>
      <c r="C162" t="inlineStr">
        <is>
          <t>08116822272</t>
        </is>
      </c>
      <c r="D162" t="inlineStr">
        <is>
          <t>cv.sejahterakurniautama@gmail.com</t>
        </is>
      </c>
      <c r="E162" t="inlineStr">
        <is>
          <t>https://lpjk.pu.go.id/search-badan-usaha-detail/RFRqcWFJaDZCb2tRWW5ma2VEc01OUT09</t>
        </is>
      </c>
      <c r="F162" t="n">
        <v>1</v>
      </c>
      <c r="G162" t="inlineStr">
        <is>
          <t>BG001</t>
        </is>
      </c>
      <c r="H162" t="inlineStr">
        <is>
          <t>25 Juni 2021</t>
        </is>
      </c>
      <c r="I162" s="2" t="n">
        <v>46228</v>
      </c>
      <c r="J162" t="inlineStr">
        <is>
          <t>Disetujui</t>
        </is>
      </c>
      <c r="K162" t="n">
        <v>30</v>
      </c>
      <c r="L162" t="inlineStr">
        <is>
          <t>25 Juli 2026</t>
        </is>
      </c>
      <c r="M162" t="inlineStr">
        <is>
          <t>Konstruksi Gedung Hunian</t>
        </is>
      </c>
      <c r="N162" t="inlineStr">
        <is>
          <t>K</t>
        </is>
      </c>
      <c r="O162" t="inlineStr">
        <is>
          <t>20230717</t>
        </is>
      </c>
      <c r="P162" t="inlineStr">
        <is>
          <t>Aceh</t>
        </is>
      </c>
      <c r="Q162" t="inlineStr"/>
    </row>
    <row r="163">
      <c r="A163" t="inlineStr">
        <is>
          <t>SHAFIR WIRA SEJAHTERA</t>
        </is>
      </c>
      <c r="B163" t="inlineStr">
        <is>
          <t>Kab. Lamongan</t>
        </is>
      </c>
      <c r="C163" t="inlineStr">
        <is>
          <t>081334333081</t>
        </is>
      </c>
      <c r="D163" t="inlineStr">
        <is>
          <t>cv_shafirwirasejahtera@yahoo.com</t>
        </is>
      </c>
      <c r="E163" t="inlineStr">
        <is>
          <t>https://lpjk.pu.go.id/search-badan-usaha-detail/THJYOHNYd2FsMjBxenJ6RmJUWUtEUT09</t>
        </is>
      </c>
      <c r="F163" t="n">
        <v>3</v>
      </c>
      <c r="G163" t="inlineStr">
        <is>
          <t>BG004, BG005, BG006</t>
        </is>
      </c>
      <c r="H163" t="inlineStr">
        <is>
          <t>13 Maret 2017</t>
        </is>
      </c>
      <c r="I163" s="2" t="n">
        <v>46228</v>
      </c>
      <c r="J163" t="inlineStr">
        <is>
          <t>Disetujui</t>
        </is>
      </c>
      <c r="K163" t="n">
        <v>30</v>
      </c>
      <c r="L163" t="inlineStr">
        <is>
          <t>25 Juli 2026</t>
        </is>
      </c>
      <c r="M163" t="inlineStr">
        <is>
          <t>Konstruksi Gedung Kesehatan, Konstruksi Gedung Pendidikan, Konstruksi Gedung Perbelanjaan</t>
        </is>
      </c>
      <c r="N163" t="inlineStr">
        <is>
          <t>K</t>
        </is>
      </c>
      <c r="O163" t="inlineStr">
        <is>
          <t>20230720</t>
        </is>
      </c>
      <c r="P163" t="inlineStr">
        <is>
          <t>Jawa Timur</t>
        </is>
      </c>
      <c r="Q163" t="inlineStr"/>
    </row>
    <row r="164">
      <c r="A164" t="inlineStr">
        <is>
          <t>SHAMARA KONS PERKASA</t>
        </is>
      </c>
      <c r="B164" t="inlineStr">
        <is>
          <t>Kab. Grobogan</t>
        </is>
      </c>
      <c r="C164" t="inlineStr">
        <is>
          <t>081281510144</t>
        </is>
      </c>
      <c r="D164" t="inlineStr">
        <is>
          <t>shamarakons27@gmail.com</t>
        </is>
      </c>
      <c r="E164" t="inlineStr">
        <is>
          <t>https://lpjk.pu.go.id/search-badan-usaha-detail/Uk54VFBYOWYyVmJPZkk2eTRwa1pnZz09</t>
        </is>
      </c>
      <c r="F164" t="n">
        <v>2</v>
      </c>
      <c r="G164" t="inlineStr">
        <is>
          <t>BG004, BG005</t>
        </is>
      </c>
      <c r="H164" t="inlineStr">
        <is>
          <t>19 Juli 2021</t>
        </is>
      </c>
      <c r="I164" s="2" t="n">
        <v>46228</v>
      </c>
      <c r="J164" t="inlineStr">
        <is>
          <t>Disetujui</t>
        </is>
      </c>
      <c r="K164" t="n">
        <v>30</v>
      </c>
      <c r="L164" t="inlineStr">
        <is>
          <t>25 Juli 2026</t>
        </is>
      </c>
      <c r="M164" t="inlineStr">
        <is>
          <t>Konstruksi Gedung Kesehatan, Konstruksi Gedung Perbelanjaan</t>
        </is>
      </c>
      <c r="N164" t="inlineStr">
        <is>
          <t>K</t>
        </is>
      </c>
      <c r="O164" t="inlineStr">
        <is>
          <t>20230726</t>
        </is>
      </c>
      <c r="P164" t="inlineStr">
        <is>
          <t>Jawa Tengah</t>
        </is>
      </c>
      <c r="Q164" t="inlineStr"/>
    </row>
    <row r="165">
      <c r="A165" t="inlineStr">
        <is>
          <t>SIGMA ANUGRAH PRATAMA</t>
        </is>
      </c>
      <c r="B165" t="inlineStr">
        <is>
          <t>Kab. Tangerang</t>
        </is>
      </c>
      <c r="C165" t="inlineStr">
        <is>
          <t>0</t>
        </is>
      </c>
      <c r="D165" t="inlineStr">
        <is>
          <t>sigmaanugrahpratama.oss@gmail.com</t>
        </is>
      </c>
      <c r="E165" t="inlineStr">
        <is>
          <t>https://lpjk.pu.go.id/search-badan-usaha-detail/UnM0M1FSTFd4ZTJDcDVYbGlCV1hiZz09</t>
        </is>
      </c>
      <c r="F165" t="n">
        <v>2</v>
      </c>
      <c r="G165" t="inlineStr">
        <is>
          <t>BS009</t>
        </is>
      </c>
      <c r="H165" t="inlineStr">
        <is>
          <t>25 Oktober 2022</t>
        </is>
      </c>
      <c r="I165" s="2" t="n">
        <v>46228</v>
      </c>
      <c r="J165" t="inlineStr">
        <is>
          <t>Disetujui</t>
        </is>
      </c>
      <c r="K165" t="n">
        <v>30</v>
      </c>
      <c r="L165" t="inlineStr">
        <is>
          <t>25 Juli 2026</t>
        </is>
      </c>
      <c r="M165" t="inlineStr">
        <is>
          <t>Konstruksi Sentral Telekomunikasi</t>
        </is>
      </c>
      <c r="N165" t="inlineStr">
        <is>
          <t>K</t>
        </is>
      </c>
      <c r="O165" t="inlineStr">
        <is>
          <t>20230721</t>
        </is>
      </c>
      <c r="P165" t="inlineStr">
        <is>
          <t>Banten</t>
        </is>
      </c>
      <c r="Q165" t="inlineStr"/>
    </row>
    <row r="166">
      <c r="A166" t="inlineStr">
        <is>
          <t>SINAR BARU KEISYA</t>
        </is>
      </c>
      <c r="B166" t="inlineStr">
        <is>
          <t>Kab. Bima</t>
        </is>
      </c>
      <c r="C166" t="inlineStr">
        <is>
          <t>085239680549</t>
        </is>
      </c>
      <c r="D166" t="inlineStr">
        <is>
          <t>cvsinarbarukeisa@gmail.com</t>
        </is>
      </c>
      <c r="E166" t="inlineStr">
        <is>
          <t>https://lpjk.pu.go.id/search-badan-usaha-detail/QitVc0hvbFJpMXJ0UjJ1dGZBdGRhZz09</t>
        </is>
      </c>
      <c r="F166" t="n">
        <v>1</v>
      </c>
      <c r="G166" t="inlineStr">
        <is>
          <t>BG006</t>
        </is>
      </c>
      <c r="H166" t="inlineStr">
        <is>
          <t>6 Desember 2018</t>
        </is>
      </c>
      <c r="I166" s="2" t="n">
        <v>46228</v>
      </c>
      <c r="J166" t="inlineStr">
        <is>
          <t>Disetujui</t>
        </is>
      </c>
      <c r="K166" t="n">
        <v>30</v>
      </c>
      <c r="L166" t="inlineStr">
        <is>
          <t>25 Juli 2026</t>
        </is>
      </c>
      <c r="M166" t="inlineStr">
        <is>
          <t>Konstruksi Gedung Pendidikan</t>
        </is>
      </c>
      <c r="N166" t="inlineStr">
        <is>
          <t>K</t>
        </is>
      </c>
      <c r="O166" t="inlineStr">
        <is>
          <t>20230718</t>
        </is>
      </c>
      <c r="P166" t="inlineStr">
        <is>
          <t>Nusa Tenggara Barat</t>
        </is>
      </c>
      <c r="Q166" t="inlineStr"/>
    </row>
    <row r="167">
      <c r="A167" t="inlineStr">
        <is>
          <t>SINAR BATAKO</t>
        </is>
      </c>
      <c r="B167" t="inlineStr">
        <is>
          <t>Kab. Sanggau</t>
        </is>
      </c>
      <c r="C167" t="inlineStr">
        <is>
          <t>085391210872</t>
        </is>
      </c>
      <c r="D167" t="inlineStr">
        <is>
          <t>sinarbatako@gmail.com</t>
        </is>
      </c>
      <c r="E167" t="inlineStr">
        <is>
          <t>https://lpjk.pu.go.id/search-badan-usaha-detail/dWJLbE81YUZzOXNIb0ZITkpML2hPZz09</t>
        </is>
      </c>
      <c r="F167" t="n">
        <v>1</v>
      </c>
      <c r="G167" t="inlineStr">
        <is>
          <t>BG006</t>
        </is>
      </c>
      <c r="H167" t="inlineStr">
        <is>
          <t>25 Januari 2013</t>
        </is>
      </c>
      <c r="I167" s="2" t="n">
        <v>46228</v>
      </c>
      <c r="J167" t="inlineStr">
        <is>
          <t>Disetujui</t>
        </is>
      </c>
      <c r="K167" t="n">
        <v>30</v>
      </c>
      <c r="L167" t="inlineStr">
        <is>
          <t>25 Juli 2026</t>
        </is>
      </c>
      <c r="M167" t="inlineStr">
        <is>
          <t>Konstruksi Gedung Pendidikan</t>
        </is>
      </c>
      <c r="N167" t="inlineStr">
        <is>
          <t>K</t>
        </is>
      </c>
      <c r="O167" t="inlineStr">
        <is>
          <t>20230724</t>
        </is>
      </c>
      <c r="P167" t="inlineStr">
        <is>
          <t>Kalimantan Barat</t>
        </is>
      </c>
      <c r="Q167" t="inlineStr"/>
    </row>
    <row r="168">
      <c r="A168" t="inlineStr">
        <is>
          <t>SINAR KONSTRUKSI YASINDO</t>
        </is>
      </c>
      <c r="B168" t="inlineStr">
        <is>
          <t>Kota Adm. Jakarta Barat</t>
        </is>
      </c>
      <c r="C168" t="inlineStr">
        <is>
          <t>02180631868</t>
        </is>
      </c>
      <c r="D168" t="inlineStr">
        <is>
          <t>sky888jakarta@gmail.com</t>
        </is>
      </c>
      <c r="E168" t="inlineStr">
        <is>
          <t>https://lpjk.pu.go.id/search-badan-usaha-detail/Q1Rudk84bElNano5RkNPZzM4Y0dVQT09</t>
        </is>
      </c>
      <c r="F168" t="n">
        <v>1</v>
      </c>
      <c r="G168" t="inlineStr">
        <is>
          <t>IN003</t>
        </is>
      </c>
      <c r="H168" t="inlineStr">
        <is>
          <t>19 Desember 2019</t>
        </is>
      </c>
      <c r="I168" s="2" t="n">
        <v>46228</v>
      </c>
      <c r="J168" t="inlineStr">
        <is>
          <t>Disetujui</t>
        </is>
      </c>
      <c r="K168" t="n">
        <v>30</v>
      </c>
      <c r="L168" t="inlineStr">
        <is>
          <t>25 Juli 2026</t>
        </is>
      </c>
      <c r="M168" t="inlineStr">
        <is>
          <t>Instalasi Peralatan Infrastruktur Pertambangan dan Manufaktur</t>
        </is>
      </c>
      <c r="N168" t="inlineStr">
        <is>
          <t>Spesialis</t>
        </is>
      </c>
      <c r="O168" t="inlineStr">
        <is>
          <t>20230709</t>
        </is>
      </c>
      <c r="P168" t="inlineStr">
        <is>
          <t>DKI Jakarta</t>
        </is>
      </c>
      <c r="Q168" t="inlineStr"/>
    </row>
    <row r="169">
      <c r="A169" t="inlineStr">
        <is>
          <t>STAR DIPLOMAT</t>
        </is>
      </c>
      <c r="B169" t="inlineStr">
        <is>
          <t>Kota Medan</t>
        </is>
      </c>
      <c r="C169" t="inlineStr">
        <is>
          <t>082166280868</t>
        </is>
      </c>
      <c r="D169" t="inlineStr">
        <is>
          <t>stardiplomat3@gmail.com</t>
        </is>
      </c>
      <c r="E169" t="inlineStr">
        <is>
          <t>https://lpjk.pu.go.id/search-badan-usaha-detail/eVZTa2htU1IzU3Exc0EyNTZXSTJidz09</t>
        </is>
      </c>
      <c r="F169" t="n">
        <v>1</v>
      </c>
      <c r="G169" t="inlineStr">
        <is>
          <t>BS010</t>
        </is>
      </c>
      <c r="H169" t="inlineStr">
        <is>
          <t>1 Januari 2018</t>
        </is>
      </c>
      <c r="I169" s="2" t="n">
        <v>46228</v>
      </c>
      <c r="J169" t="inlineStr">
        <is>
          <t>Disetujui</t>
        </is>
      </c>
      <c r="K169" t="n">
        <v>30</v>
      </c>
      <c r="L169" t="inlineStr">
        <is>
          <t>25 Juli 2026</t>
        </is>
      </c>
      <c r="M169" t="inlineStr">
        <is>
          <t>Konstruksi Bangunan Prasarana Sumber Daya Air</t>
        </is>
      </c>
      <c r="N169" t="inlineStr">
        <is>
          <t>K</t>
        </is>
      </c>
      <c r="O169" t="inlineStr">
        <is>
          <t>20230726</t>
        </is>
      </c>
      <c r="P169" t="inlineStr">
        <is>
          <t>Sumatera Utara</t>
        </is>
      </c>
      <c r="Q169" t="inlineStr"/>
    </row>
    <row r="170">
      <c r="A170" t="inlineStr">
        <is>
          <t>SURYA SARANA SENTOSA</t>
        </is>
      </c>
      <c r="B170" t="inlineStr">
        <is>
          <t>Kab. Sidoarjo</t>
        </is>
      </c>
      <c r="C170" t="inlineStr">
        <is>
          <t>0318956956</t>
        </is>
      </c>
      <c r="D170" t="inlineStr">
        <is>
          <t>surya_saranaku@yahoo.com</t>
        </is>
      </c>
      <c r="E170" t="inlineStr">
        <is>
          <t>https://lpjk.pu.go.id/search-badan-usaha-detail/eDUwa0RNRWRQNkVlcjRWS1pLNmNRUT09</t>
        </is>
      </c>
      <c r="F170" t="n">
        <v>1</v>
      </c>
      <c r="G170" t="inlineStr">
        <is>
          <t>IN007</t>
        </is>
      </c>
      <c r="H170" t="inlineStr">
        <is>
          <t>9 Agustus 2003</t>
        </is>
      </c>
      <c r="I170" s="2" t="n">
        <v>46228</v>
      </c>
      <c r="J170" t="inlineStr">
        <is>
          <t>Pembekuan</t>
        </is>
      </c>
      <c r="K170" t="n">
        <v>30</v>
      </c>
      <c r="L170" t="inlineStr">
        <is>
          <t>25 Juli 2026</t>
        </is>
      </c>
      <c r="M170" t="inlineStr">
        <is>
          <t>Instalasi Saluran Air (Plambing)</t>
        </is>
      </c>
      <c r="N170" t="inlineStr">
        <is>
          <t>Spesialis</t>
        </is>
      </c>
      <c r="O170" t="inlineStr">
        <is>
          <t>20230725</t>
        </is>
      </c>
      <c r="P170" t="inlineStr">
        <is>
          <t>Jawa Timur</t>
        </is>
      </c>
      <c r="Q170" t="inlineStr"/>
    </row>
    <row r="171">
      <c r="A171" t="inlineStr">
        <is>
          <t>SURYA WIJAYA</t>
        </is>
      </c>
      <c r="B171" t="inlineStr">
        <is>
          <t>Kab. Ngawi</t>
        </is>
      </c>
      <c r="C171" t="inlineStr">
        <is>
          <t>082244875346</t>
        </is>
      </c>
      <c r="D171" t="inlineStr">
        <is>
          <t>suryawijaya004@gmail.com</t>
        </is>
      </c>
      <c r="E171" t="inlineStr">
        <is>
          <t>https://lpjk.pu.go.id/search-badan-usaha-detail/TEZIb3pFK01MQmFPb0xTRklsc3YzZz09</t>
        </is>
      </c>
      <c r="F171" t="n">
        <v>1</v>
      </c>
      <c r="G171" t="inlineStr">
        <is>
          <t>BS001</t>
        </is>
      </c>
      <c r="H171" t="inlineStr">
        <is>
          <t>2 Februari 2017</t>
        </is>
      </c>
      <c r="I171" s="2" t="n">
        <v>46228</v>
      </c>
      <c r="J171" t="inlineStr">
        <is>
          <t>Disetujui</t>
        </is>
      </c>
      <c r="K171" t="n">
        <v>30</v>
      </c>
      <c r="L171" t="inlineStr">
        <is>
          <t>25 Juli 2026</t>
        </is>
      </c>
      <c r="M171" t="inlineStr">
        <is>
          <t>Konstruksi Bangunan Sipil Jalan</t>
        </is>
      </c>
      <c r="N171" t="inlineStr">
        <is>
          <t>K</t>
        </is>
      </c>
      <c r="O171" t="inlineStr">
        <is>
          <t>20230515</t>
        </is>
      </c>
      <c r="P171" t="inlineStr">
        <is>
          <t>Jawa Timur</t>
        </is>
      </c>
      <c r="Q171" t="inlineStr"/>
    </row>
    <row r="172">
      <c r="A172" t="inlineStr">
        <is>
          <t>TALAGA RANO</t>
        </is>
      </c>
      <c r="B172" t="inlineStr">
        <is>
          <t>Kab. Merauke</t>
        </is>
      </c>
      <c r="C172" t="inlineStr">
        <is>
          <t>081240333910</t>
        </is>
      </c>
      <c r="D172" t="inlineStr">
        <is>
          <t>talagarano23@gmail.com</t>
        </is>
      </c>
      <c r="E172" t="inlineStr">
        <is>
          <t>https://lpjk.pu.go.id/search-badan-usaha-detail/cEVoaDcvNlV0QU1CZHpvWVNCeDJOZz09</t>
        </is>
      </c>
      <c r="F172" t="n">
        <v>3</v>
      </c>
      <c r="G172" t="inlineStr">
        <is>
          <t>BG001, BG006, BS004</t>
        </is>
      </c>
      <c r="H172" t="inlineStr">
        <is>
          <t>17 Juli 2023</t>
        </is>
      </c>
      <c r="I172" s="2" t="n">
        <v>46228</v>
      </c>
      <c r="J172" t="inlineStr">
        <is>
          <t>Disetujui</t>
        </is>
      </c>
      <c r="K172" t="n">
        <v>30</v>
      </c>
      <c r="L172" t="inlineStr">
        <is>
          <t>25 Juli 2026</t>
        </is>
      </c>
      <c r="M172" t="inlineStr">
        <is>
          <t>Konstruksi Gedung Hunian, Konstruksi Gedung Pendidikan, Konstruksi Jaringan Irigasi dan Drainase</t>
        </is>
      </c>
      <c r="N172" t="inlineStr">
        <is>
          <t>K</t>
        </is>
      </c>
      <c r="O172" t="inlineStr">
        <is>
          <t>20230724, 20230726</t>
        </is>
      </c>
      <c r="P172" t="inlineStr">
        <is>
          <t>Papua Selatan</t>
        </is>
      </c>
      <c r="Q172" t="inlineStr"/>
    </row>
    <row r="173">
      <c r="A173" t="inlineStr">
        <is>
          <t>TALITA REKSA MANDIRI</t>
        </is>
      </c>
      <c r="B173" t="inlineStr">
        <is>
          <t>Kab. Tangerang</t>
        </is>
      </c>
      <c r="C173" t="inlineStr">
        <is>
          <t>081219524012</t>
        </is>
      </c>
      <c r="D173" t="inlineStr">
        <is>
          <t>talitareksa73@yahoo.com</t>
        </is>
      </c>
      <c r="E173" t="inlineStr">
        <is>
          <t>https://lpjk.pu.go.id/search-badan-usaha-detail/VnBKTWFEclZ1VUVYZTBWdzFDYldhZz09</t>
        </is>
      </c>
      <c r="F173" t="n">
        <v>2</v>
      </c>
      <c r="G173" t="inlineStr">
        <is>
          <t>BS001</t>
        </is>
      </c>
      <c r="H173" t="inlineStr">
        <is>
          <t>23 November 2018</t>
        </is>
      </c>
      <c r="I173" s="2" t="n">
        <v>46228</v>
      </c>
      <c r="J173" t="inlineStr">
        <is>
          <t>Disetujui</t>
        </is>
      </c>
      <c r="K173" t="n">
        <v>30</v>
      </c>
      <c r="L173" t="inlineStr">
        <is>
          <t>25 Juli 2026</t>
        </is>
      </c>
      <c r="M173" t="inlineStr">
        <is>
          <t>Konstruksi Bangunan Sipil Jalan</t>
        </is>
      </c>
      <c r="N173" t="inlineStr">
        <is>
          <t>K</t>
        </is>
      </c>
      <c r="O173" t="inlineStr">
        <is>
          <t>20230722</t>
        </is>
      </c>
      <c r="P173" t="inlineStr">
        <is>
          <t>Banten</t>
        </is>
      </c>
      <c r="Q173" t="inlineStr"/>
    </row>
    <row r="174">
      <c r="A174" t="inlineStr">
        <is>
          <t>TAMA MATAOLEO PERKASA</t>
        </is>
      </c>
      <c r="B174" t="inlineStr">
        <is>
          <t>Kab. Buton Utara</t>
        </is>
      </c>
      <c r="C174" t="inlineStr">
        <is>
          <t>082293195428</t>
        </is>
      </c>
      <c r="D174" t="inlineStr">
        <is>
          <t>cvtamamataoleoperkasa@gmail.com</t>
        </is>
      </c>
      <c r="E174" t="inlineStr">
        <is>
          <t>https://lpjk.pu.go.id/search-badan-usaha-detail/ME45L202NWhnb0xhaHJDT3p1MmM2dz09</t>
        </is>
      </c>
      <c r="F174" t="n">
        <v>1</v>
      </c>
      <c r="G174" t="inlineStr">
        <is>
          <t>BS004</t>
        </is>
      </c>
      <c r="H174" t="inlineStr">
        <is>
          <t>29 September 2021</t>
        </is>
      </c>
      <c r="I174" s="2" t="n">
        <v>46228</v>
      </c>
      <c r="J174" t="inlineStr">
        <is>
          <t>Disetujui</t>
        </is>
      </c>
      <c r="K174" t="n">
        <v>30</v>
      </c>
      <c r="L174" t="inlineStr">
        <is>
          <t>25 Juli 2026</t>
        </is>
      </c>
      <c r="M174" t="inlineStr">
        <is>
          <t>Konstruksi Jaringan Irigasi dan Drainase</t>
        </is>
      </c>
      <c r="N174" t="inlineStr">
        <is>
          <t>K</t>
        </is>
      </c>
      <c r="O174" t="inlineStr">
        <is>
          <t>20230719</t>
        </is>
      </c>
      <c r="P174" t="inlineStr">
        <is>
          <t>Sulawesi Tenggara</t>
        </is>
      </c>
      <c r="Q174" t="inlineStr"/>
    </row>
    <row r="175">
      <c r="A175" t="inlineStr">
        <is>
          <t>TATA LAKSANA KONSTRUKSI</t>
        </is>
      </c>
      <c r="B175" t="inlineStr">
        <is>
          <t>Kota Banjarbaru</t>
        </is>
      </c>
      <c r="C175" t="inlineStr">
        <is>
          <t>05117947105</t>
        </is>
      </c>
      <c r="D175" t="inlineStr">
        <is>
          <t>cv.tatalaksanakonstr@gmail.com</t>
        </is>
      </c>
      <c r="E175" t="inlineStr">
        <is>
          <t>https://lpjk.pu.go.id/search-badan-usaha-detail/YWJBWUNhTW5SL09kSzNJZFFpZnRXUT09</t>
        </is>
      </c>
      <c r="F175" t="n">
        <v>1</v>
      </c>
      <c r="G175" t="inlineStr">
        <is>
          <t>BS004</t>
        </is>
      </c>
      <c r="H175" t="inlineStr">
        <is>
          <t>14 Februari 2013</t>
        </is>
      </c>
      <c r="I175" s="2" t="n">
        <v>46228</v>
      </c>
      <c r="J175" t="inlineStr">
        <is>
          <t>Disetujui</t>
        </is>
      </c>
      <c r="K175" t="n">
        <v>30</v>
      </c>
      <c r="L175" t="inlineStr">
        <is>
          <t>25 Juli 2026</t>
        </is>
      </c>
      <c r="M175" t="inlineStr">
        <is>
          <t>Konstruksi Jaringan Irigasi dan Drainase</t>
        </is>
      </c>
      <c r="N175" t="inlineStr">
        <is>
          <t>K</t>
        </is>
      </c>
      <c r="O175" t="inlineStr">
        <is>
          <t>20230725</t>
        </is>
      </c>
      <c r="P175" t="inlineStr">
        <is>
          <t>Kalimantan Selatan</t>
        </is>
      </c>
      <c r="Q175" t="inlineStr"/>
    </row>
    <row r="176">
      <c r="A176" t="inlineStr">
        <is>
          <t>THREE DIMENSI CONSULTANT</t>
        </is>
      </c>
      <c r="B176" t="inlineStr">
        <is>
          <t>Kab. Kolaka Utara</t>
        </is>
      </c>
      <c r="C176" t="inlineStr">
        <is>
          <t>082238880063</t>
        </is>
      </c>
      <c r="D176" t="inlineStr">
        <is>
          <t>tigadimensi170382@gmail.com</t>
        </is>
      </c>
      <c r="E176" t="inlineStr">
        <is>
          <t>https://lpjk.pu.go.id/search-badan-usaha-detail/UEd3cU91Uk1sUXdrdU4wVU9LZk52dz09</t>
        </is>
      </c>
      <c r="F176" t="n">
        <v>1</v>
      </c>
      <c r="G176" t="inlineStr">
        <is>
          <t>RK001</t>
        </is>
      </c>
      <c r="H176" t="inlineStr">
        <is>
          <t>22 Februari 2021</t>
        </is>
      </c>
      <c r="I176" s="2" t="n">
        <v>46228</v>
      </c>
      <c r="J176" t="inlineStr">
        <is>
          <t>Disetujui</t>
        </is>
      </c>
      <c r="K176" t="n">
        <v>30</v>
      </c>
      <c r="L176" t="inlineStr">
        <is>
          <t>25 Juli 2026</t>
        </is>
      </c>
      <c r="M176" t="inlineStr">
        <is>
          <t>Jasa Rekayasa Konstruksi Bangunan Gedung Hunian dan Non Hunian</t>
        </is>
      </c>
      <c r="N176" t="inlineStr">
        <is>
          <t>K</t>
        </is>
      </c>
      <c r="O176" t="inlineStr">
        <is>
          <t>20230714</t>
        </is>
      </c>
      <c r="P176" t="inlineStr">
        <is>
          <t>Sulawesi Tenggara</t>
        </is>
      </c>
      <c r="Q176" t="inlineStr"/>
    </row>
    <row r="177">
      <c r="A177" t="inlineStr">
        <is>
          <t>THREE SI</t>
        </is>
      </c>
      <c r="B177" t="inlineStr">
        <is>
          <t>Kab. Sukabumi</t>
        </is>
      </c>
      <c r="C177" t="inlineStr">
        <is>
          <t>081563253812</t>
        </is>
      </c>
      <c r="D177" t="inlineStr">
        <is>
          <t>konsultanthreesi@gmail.com</t>
        </is>
      </c>
      <c r="E177" t="inlineStr">
        <is>
          <t>https://lpjk.pu.go.id/search-badan-usaha-detail/eGJQejRtdUQ5Q0Y3enBwUXF3d0s0QT09</t>
        </is>
      </c>
      <c r="F177" t="n">
        <v>1</v>
      </c>
      <c r="G177" t="inlineStr">
        <is>
          <t>RK001</t>
        </is>
      </c>
      <c r="H177" t="inlineStr">
        <is>
          <t>22 Juni 2012</t>
        </is>
      </c>
      <c r="I177" s="2" t="n">
        <v>46228</v>
      </c>
      <c r="J177" t="inlineStr">
        <is>
          <t>Disetujui</t>
        </is>
      </c>
      <c r="K177" t="n">
        <v>30</v>
      </c>
      <c r="L177" t="inlineStr">
        <is>
          <t>25 Juli 2026</t>
        </is>
      </c>
      <c r="M177" t="inlineStr">
        <is>
          <t>Jasa Rekayasa Konstruksi Bangunan Gedung Hunian dan Non Hunian</t>
        </is>
      </c>
      <c r="N177" t="inlineStr">
        <is>
          <t>K</t>
        </is>
      </c>
      <c r="O177" t="inlineStr">
        <is>
          <t>20230615</t>
        </is>
      </c>
      <c r="P177" t="inlineStr">
        <is>
          <t>Jawa Barat</t>
        </is>
      </c>
      <c r="Q177" t="inlineStr"/>
    </row>
    <row r="178">
      <c r="A178" t="inlineStr">
        <is>
          <t>TIGA SEPULUH SEJAHTERA</t>
        </is>
      </c>
      <c r="B178" t="inlineStr">
        <is>
          <t>Kab. Cianjur</t>
        </is>
      </c>
      <c r="C178" t="inlineStr">
        <is>
          <t>087747610001</t>
        </is>
      </c>
      <c r="D178" t="inlineStr">
        <is>
          <t>info.tigasepuluhsejahtera@gmail.com</t>
        </is>
      </c>
      <c r="E178" t="inlineStr">
        <is>
          <t>https://lpjk.pu.go.id/search-badan-usaha-detail/T3JMRkhtUmtyRFdMaDQ1cE0yVnlhQT09</t>
        </is>
      </c>
      <c r="F178" t="n">
        <v>4</v>
      </c>
      <c r="G178" t="inlineStr">
        <is>
          <t>BG005, BG006, BG009, BS001</t>
        </is>
      </c>
      <c r="H178" t="inlineStr">
        <is>
          <t>18 Februari 2023</t>
        </is>
      </c>
      <c r="I178" s="2" t="n">
        <v>46228</v>
      </c>
      <c r="J178" t="inlineStr">
        <is>
          <t>Disetujui</t>
        </is>
      </c>
      <c r="K178" t="n">
        <v>30</v>
      </c>
      <c r="L178" t="inlineStr">
        <is>
          <t>25 Juli 2026</t>
        </is>
      </c>
      <c r="M178" t="inlineStr">
        <is>
          <t>Konstruksi Bangunan Sipil Jalan, Konstruksi Gedung Kesehatan, Konstruksi Gedung Lainnya, Konstruksi Gedung Pendidikan</t>
        </is>
      </c>
      <c r="N178" t="inlineStr">
        <is>
          <t>K</t>
        </is>
      </c>
      <c r="O178" t="inlineStr">
        <is>
          <t>20230724</t>
        </is>
      </c>
      <c r="P178" t="inlineStr">
        <is>
          <t>Jawa Barat</t>
        </is>
      </c>
      <c r="Q178" t="inlineStr"/>
    </row>
    <row r="179">
      <c r="A179" t="inlineStr">
        <is>
          <t>TITIAN USAHA GRAHA UTAMA</t>
        </is>
      </c>
      <c r="B179" t="inlineStr">
        <is>
          <t>Kota Bandung</t>
        </is>
      </c>
      <c r="C179" t="inlineStr">
        <is>
          <t>02287241035</t>
        </is>
      </c>
      <c r="D179" t="inlineStr">
        <is>
          <t>tugu_pt@yahoo.co.id</t>
        </is>
      </c>
      <c r="E179" t="inlineStr">
        <is>
          <t>https://lpjk.pu.go.id/search-badan-usaha-detail/bnNBS21uS25xSlBVVzY0bHRrSm1GZz09</t>
        </is>
      </c>
      <c r="F179" t="n">
        <v>4</v>
      </c>
      <c r="G179" t="inlineStr">
        <is>
          <t>BG003, BG005</t>
        </is>
      </c>
      <c r="H179" t="inlineStr">
        <is>
          <t>16 Oktober 2006</t>
        </is>
      </c>
      <c r="I179" s="2" t="n">
        <v>46228</v>
      </c>
      <c r="J179" t="inlineStr">
        <is>
          <t>Disetujui</t>
        </is>
      </c>
      <c r="K179" t="n">
        <v>30</v>
      </c>
      <c r="L179" t="inlineStr">
        <is>
          <t>25 Juli 2026</t>
        </is>
      </c>
      <c r="M179" t="inlineStr">
        <is>
          <t>Konstruksi Gedung Industri, Konstruksi Gedung Kesehatan</t>
        </is>
      </c>
      <c r="N179" t="inlineStr">
        <is>
          <t>M</t>
        </is>
      </c>
      <c r="O179" t="inlineStr">
        <is>
          <t>20230717, 20230720</t>
        </is>
      </c>
      <c r="P179" t="inlineStr">
        <is>
          <t>Jawa Barat</t>
        </is>
      </c>
      <c r="Q179" t="inlineStr"/>
    </row>
    <row r="180">
      <c r="A180" t="inlineStr">
        <is>
          <t>TRI PUTRA JAYA SULTRA</t>
        </is>
      </c>
      <c r="B180" t="inlineStr">
        <is>
          <t>Kab. Kolaka</t>
        </is>
      </c>
      <c r="C180" t="inlineStr">
        <is>
          <t>085256611232</t>
        </is>
      </c>
      <c r="D180" t="inlineStr">
        <is>
          <t>sultratriputrajaya@yahoo.com</t>
        </is>
      </c>
      <c r="E180" t="inlineStr">
        <is>
          <t>https://lpjk.pu.go.id/search-badan-usaha-detail/T3FwS003a0MwS0RoVHZhaWZnZktKdz09</t>
        </is>
      </c>
      <c r="F180" t="n">
        <v>1</v>
      </c>
      <c r="G180" t="inlineStr">
        <is>
          <t>BS004</t>
        </is>
      </c>
      <c r="H180" t="inlineStr">
        <is>
          <t>26 Agustus 2019</t>
        </is>
      </c>
      <c r="I180" s="2" t="n">
        <v>46228</v>
      </c>
      <c r="J180" t="inlineStr">
        <is>
          <t>Disetujui</t>
        </is>
      </c>
      <c r="K180" t="n">
        <v>30</v>
      </c>
      <c r="L180" t="inlineStr">
        <is>
          <t>25 Juli 2026</t>
        </is>
      </c>
      <c r="M180" t="inlineStr">
        <is>
          <t>Konstruksi Jaringan Irigasi dan Drainase</t>
        </is>
      </c>
      <c r="N180" t="inlineStr">
        <is>
          <t>K</t>
        </is>
      </c>
      <c r="O180" t="inlineStr">
        <is>
          <t>20230216</t>
        </is>
      </c>
      <c r="P180" t="inlineStr">
        <is>
          <t>Sulawesi Tenggara</t>
        </is>
      </c>
      <c r="Q180" t="inlineStr"/>
    </row>
    <row r="181">
      <c r="A181" t="inlineStr">
        <is>
          <t>TRI PUTRA KARYA</t>
        </is>
      </c>
      <c r="B181" t="inlineStr">
        <is>
          <t>Kota Adm. Jakarta Barat</t>
        </is>
      </c>
      <c r="C181" t="inlineStr">
        <is>
          <t>0215800815</t>
        </is>
      </c>
      <c r="D181" t="inlineStr">
        <is>
          <t>tri.putrakarya@yahoo.co.id</t>
        </is>
      </c>
      <c r="E181" t="inlineStr">
        <is>
          <t>https://lpjk.pu.go.id/search-badan-usaha-detail/aXlBSGtHZCszUTFiQU1EN3BWUG5CUT09</t>
        </is>
      </c>
      <c r="F181" t="n">
        <v>1</v>
      </c>
      <c r="G181" t="inlineStr">
        <is>
          <t>BS001</t>
        </is>
      </c>
      <c r="H181" t="inlineStr">
        <is>
          <t>20 November 2002</t>
        </is>
      </c>
      <c r="I181" s="2" t="n">
        <v>46228</v>
      </c>
      <c r="J181" t="inlineStr">
        <is>
          <t>Pencabutan</t>
        </is>
      </c>
      <c r="K181" t="n">
        <v>30</v>
      </c>
      <c r="L181" t="inlineStr">
        <is>
          <t>25 Juli 2026</t>
        </is>
      </c>
      <c r="M181" t="inlineStr">
        <is>
          <t>Konstruksi Bangunan Sipil Jalan</t>
        </is>
      </c>
      <c r="N181" t="inlineStr">
        <is>
          <t>K</t>
        </is>
      </c>
      <c r="O181" t="inlineStr">
        <is>
          <t>20230725</t>
        </is>
      </c>
      <c r="P181" t="inlineStr">
        <is>
          <t>DKI Jakarta</t>
        </is>
      </c>
      <c r="Q181" t="inlineStr"/>
    </row>
    <row r="182">
      <c r="A182" t="inlineStr">
        <is>
          <t>TRI PUTRA PERKASA</t>
        </is>
      </c>
      <c r="B182" t="inlineStr">
        <is>
          <t>Kota Gorontalo</t>
        </is>
      </c>
      <c r="C182" t="inlineStr">
        <is>
          <t>085299499264</t>
        </is>
      </c>
      <c r="D182" t="inlineStr">
        <is>
          <t>cvtriputraperkasa.gorontalo@gmail.com</t>
        </is>
      </c>
      <c r="E182" t="inlineStr">
        <is>
          <t>https://lpjk.pu.go.id/search-badan-usaha-detail/ZWFjdnJYNXE4bjBzSzRCOWF4WnJnQT09</t>
        </is>
      </c>
      <c r="F182" t="n">
        <v>2</v>
      </c>
      <c r="G182" t="inlineStr">
        <is>
          <t>BS001, BS004</t>
        </is>
      </c>
      <c r="H182" t="inlineStr">
        <is>
          <t>19 Februari 2018</t>
        </is>
      </c>
      <c r="I182" s="2" t="n">
        <v>46228</v>
      </c>
      <c r="J182" t="inlineStr">
        <is>
          <t>Disetujui</t>
        </is>
      </c>
      <c r="K182" t="n">
        <v>30</v>
      </c>
      <c r="L182" t="inlineStr">
        <is>
          <t>25 Juli 2026</t>
        </is>
      </c>
      <c r="M182" t="inlineStr">
        <is>
          <t>Konstruksi Bangunan Sipil Jalan, Konstruksi Jaringan Irigasi dan Drainase</t>
        </is>
      </c>
      <c r="N182" t="inlineStr">
        <is>
          <t>K</t>
        </is>
      </c>
      <c r="O182" t="inlineStr">
        <is>
          <t>20230722, 20230723</t>
        </is>
      </c>
      <c r="P182" t="inlineStr">
        <is>
          <t>Gorontalo</t>
        </is>
      </c>
      <c r="Q182" t="inlineStr"/>
    </row>
    <row r="183">
      <c r="A183" t="inlineStr">
        <is>
          <t>TRI SANDYA DESAIN ARSITEKTUR</t>
        </is>
      </c>
      <c r="B183" t="inlineStr">
        <is>
          <t>Kota Adm. Jakarta Selatan</t>
        </is>
      </c>
      <c r="C183" t="inlineStr">
        <is>
          <t>082194060606</t>
        </is>
      </c>
      <c r="D183" t="inlineStr">
        <is>
          <t>pt.trisandyadesainarsitektur@gmail.com</t>
        </is>
      </c>
      <c r="E183" t="inlineStr">
        <is>
          <t>https://lpjk.pu.go.id/search-badan-usaha-detail/eFhkVU1DbDRkbWtJZHZPZ0tLUG04QT09</t>
        </is>
      </c>
      <c r="F183" t="n">
        <v>2</v>
      </c>
      <c r="G183" t="inlineStr">
        <is>
          <t>BG001, BG002</t>
        </is>
      </c>
      <c r="H183" t="inlineStr">
        <is>
          <t>30 Mei 2023</t>
        </is>
      </c>
      <c r="I183" s="2" t="n">
        <v>46228</v>
      </c>
      <c r="J183" t="inlineStr">
        <is>
          <t>Disetujui</t>
        </is>
      </c>
      <c r="K183" t="n">
        <v>30</v>
      </c>
      <c r="L183" t="inlineStr">
        <is>
          <t>25 Juli 2026</t>
        </is>
      </c>
      <c r="M183" t="inlineStr">
        <is>
          <t>Konstruksi Gedung Hunian, Konstruksi Gedung Perkantoran</t>
        </is>
      </c>
      <c r="N183" t="inlineStr">
        <is>
          <t>K</t>
        </is>
      </c>
      <c r="O183" t="inlineStr">
        <is>
          <t>20230614, 20230726</t>
        </is>
      </c>
      <c r="P183" t="inlineStr">
        <is>
          <t>DKI Jakarta</t>
        </is>
      </c>
      <c r="Q183" t="inlineStr"/>
    </row>
    <row r="184">
      <c r="A184" t="inlineStr">
        <is>
          <t>TRIADHI PUTRA</t>
        </is>
      </c>
      <c r="B184" t="inlineStr">
        <is>
          <t>Kab. Tojo Una Una</t>
        </is>
      </c>
      <c r="C184" t="inlineStr">
        <is>
          <t>083892342682</t>
        </is>
      </c>
      <c r="D184" t="inlineStr">
        <is>
          <t>tradhiputra86@gmail.com</t>
        </is>
      </c>
      <c r="E184" t="inlineStr">
        <is>
          <t>https://lpjk.pu.go.id/search-badan-usaha-detail/MkVldlArb0pnbm4vNlpEeUVRcFdBZz09</t>
        </is>
      </c>
      <c r="F184" t="n">
        <v>1</v>
      </c>
      <c r="G184" t="inlineStr">
        <is>
          <t>BS010</t>
        </is>
      </c>
      <c r="H184" t="inlineStr">
        <is>
          <t>2 Februari 2007</t>
        </is>
      </c>
      <c r="I184" s="2" t="n">
        <v>46228</v>
      </c>
      <c r="J184" t="inlineStr">
        <is>
          <t>Pencabutan</t>
        </is>
      </c>
      <c r="K184" t="n">
        <v>30</v>
      </c>
      <c r="L184" t="inlineStr">
        <is>
          <t>25 Juli 2026</t>
        </is>
      </c>
      <c r="M184" t="inlineStr">
        <is>
          <t>Konstruksi Bangunan Prasarana Sumber Daya Air</t>
        </is>
      </c>
      <c r="N184" t="inlineStr">
        <is>
          <t>K</t>
        </is>
      </c>
      <c r="O184" t="inlineStr">
        <is>
          <t>20230725</t>
        </is>
      </c>
      <c r="P184" t="inlineStr">
        <is>
          <t>Sulawesi Tengah</t>
        </is>
      </c>
      <c r="Q184" t="inlineStr"/>
    </row>
    <row r="185">
      <c r="A185" t="inlineStr">
        <is>
          <t>TUJUH LANGIT UTARA</t>
        </is>
      </c>
      <c r="B185" t="inlineStr">
        <is>
          <t>Kab. Tanah Bumbu</t>
        </is>
      </c>
      <c r="C185" t="inlineStr">
        <is>
          <t>085251325002</t>
        </is>
      </c>
      <c r="D185" t="inlineStr">
        <is>
          <t>cv.7langit.utara@gmail.com</t>
        </is>
      </c>
      <c r="E185" t="inlineStr">
        <is>
          <t>https://lpjk.pu.go.id/search-badan-usaha-detail/MTcwMkJSMXdPd2V2ZWFOS2tVMmNQQT09</t>
        </is>
      </c>
      <c r="F185" t="n">
        <v>1</v>
      </c>
      <c r="G185" t="inlineStr">
        <is>
          <t>BS002</t>
        </is>
      </c>
      <c r="H185" t="inlineStr">
        <is>
          <t>25 November 2019</t>
        </is>
      </c>
      <c r="I185" s="2" t="n">
        <v>46228</v>
      </c>
      <c r="J185" t="inlineStr">
        <is>
          <t>Disetujui</t>
        </is>
      </c>
      <c r="K185" t="n">
        <v>30</v>
      </c>
      <c r="L185" t="inlineStr">
        <is>
          <t>25 Juli 2026</t>
        </is>
      </c>
      <c r="M185" t="inlineStr">
        <is>
          <t>Bangunan Sipil Jembatan, Jalan Layang, Fly Over, dan Underpass</t>
        </is>
      </c>
      <c r="N185" t="inlineStr">
        <is>
          <t>K</t>
        </is>
      </c>
      <c r="O185" t="inlineStr">
        <is>
          <t>20230722</t>
        </is>
      </c>
      <c r="P185" t="inlineStr">
        <is>
          <t>Kalimantan Selatan</t>
        </is>
      </c>
      <c r="Q185" t="inlineStr"/>
    </row>
    <row r="186">
      <c r="A186" t="inlineStr">
        <is>
          <t>TUNAS NUSA</t>
        </is>
      </c>
      <c r="B186" t="inlineStr">
        <is>
          <t>Kota Pontianak</t>
        </is>
      </c>
      <c r="C186" t="inlineStr">
        <is>
          <t>085752026907</t>
        </is>
      </c>
      <c r="D186" t="inlineStr">
        <is>
          <t>tunasnusacv@gmail.com</t>
        </is>
      </c>
      <c r="E186" t="inlineStr">
        <is>
          <t>https://lpjk.pu.go.id/search-badan-usaha-detail/a1dURGJXN3kycm0xREJPcFphOHdzdz09</t>
        </is>
      </c>
      <c r="F186" t="n">
        <v>1</v>
      </c>
      <c r="G186" t="inlineStr">
        <is>
          <t>BS004</t>
        </is>
      </c>
      <c r="H186" t="inlineStr">
        <is>
          <t>22 Mei 2023</t>
        </is>
      </c>
      <c r="I186" s="2" t="n">
        <v>46228</v>
      </c>
      <c r="J186" t="inlineStr">
        <is>
          <t>Disetujui</t>
        </is>
      </c>
      <c r="K186" t="n">
        <v>30</v>
      </c>
      <c r="L186" t="inlineStr">
        <is>
          <t>25 Juli 2026</t>
        </is>
      </c>
      <c r="M186" t="inlineStr">
        <is>
          <t>Konstruksi Jaringan Irigasi dan Drainase</t>
        </is>
      </c>
      <c r="N186" t="inlineStr">
        <is>
          <t>K</t>
        </is>
      </c>
      <c r="O186" t="inlineStr">
        <is>
          <t>20230718</t>
        </is>
      </c>
      <c r="P186" t="inlineStr">
        <is>
          <t>Kalimantan Barat</t>
        </is>
      </c>
      <c r="Q186" t="inlineStr"/>
    </row>
    <row r="187">
      <c r="A187" t="inlineStr">
        <is>
          <t>USAHA MAJU KALIMANTAN</t>
        </is>
      </c>
      <c r="B187" t="inlineStr">
        <is>
          <t>Kab. Hulu Sungai Tengah</t>
        </is>
      </c>
      <c r="C187" t="inlineStr">
        <is>
          <t>085821180519</t>
        </is>
      </c>
      <c r="D187" t="inlineStr">
        <is>
          <t>usahamajukalimantan@gmail.com</t>
        </is>
      </c>
      <c r="E187" t="inlineStr">
        <is>
          <t>https://lpjk.pu.go.id/search-badan-usaha-detail/VHd0TDVGdXdiY01BakFqWHJPb05vZz09</t>
        </is>
      </c>
      <c r="F187" t="n">
        <v>3</v>
      </c>
      <c r="G187" t="inlineStr">
        <is>
          <t>BG001, BG006, BG009</t>
        </is>
      </c>
      <c r="H187" t="inlineStr">
        <is>
          <t>14 Februari 2023</t>
        </is>
      </c>
      <c r="I187" s="2" t="n">
        <v>46228</v>
      </c>
      <c r="J187" t="inlineStr">
        <is>
          <t>Disetujui</t>
        </is>
      </c>
      <c r="K187" t="n">
        <v>30</v>
      </c>
      <c r="L187" t="inlineStr">
        <is>
          <t>25 Juli 2026</t>
        </is>
      </c>
      <c r="M187" t="inlineStr">
        <is>
          <t>Konstruksi Gedung Hunian, Konstruksi Gedung Lainnya, Konstruksi Gedung Pendidikan</t>
        </is>
      </c>
      <c r="N187" t="inlineStr">
        <is>
          <t>K</t>
        </is>
      </c>
      <c r="O187" t="inlineStr">
        <is>
          <t>20230617, 20230725</t>
        </is>
      </c>
      <c r="P187" t="inlineStr">
        <is>
          <t>Kalimantan Selatan</t>
        </is>
      </c>
      <c r="Q187" t="inlineStr"/>
    </row>
    <row r="188">
      <c r="A188" t="inlineStr">
        <is>
          <t>VIRAN KARYA KONSTRUKSI</t>
        </is>
      </c>
      <c r="B188" t="inlineStr">
        <is>
          <t>Kab. Raja Ampat</t>
        </is>
      </c>
      <c r="C188" t="inlineStr">
        <is>
          <t>081285899155</t>
        </is>
      </c>
      <c r="D188" t="inlineStr">
        <is>
          <t>virankarya@gmail.com</t>
        </is>
      </c>
      <c r="E188" t="inlineStr">
        <is>
          <t>https://lpjk.pu.go.id/search-badan-usaha-detail/ZzZtV2prNmtVUjJDNVp3UXFkT005QT09</t>
        </is>
      </c>
      <c r="F188" t="n">
        <v>1</v>
      </c>
      <c r="G188" t="inlineStr">
        <is>
          <t>BG006</t>
        </is>
      </c>
      <c r="H188" t="inlineStr">
        <is>
          <t>27 Mei 2021</t>
        </is>
      </c>
      <c r="I188" s="2" t="n">
        <v>46228</v>
      </c>
      <c r="J188" t="inlineStr">
        <is>
          <t>Disetujui</t>
        </is>
      </c>
      <c r="K188" t="n">
        <v>30</v>
      </c>
      <c r="L188" t="inlineStr">
        <is>
          <t>25 Juli 2026</t>
        </is>
      </c>
      <c r="M188" t="inlineStr">
        <is>
          <t>Konstruksi Gedung Pendidikan</t>
        </is>
      </c>
      <c r="N188" t="inlineStr">
        <is>
          <t>K</t>
        </is>
      </c>
      <c r="O188" t="inlineStr">
        <is>
          <t>20230720</t>
        </is>
      </c>
      <c r="P188" t="inlineStr">
        <is>
          <t>Papua Barat</t>
        </is>
      </c>
      <c r="Q188" t="inlineStr"/>
    </row>
    <row r="189">
      <c r="A189" t="inlineStr">
        <is>
          <t>WAE RENGGE</t>
        </is>
      </c>
      <c r="B189" t="inlineStr">
        <is>
          <t>Kab. Manggarai</t>
        </is>
      </c>
      <c r="C189" t="inlineStr">
        <is>
          <t>082144492474</t>
        </is>
      </c>
      <c r="D189" t="inlineStr">
        <is>
          <t>waerengge17@gmail.com</t>
        </is>
      </c>
      <c r="E189" t="inlineStr">
        <is>
          <t>https://lpjk.pu.go.id/search-badan-usaha-detail/OTVoWHR4WXVYbG9ISGxKWlRqS002UT09</t>
        </is>
      </c>
      <c r="F189" t="n">
        <v>4</v>
      </c>
      <c r="G189" t="inlineStr">
        <is>
          <t>BG006, BS001</t>
        </is>
      </c>
      <c r="H189" t="inlineStr">
        <is>
          <t>24 Januari 2007</t>
        </is>
      </c>
      <c r="I189" s="2" t="n">
        <v>46228</v>
      </c>
      <c r="J189" t="inlineStr">
        <is>
          <t>Disetujui</t>
        </is>
      </c>
      <c r="K189" t="n">
        <v>30</v>
      </c>
      <c r="L189" t="inlineStr">
        <is>
          <t>25 Juli 2026</t>
        </is>
      </c>
      <c r="M189" t="inlineStr">
        <is>
          <t>Konstruksi Bangunan Sipil Jalan, Konstruksi Gedung Pendidikan</t>
        </is>
      </c>
      <c r="N189" t="inlineStr">
        <is>
          <t>K</t>
        </is>
      </c>
      <c r="O189" t="inlineStr">
        <is>
          <t>20230726</t>
        </is>
      </c>
      <c r="P189" t="inlineStr">
        <is>
          <t>Nusa Tenggara Timur</t>
        </is>
      </c>
      <c r="Q189" t="inlineStr"/>
    </row>
    <row r="190">
      <c r="A190" t="inlineStr">
        <is>
          <t>WAHANA KONSTRUKSI TEKNIK</t>
        </is>
      </c>
      <c r="B190" t="inlineStr">
        <is>
          <t>Kab. Serdang Bedagai</t>
        </is>
      </c>
      <c r="C190" t="inlineStr">
        <is>
          <t>081260117685</t>
        </is>
      </c>
      <c r="D190" t="inlineStr">
        <is>
          <t>ptwahanakonstruksi@yahoo.com</t>
        </is>
      </c>
      <c r="E190" t="inlineStr">
        <is>
          <t>https://lpjk.pu.go.id/search-badan-usaha-detail/amNBRmVCcHAzUzI0UjRCMFN3eTh0QT09</t>
        </is>
      </c>
      <c r="F190" t="n">
        <v>1</v>
      </c>
      <c r="G190" t="inlineStr">
        <is>
          <t>BS001</t>
        </is>
      </c>
      <c r="H190" t="inlineStr">
        <is>
          <t>26 Mei 2023</t>
        </is>
      </c>
      <c r="I190" s="2" t="n">
        <v>46228</v>
      </c>
      <c r="J190" t="inlineStr">
        <is>
          <t>Disetujui</t>
        </is>
      </c>
      <c r="K190" t="n">
        <v>30</v>
      </c>
      <c r="L190" t="inlineStr">
        <is>
          <t>25 Juli 2026</t>
        </is>
      </c>
      <c r="M190" t="inlineStr">
        <is>
          <t>Konstruksi Bangunan Sipil Jalan</t>
        </is>
      </c>
      <c r="N190" t="inlineStr">
        <is>
          <t>K</t>
        </is>
      </c>
      <c r="O190" t="inlineStr">
        <is>
          <t>20230724</t>
        </is>
      </c>
      <c r="P190" t="inlineStr">
        <is>
          <t>Sumatera Utara</t>
        </is>
      </c>
      <c r="Q190" t="inlineStr"/>
    </row>
    <row r="191">
      <c r="A191" t="inlineStr">
        <is>
          <t>WAHANA MAKMUR KARYA</t>
        </is>
      </c>
      <c r="B191" t="inlineStr">
        <is>
          <t>Kab. Grobogan</t>
        </is>
      </c>
      <c r="C191" t="inlineStr">
        <is>
          <t>085641823185</t>
        </is>
      </c>
      <c r="D191" t="inlineStr">
        <is>
          <t>ariwahono85@gmail.com</t>
        </is>
      </c>
      <c r="E191" t="inlineStr">
        <is>
          <t>https://lpjk.pu.go.id/search-badan-usaha-detail/dzlBbWt6c3BIT3JFUUxqdEh0bDc4UT09</t>
        </is>
      </c>
      <c r="F191" t="n">
        <v>1</v>
      </c>
      <c r="G191" t="inlineStr">
        <is>
          <t>BG006</t>
        </is>
      </c>
      <c r="H191" t="inlineStr">
        <is>
          <t>3 Juli 2019</t>
        </is>
      </c>
      <c r="I191" s="2" t="n">
        <v>46228</v>
      </c>
      <c r="J191" t="inlineStr">
        <is>
          <t>Disetujui</t>
        </is>
      </c>
      <c r="K191" t="n">
        <v>30</v>
      </c>
      <c r="L191" t="inlineStr">
        <is>
          <t>25 Juli 2026</t>
        </is>
      </c>
      <c r="M191" t="inlineStr">
        <is>
          <t>Konstruksi Gedung Pendidikan</t>
        </is>
      </c>
      <c r="N191" t="inlineStr">
        <is>
          <t>K</t>
        </is>
      </c>
      <c r="O191" t="inlineStr">
        <is>
          <t>20230725</t>
        </is>
      </c>
      <c r="P191" t="inlineStr">
        <is>
          <t>Jawa Tengah</t>
        </is>
      </c>
      <c r="Q191" t="inlineStr"/>
    </row>
    <row r="192">
      <c r="A192" t="inlineStr">
        <is>
          <t>WAHANA PUTRA MANDIRI</t>
        </is>
      </c>
      <c r="B192" t="inlineStr">
        <is>
          <t>Kab. Cianjur</t>
        </is>
      </c>
      <c r="C192" t="inlineStr">
        <is>
          <t>081317877769</t>
        </is>
      </c>
      <c r="D192" t="inlineStr">
        <is>
          <t>dansutisna@yahoo.com</t>
        </is>
      </c>
      <c r="E192" t="inlineStr">
        <is>
          <t>https://lpjk.pu.go.id/search-badan-usaha-detail/T2ppNTJad1NLMW05dUxtdzZ2R293QT09</t>
        </is>
      </c>
      <c r="F192" t="n">
        <v>1</v>
      </c>
      <c r="G192" t="inlineStr">
        <is>
          <t>BS001</t>
        </is>
      </c>
      <c r="H192" t="inlineStr">
        <is>
          <t>18 April 1973</t>
        </is>
      </c>
      <c r="I192" s="2" t="n">
        <v>46228</v>
      </c>
      <c r="J192" t="inlineStr">
        <is>
          <t>Disetujui</t>
        </is>
      </c>
      <c r="K192" t="n">
        <v>30</v>
      </c>
      <c r="L192" t="inlineStr">
        <is>
          <t>25 Juli 2026</t>
        </is>
      </c>
      <c r="M192" t="inlineStr">
        <is>
          <t>Konstruksi Bangunan Sipil Jalan</t>
        </is>
      </c>
      <c r="N192" t="inlineStr">
        <is>
          <t>K</t>
        </is>
      </c>
      <c r="O192" t="inlineStr">
        <is>
          <t>20220223</t>
        </is>
      </c>
      <c r="P192" t="inlineStr">
        <is>
          <t>Jawa Barat</t>
        </is>
      </c>
      <c r="Q192" t="inlineStr"/>
    </row>
    <row r="193">
      <c r="A193" t="inlineStr">
        <is>
          <t>WAHYU MATRA KONTRAKTOR</t>
        </is>
      </c>
      <c r="B193" t="inlineStr">
        <is>
          <t>Kota Palembang</t>
        </is>
      </c>
      <c r="C193" t="inlineStr">
        <is>
          <t>081294715314</t>
        </is>
      </c>
      <c r="D193" t="inlineStr">
        <is>
          <t>wahyumatra@yahoo.co.id</t>
        </is>
      </c>
      <c r="E193" t="inlineStr">
        <is>
          <t>https://lpjk.pu.go.id/search-badan-usaha-detail/ZE53ZFFFZ3hUaTI3UE5CY01CcEROdz09</t>
        </is>
      </c>
      <c r="F193" t="n">
        <v>1</v>
      </c>
      <c r="G193" t="inlineStr">
        <is>
          <t>BS010</t>
        </is>
      </c>
      <c r="H193" t="inlineStr">
        <is>
          <t>1 September 1999</t>
        </is>
      </c>
      <c r="I193" s="2" t="n">
        <v>46228</v>
      </c>
      <c r="J193" t="inlineStr">
        <is>
          <t>Disetujui</t>
        </is>
      </c>
      <c r="K193" t="n">
        <v>30</v>
      </c>
      <c r="L193" t="inlineStr">
        <is>
          <t>25 Juli 2026</t>
        </is>
      </c>
      <c r="M193" t="inlineStr">
        <is>
          <t>Konstruksi Bangunan Prasarana Sumber Daya Air</t>
        </is>
      </c>
      <c r="N193" t="inlineStr">
        <is>
          <t>M</t>
        </is>
      </c>
      <c r="O193" t="inlineStr">
        <is>
          <t>20230721</t>
        </is>
      </c>
      <c r="P193" t="inlineStr">
        <is>
          <t>Sumatera Selatan</t>
        </is>
      </c>
      <c r="Q193" t="inlineStr"/>
    </row>
    <row r="194">
      <c r="A194" t="inlineStr">
        <is>
          <t>WARU KARYA ENGINEERING</t>
        </is>
      </c>
      <c r="B194" t="inlineStr">
        <is>
          <t>Kab. Sidoarjo</t>
        </is>
      </c>
      <c r="C194" t="inlineStr">
        <is>
          <t>08121732748</t>
        </is>
      </c>
      <c r="D194" t="inlineStr">
        <is>
          <t>warukarya.engineering@gmail.com</t>
        </is>
      </c>
      <c r="E194" t="inlineStr">
        <is>
          <t>https://lpjk.pu.go.id/search-badan-usaha-detail/c0tIM2pIQWUxNWNtaTBuelBPZkF4Zz09</t>
        </is>
      </c>
      <c r="F194" t="n">
        <v>1</v>
      </c>
      <c r="G194" t="inlineStr">
        <is>
          <t>BS002</t>
        </is>
      </c>
      <c r="H194" t="inlineStr">
        <is>
          <t>20 Juli 2016</t>
        </is>
      </c>
      <c r="I194" s="2" t="n">
        <v>46228</v>
      </c>
      <c r="J194" t="inlineStr">
        <is>
          <t>Disetujui</t>
        </is>
      </c>
      <c r="K194" t="n">
        <v>30</v>
      </c>
      <c r="L194" t="inlineStr">
        <is>
          <t>25 Juli 2026</t>
        </is>
      </c>
      <c r="M194" t="inlineStr">
        <is>
          <t>Bangunan Sipil Jembatan, Jalan Layang, Fly Over, dan Underpass</t>
        </is>
      </c>
      <c r="N194" t="inlineStr">
        <is>
          <t>K</t>
        </is>
      </c>
      <c r="O194" t="inlineStr">
        <is>
          <t>20230725</t>
        </is>
      </c>
      <c r="P194" t="inlineStr">
        <is>
          <t>Jawa Timur</t>
        </is>
      </c>
      <c r="Q194" t="inlineStr"/>
    </row>
    <row r="195">
      <c r="A195" t="inlineStr">
        <is>
          <t>WHISNU RIZKY PRATAMA</t>
        </is>
      </c>
      <c r="B195" t="inlineStr">
        <is>
          <t>Kab. Bandung Barat</t>
        </is>
      </c>
      <c r="C195" t="inlineStr">
        <is>
          <t>081214454430</t>
        </is>
      </c>
      <c r="D195" t="inlineStr">
        <is>
          <t>whisnurizkypratama@gmail.com</t>
        </is>
      </c>
      <c r="E195" t="inlineStr">
        <is>
          <t>https://lpjk.pu.go.id/search-badan-usaha-detail/QXJWKzU5UlYyY2FGbWc2bEd0TGJoUT09</t>
        </is>
      </c>
      <c r="F195" t="n">
        <v>5</v>
      </c>
      <c r="G195" t="inlineStr">
        <is>
          <t>BG001, BG002, BG003, BG004, BG009</t>
        </is>
      </c>
      <c r="H195" t="inlineStr">
        <is>
          <t>27 Juni 2023</t>
        </is>
      </c>
      <c r="I195" s="2" t="n">
        <v>46228</v>
      </c>
      <c r="J195" t="inlineStr">
        <is>
          <t>Disetujui</t>
        </is>
      </c>
      <c r="K195" t="n">
        <v>30</v>
      </c>
      <c r="L195" t="inlineStr">
        <is>
          <t>25 Juli 2026</t>
        </is>
      </c>
      <c r="M195" t="inlineStr">
        <is>
          <t>Konstruksi Gedung Hunian, Konstruksi Gedung Industri, Konstruksi Gedung Lainnya, Konstruksi Gedung Perbelanjaan, Konstruksi Gedung Perkantoran</t>
        </is>
      </c>
      <c r="N195" t="inlineStr">
        <is>
          <t>K</t>
        </is>
      </c>
      <c r="O195" t="inlineStr">
        <is>
          <t>20230725</t>
        </is>
      </c>
      <c r="P195" t="inlineStr">
        <is>
          <t>Jawa Barat</t>
        </is>
      </c>
      <c r="Q195" t="inlineStr"/>
    </row>
    <row r="196">
      <c r="A196" t="inlineStr">
        <is>
          <t>WIDYA CIPTA KONSULINDO</t>
        </is>
      </c>
      <c r="B196" t="inlineStr">
        <is>
          <t>Kota Bandung</t>
        </is>
      </c>
      <c r="C196" t="inlineStr">
        <is>
          <t>081214551414</t>
        </is>
      </c>
      <c r="D196" t="inlineStr">
        <is>
          <t>widyaciptakonsulindo.pt@gmail.com</t>
        </is>
      </c>
      <c r="E196" t="inlineStr">
        <is>
          <t>https://lpjk.pu.go.id/search-badan-usaha-detail/Z1JSTzJGSGdZbkdNNHQ3cytGQzlrZz09</t>
        </is>
      </c>
      <c r="F196" t="n">
        <v>2</v>
      </c>
      <c r="G196" t="inlineStr">
        <is>
          <t>RK002, RK005</t>
        </is>
      </c>
      <c r="H196" t="inlineStr">
        <is>
          <t>23 Maret 2021</t>
        </is>
      </c>
      <c r="I196" s="2" t="n">
        <v>46228</v>
      </c>
      <c r="J196" t="inlineStr">
        <is>
          <t>Disetujui</t>
        </is>
      </c>
      <c r="K196" t="n">
        <v>30</v>
      </c>
      <c r="L196" t="inlineStr">
        <is>
          <t>25 Juli 2026</t>
        </is>
      </c>
      <c r="M196" t="inlineStr">
        <is>
          <t>Jasa Rekayasa Lainnya, Jasa Rekayasa Pekerjaan Teknik Sipil Sumber Daya Air</t>
        </is>
      </c>
      <c r="N196" t="inlineStr">
        <is>
          <t>K</t>
        </is>
      </c>
      <c r="O196" t="inlineStr">
        <is>
          <t>20230711</t>
        </is>
      </c>
      <c r="P196" t="inlineStr">
        <is>
          <t>Jawa Barat</t>
        </is>
      </c>
      <c r="Q196" t="inlineStr"/>
    </row>
    <row r="197">
      <c r="A197" t="inlineStr">
        <is>
          <t>WIDYA CITRA LESTARI</t>
        </is>
      </c>
      <c r="B197" t="inlineStr">
        <is>
          <t>Kab. Garut</t>
        </is>
      </c>
      <c r="C197" t="inlineStr">
        <is>
          <t>085316496616</t>
        </is>
      </c>
      <c r="D197" t="inlineStr">
        <is>
          <t>aangtatang@yahoo.com</t>
        </is>
      </c>
      <c r="E197" t="inlineStr">
        <is>
          <t>https://lpjk.pu.go.id/search-badan-usaha-detail/U3UydHdwR2NNVnRTVTl2NkYwdWs5Zz09</t>
        </is>
      </c>
      <c r="F197" t="n">
        <v>1</v>
      </c>
      <c r="G197" t="inlineStr">
        <is>
          <t>BG006</t>
        </is>
      </c>
      <c r="H197" t="inlineStr">
        <is>
          <t>14 Oktober 2011</t>
        </is>
      </c>
      <c r="I197" s="2" t="n">
        <v>46228</v>
      </c>
      <c r="J197" t="inlineStr">
        <is>
          <t>Disetujui</t>
        </is>
      </c>
      <c r="K197" t="n">
        <v>30</v>
      </c>
      <c r="L197" t="inlineStr">
        <is>
          <t>25 Juli 2026</t>
        </is>
      </c>
      <c r="M197" t="inlineStr">
        <is>
          <t>Konstruksi Gedung Pendidikan</t>
        </is>
      </c>
      <c r="N197" t="inlineStr">
        <is>
          <t>K</t>
        </is>
      </c>
      <c r="O197" t="inlineStr">
        <is>
          <t>20230724</t>
        </is>
      </c>
      <c r="P197" t="inlineStr">
        <is>
          <t>Jawa Barat</t>
        </is>
      </c>
      <c r="Q197" t="inlineStr"/>
    </row>
    <row r="198">
      <c r="A198" t="inlineStr">
        <is>
          <t>WIJA MASAGENA</t>
        </is>
      </c>
      <c r="B198" t="inlineStr">
        <is>
          <t>Kab. Majene</t>
        </is>
      </c>
      <c r="C198" t="inlineStr">
        <is>
          <t>082271584191</t>
        </is>
      </c>
      <c r="D198" t="inlineStr">
        <is>
          <t>wijamasagena@gmail.com</t>
        </is>
      </c>
      <c r="E198" t="inlineStr">
        <is>
          <t>https://lpjk.pu.go.id/search-badan-usaha-detail/anhqU0dTek9ueCt2UzJaK3N0SFdwdz09</t>
        </is>
      </c>
      <c r="F198" t="n">
        <v>5</v>
      </c>
      <c r="G198" t="inlineStr">
        <is>
          <t>BG002, BG005, BG006, BG009, BS001</t>
        </is>
      </c>
      <c r="H198" t="inlineStr">
        <is>
          <t>14 Juli 2023</t>
        </is>
      </c>
      <c r="I198" s="2" t="n">
        <v>46228</v>
      </c>
      <c r="J198" t="inlineStr">
        <is>
          <t>Disetujui</t>
        </is>
      </c>
      <c r="K198" t="n">
        <v>30</v>
      </c>
      <c r="L198" t="inlineStr">
        <is>
          <t>25 Juli 2026</t>
        </is>
      </c>
      <c r="M198" t="inlineStr">
        <is>
          <t>Konstruksi Bangunan Sipil Jalan, Konstruksi Gedung Kesehatan, Konstruksi Gedung Lainnya, Konstruksi Gedung Pendidikan, Konstruksi Gedung Perkantoran</t>
        </is>
      </c>
      <c r="N198" t="inlineStr">
        <is>
          <t>K</t>
        </is>
      </c>
      <c r="O198" t="inlineStr">
        <is>
          <t>20230722</t>
        </is>
      </c>
      <c r="P198" t="inlineStr">
        <is>
          <t>Sulawesi Barat</t>
        </is>
      </c>
      <c r="Q198" t="inlineStr"/>
    </row>
    <row r="199">
      <c r="A199" t="inlineStr">
        <is>
          <t>WIJAYA KUSUMA</t>
        </is>
      </c>
      <c r="B199" t="inlineStr">
        <is>
          <t>Kab. Sragen</t>
        </is>
      </c>
      <c r="C199" t="inlineStr">
        <is>
          <t>0822 4333 7222</t>
        </is>
      </c>
      <c r="D199" t="inlineStr">
        <is>
          <t>wijayakusuma@contractor.net</t>
        </is>
      </c>
      <c r="E199" t="inlineStr">
        <is>
          <t>https://lpjk.pu.go.id/search-badan-usaha-detail/TGJhYUMwc1VHcERTdmFUeGhtdU1MQT09</t>
        </is>
      </c>
      <c r="F199" t="n">
        <v>2</v>
      </c>
      <c r="G199" t="inlineStr">
        <is>
          <t>BS004</t>
        </is>
      </c>
      <c r="H199" t="inlineStr">
        <is>
          <t>29 Desember 2001</t>
        </is>
      </c>
      <c r="I199" s="2" t="n">
        <v>46228</v>
      </c>
      <c r="J199" t="inlineStr">
        <is>
          <t>Pencabutan</t>
        </is>
      </c>
      <c r="K199" t="n">
        <v>30</v>
      </c>
      <c r="L199" t="inlineStr">
        <is>
          <t>25 Juli 2026</t>
        </is>
      </c>
      <c r="M199" t="inlineStr">
        <is>
          <t>Konstruksi Jaringan Irigasi dan Drainase</t>
        </is>
      </c>
      <c r="N199" t="inlineStr">
        <is>
          <t>K</t>
        </is>
      </c>
      <c r="O199" t="inlineStr">
        <is>
          <t>20230724</t>
        </is>
      </c>
      <c r="P199" t="inlineStr">
        <is>
          <t>Jawa Tengah</t>
        </is>
      </c>
      <c r="Q199" t="inlineStr"/>
    </row>
    <row r="200">
      <c r="A200" t="inlineStr">
        <is>
          <t>YANARI PUTRA UTAMA</t>
        </is>
      </c>
      <c r="B200" t="inlineStr">
        <is>
          <t>Kab. Serang</t>
        </is>
      </c>
      <c r="C200" t="inlineStr">
        <is>
          <t>087877333133</t>
        </is>
      </c>
      <c r="D200" t="inlineStr">
        <is>
          <t>yanariputrautama.pt@gmail.com</t>
        </is>
      </c>
      <c r="E200" t="inlineStr">
        <is>
          <t>https://lpjk.pu.go.id/search-badan-usaha-detail/YVQvRWk0d3Ztcnp2SjA3OXlLRTltdz09</t>
        </is>
      </c>
      <c r="F200" t="n">
        <v>1</v>
      </c>
      <c r="G200" t="inlineStr">
        <is>
          <t>BS001</t>
        </is>
      </c>
      <c r="H200" t="inlineStr">
        <is>
          <t>11 April 2013</t>
        </is>
      </c>
      <c r="I200" s="2" t="n">
        <v>46228</v>
      </c>
      <c r="J200" t="inlineStr">
        <is>
          <t>Disetujui</t>
        </is>
      </c>
      <c r="K200" t="n">
        <v>30</v>
      </c>
      <c r="L200" t="inlineStr">
        <is>
          <t>25 Juli 2026</t>
        </is>
      </c>
      <c r="M200" t="inlineStr">
        <is>
          <t>Konstruksi Bangunan Sipil Jalan</t>
        </is>
      </c>
      <c r="N200" t="inlineStr">
        <is>
          <t>K</t>
        </is>
      </c>
      <c r="O200" t="inlineStr">
        <is>
          <t>20230720</t>
        </is>
      </c>
      <c r="P200" t="inlineStr">
        <is>
          <t>Banten</t>
        </is>
      </c>
      <c r="Q200" t="inlineStr"/>
    </row>
    <row r="201">
      <c r="A201" t="inlineStr">
        <is>
          <t>YUDHA KONSTRUKSI</t>
        </is>
      </c>
      <c r="B201" t="inlineStr">
        <is>
          <t>Kab. Banggai</t>
        </is>
      </c>
      <c r="C201" t="inlineStr">
        <is>
          <t>081242202200</t>
        </is>
      </c>
      <c r="D201" t="inlineStr">
        <is>
          <t>cvyudhakonstruksi@gmail.com</t>
        </is>
      </c>
      <c r="E201" t="inlineStr">
        <is>
          <t>https://lpjk.pu.go.id/search-badan-usaha-detail/NVJMUmgxWmxiZzhzZjBsdG1BczN6UT09</t>
        </is>
      </c>
      <c r="F201" t="n">
        <v>2</v>
      </c>
      <c r="G201" t="inlineStr">
        <is>
          <t>BG001, BG009</t>
        </is>
      </c>
      <c r="H201" t="inlineStr">
        <is>
          <t>7 Juli 2023</t>
        </is>
      </c>
      <c r="I201" s="2" t="n">
        <v>46228</v>
      </c>
      <c r="J201" t="inlineStr">
        <is>
          <t>Disetujui</t>
        </is>
      </c>
      <c r="K201" t="n">
        <v>30</v>
      </c>
      <c r="L201" t="inlineStr">
        <is>
          <t>25 Juli 2026</t>
        </is>
      </c>
      <c r="M201" t="inlineStr">
        <is>
          <t>Konstruksi Gedung Hunian, Konstruksi Gedung Lainnya</t>
        </is>
      </c>
      <c r="N201" t="inlineStr">
        <is>
          <t>K</t>
        </is>
      </c>
      <c r="O201" t="inlineStr">
        <is>
          <t>20230725</t>
        </is>
      </c>
      <c r="P201" t="inlineStr">
        <is>
          <t>Sulawesi Tengah</t>
        </is>
      </c>
      <c r="Q201" t="inlineStr"/>
    </row>
    <row r="202">
      <c r="A202" t="inlineStr">
        <is>
          <t>ZIOLA MAS</t>
        </is>
      </c>
      <c r="B202" t="inlineStr">
        <is>
          <t>Kab. Kolaka</t>
        </is>
      </c>
      <c r="C202" t="inlineStr">
        <is>
          <t>085342840000</t>
        </is>
      </c>
      <c r="D202" t="inlineStr">
        <is>
          <t>ziolamas.21@gmail.com</t>
        </is>
      </c>
      <c r="E202" t="inlineStr">
        <is>
          <t>https://lpjk.pu.go.id/search-badan-usaha-detail/QVU4ZG85WWdLWm5qV3lGMVgybnhwdz09</t>
        </is>
      </c>
      <c r="F202" t="n">
        <v>1</v>
      </c>
      <c r="G202" t="inlineStr">
        <is>
          <t>BS001</t>
        </is>
      </c>
      <c r="H202" t="inlineStr">
        <is>
          <t>31 Januari 2007</t>
        </is>
      </c>
      <c r="I202" s="2" t="n">
        <v>46228</v>
      </c>
      <c r="J202" t="inlineStr">
        <is>
          <t>Pencabutan</t>
        </is>
      </c>
      <c r="K202" t="n">
        <v>30</v>
      </c>
      <c r="L202" t="inlineStr">
        <is>
          <t>25 Juli 2026</t>
        </is>
      </c>
      <c r="M202" t="inlineStr">
        <is>
          <t>Konstruksi Bangunan Sipil Jalan</t>
        </is>
      </c>
      <c r="N202" t="inlineStr">
        <is>
          <t>K</t>
        </is>
      </c>
      <c r="O202" t="inlineStr">
        <is>
          <t>20230725</t>
        </is>
      </c>
      <c r="P202" t="inlineStr">
        <is>
          <t>Sulawesi Tenggara</t>
        </is>
      </c>
      <c r="Q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2026-06-25T02:42:50Z</dcterms:created>
  <dcterms:modified xsi:type="dcterms:W3CDTF">2026-06-25T02:42:50Z</dcterms:modified>
</cp:coreProperties>
</file>